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P:\Bourse\0 - NEW BOURSE COMMUNALE\Mch2\"/>
    </mc:Choice>
  </mc:AlternateContent>
  <xr:revisionPtr revIDLastSave="0" documentId="13_ncr:1_{A587CC16-6ACB-41F7-84D3-55195E9966F2}" xr6:coauthVersionLast="47" xr6:coauthVersionMax="47" xr10:uidLastSave="{00000000-0000-0000-0000-000000000000}"/>
  <bookViews>
    <workbookView xWindow="-108" yWindow="-108" windowWidth="41496" windowHeight="16776" activeTab="2" xr2:uid="{C0B7A404-D5D1-41A5-BF1F-C4AC41973CA4}"/>
  </bookViews>
  <sheets>
    <sheet name="Feuil5" sheetId="44" r:id="rId1"/>
    <sheet name="soumission" sheetId="43" r:id="rId2"/>
    <sheet name="BASE" sheetId="1" r:id="rId3"/>
    <sheet name="Bâtiments" sheetId="9" r:id="rId4"/>
    <sheet name="3120 et 3439 patrimoine" sheetId="5" r:id="rId5"/>
    <sheet name="Reeval debiteurs douteux" sheetId="15" r:id="rId6"/>
    <sheet name="Resume perequation" sheetId="3" r:id="rId7"/>
    <sheet name="Arbre de décision" sheetId="21" r:id="rId8"/>
    <sheet name="AISGE" sheetId="20" r:id="rId9"/>
    <sheet name="Répartitions" sheetId="19" r:id="rId10"/>
    <sheet name="Salaires" sheetId="7" r:id="rId11"/>
    <sheet name="Valaur" sheetId="11" r:id="rId12"/>
    <sheet name="3612 Ecoles" sheetId="6" r:id="rId13"/>
    <sheet name="3130 Prest tiers" sheetId="2" r:id="rId14"/>
    <sheet name="Fonds affectés" sheetId="8" r:id="rId15"/>
  </sheets>
  <definedNames>
    <definedName name="_xlnm._FilterDatabase" localSheetId="8" hidden="1">AISGE!$K$1:$R$46</definedName>
    <definedName name="_xlnm._FilterDatabase" localSheetId="2" hidden="1">BASE!$A$2:$AQ$885</definedName>
    <definedName name="_xlnm.Print_Area" localSheetId="13">'3130 Prest tiers'!$A$1:$E$39</definedName>
    <definedName name="_xlnm.Print_Area" localSheetId="8">AISGE!$A$15:$W$34</definedName>
  </definedNames>
  <calcPr calcId="191029"/>
  <pivotCaches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9" i="1" l="1"/>
  <c r="R1" i="44"/>
  <c r="Q1" i="44"/>
  <c r="P1" i="44"/>
  <c r="AN881" i="1"/>
  <c r="AL881" i="1"/>
  <c r="AK881" i="1"/>
  <c r="AH881" i="1"/>
  <c r="AG881" i="1"/>
  <c r="AE881" i="1"/>
  <c r="AD881" i="1"/>
  <c r="AA881" i="1"/>
  <c r="AN880" i="1"/>
  <c r="AL880" i="1"/>
  <c r="AK880" i="1"/>
  <c r="AH880" i="1"/>
  <c r="AG880" i="1"/>
  <c r="AE880" i="1"/>
  <c r="AD880" i="1"/>
  <c r="AA880" i="1"/>
  <c r="AN879" i="1"/>
  <c r="AL879" i="1"/>
  <c r="AK879" i="1"/>
  <c r="AH879" i="1"/>
  <c r="AG879" i="1"/>
  <c r="AE879" i="1"/>
  <c r="AD879" i="1"/>
  <c r="AA879" i="1"/>
  <c r="AN878" i="1"/>
  <c r="AL878" i="1"/>
  <c r="AK878" i="1"/>
  <c r="AH878" i="1"/>
  <c r="AG878" i="1"/>
  <c r="AE878" i="1"/>
  <c r="AD878" i="1"/>
  <c r="AA878" i="1"/>
  <c r="AN877" i="1"/>
  <c r="AL877" i="1"/>
  <c r="AK877" i="1"/>
  <c r="AH877" i="1"/>
  <c r="AG877" i="1"/>
  <c r="AE877" i="1"/>
  <c r="AD877" i="1"/>
  <c r="AA877" i="1"/>
  <c r="AN876" i="1"/>
  <c r="AL876" i="1"/>
  <c r="AK876" i="1"/>
  <c r="AH876" i="1"/>
  <c r="AG876" i="1"/>
  <c r="AE876" i="1"/>
  <c r="AD876" i="1"/>
  <c r="AA876" i="1"/>
  <c r="AN875" i="1"/>
  <c r="AL875" i="1"/>
  <c r="AK875" i="1"/>
  <c r="AH875" i="1"/>
  <c r="AG875" i="1"/>
  <c r="AE875" i="1"/>
  <c r="AD875" i="1"/>
  <c r="AA875" i="1"/>
  <c r="AN874" i="1"/>
  <c r="AL874" i="1"/>
  <c r="AK874" i="1"/>
  <c r="AH874" i="1"/>
  <c r="AG874" i="1"/>
  <c r="AE874" i="1"/>
  <c r="AD874" i="1"/>
  <c r="AA874" i="1"/>
  <c r="AN873" i="1"/>
  <c r="AL873" i="1"/>
  <c r="AK873" i="1"/>
  <c r="AH873" i="1"/>
  <c r="AG873" i="1"/>
  <c r="AE873" i="1"/>
  <c r="AD873" i="1"/>
  <c r="AA873" i="1"/>
  <c r="AN872" i="1"/>
  <c r="AL872" i="1"/>
  <c r="AK872" i="1"/>
  <c r="AH872" i="1"/>
  <c r="AG872" i="1"/>
  <c r="AE872" i="1"/>
  <c r="AD872" i="1"/>
  <c r="AA872" i="1"/>
  <c r="AN871" i="1"/>
  <c r="AL871" i="1"/>
  <c r="AK871" i="1"/>
  <c r="AH871" i="1"/>
  <c r="AG871" i="1"/>
  <c r="AE871" i="1"/>
  <c r="AD871" i="1"/>
  <c r="AA871" i="1"/>
  <c r="AN870" i="1"/>
  <c r="AL870" i="1"/>
  <c r="AK870" i="1"/>
  <c r="AH870" i="1"/>
  <c r="AG870" i="1"/>
  <c r="AE870" i="1"/>
  <c r="AD870" i="1"/>
  <c r="AA870" i="1"/>
  <c r="AN869" i="1"/>
  <c r="AL869" i="1"/>
  <c r="AK869" i="1"/>
  <c r="AH869" i="1"/>
  <c r="AG869" i="1"/>
  <c r="AE869" i="1"/>
  <c r="AD869" i="1"/>
  <c r="AA869" i="1"/>
  <c r="AN868" i="1"/>
  <c r="AL868" i="1"/>
  <c r="AK868" i="1"/>
  <c r="AH868" i="1"/>
  <c r="AG868" i="1"/>
  <c r="AE868" i="1"/>
  <c r="AD868" i="1"/>
  <c r="AA868" i="1"/>
  <c r="AN867" i="1"/>
  <c r="AL867" i="1"/>
  <c r="AK867" i="1"/>
  <c r="AH867" i="1"/>
  <c r="AG867" i="1"/>
  <c r="AE867" i="1"/>
  <c r="AD867" i="1"/>
  <c r="AA867" i="1"/>
  <c r="AN866" i="1"/>
  <c r="AL866" i="1"/>
  <c r="AK866" i="1"/>
  <c r="AH866" i="1"/>
  <c r="AG866" i="1"/>
  <c r="AE866" i="1"/>
  <c r="AD866" i="1"/>
  <c r="AA866" i="1"/>
  <c r="AN865" i="1"/>
  <c r="AL865" i="1"/>
  <c r="AK865" i="1"/>
  <c r="AH865" i="1"/>
  <c r="AG865" i="1"/>
  <c r="AE865" i="1"/>
  <c r="AD865" i="1"/>
  <c r="AA865" i="1"/>
  <c r="AN864" i="1"/>
  <c r="AL864" i="1"/>
  <c r="AK864" i="1"/>
  <c r="AH864" i="1"/>
  <c r="AG864" i="1"/>
  <c r="AE864" i="1"/>
  <c r="AD864" i="1"/>
  <c r="AA864" i="1"/>
  <c r="AN863" i="1"/>
  <c r="AL863" i="1"/>
  <c r="AK863" i="1"/>
  <c r="AH863" i="1"/>
  <c r="AG863" i="1"/>
  <c r="AE863" i="1"/>
  <c r="AD863" i="1"/>
  <c r="AA863" i="1"/>
  <c r="AN862" i="1"/>
  <c r="AL862" i="1"/>
  <c r="AK862" i="1"/>
  <c r="AH862" i="1"/>
  <c r="AG862" i="1"/>
  <c r="AE862" i="1"/>
  <c r="AD862" i="1"/>
  <c r="AA862" i="1"/>
  <c r="AN861" i="1"/>
  <c r="AL861" i="1"/>
  <c r="AK861" i="1"/>
  <c r="AH861" i="1"/>
  <c r="AG861" i="1"/>
  <c r="AE861" i="1"/>
  <c r="AD861" i="1"/>
  <c r="AA861" i="1"/>
  <c r="AN860" i="1"/>
  <c r="AL860" i="1"/>
  <c r="AK860" i="1"/>
  <c r="AH860" i="1"/>
  <c r="AG860" i="1"/>
  <c r="AE860" i="1"/>
  <c r="AD860" i="1"/>
  <c r="AA860" i="1"/>
  <c r="AN859" i="1"/>
  <c r="AL859" i="1"/>
  <c r="AK859" i="1"/>
  <c r="AH859" i="1"/>
  <c r="AG859" i="1"/>
  <c r="AE859" i="1"/>
  <c r="AD859" i="1"/>
  <c r="AA859" i="1"/>
  <c r="AN858" i="1"/>
  <c r="AL858" i="1"/>
  <c r="AK858" i="1"/>
  <c r="AH858" i="1"/>
  <c r="AG858" i="1"/>
  <c r="AE858" i="1"/>
  <c r="AD858" i="1"/>
  <c r="AA858" i="1"/>
  <c r="AN857" i="1"/>
  <c r="AL857" i="1"/>
  <c r="AK857" i="1"/>
  <c r="AH857" i="1"/>
  <c r="AG857" i="1"/>
  <c r="AE857" i="1"/>
  <c r="AD857" i="1"/>
  <c r="AA857" i="1"/>
  <c r="AN856" i="1"/>
  <c r="AL856" i="1"/>
  <c r="AK856" i="1"/>
  <c r="AH856" i="1"/>
  <c r="AG856" i="1"/>
  <c r="AE856" i="1"/>
  <c r="AD856" i="1"/>
  <c r="AA856" i="1"/>
  <c r="AN855" i="1"/>
  <c r="AL855" i="1"/>
  <c r="AK855" i="1"/>
  <c r="AH855" i="1"/>
  <c r="AG855" i="1"/>
  <c r="AE855" i="1"/>
  <c r="AD855" i="1"/>
  <c r="AA855" i="1"/>
  <c r="AN854" i="1"/>
  <c r="AL854" i="1"/>
  <c r="AK854" i="1"/>
  <c r="AH854" i="1"/>
  <c r="AG854" i="1"/>
  <c r="AE854" i="1"/>
  <c r="AD854" i="1"/>
  <c r="AA854" i="1"/>
  <c r="AN853" i="1"/>
  <c r="AL853" i="1"/>
  <c r="AK853" i="1"/>
  <c r="AH853" i="1"/>
  <c r="AG853" i="1"/>
  <c r="AE853" i="1"/>
  <c r="AD853" i="1"/>
  <c r="AA853" i="1"/>
  <c r="AN852" i="1"/>
  <c r="AL852" i="1"/>
  <c r="AK852" i="1"/>
  <c r="AH852" i="1"/>
  <c r="AG852" i="1"/>
  <c r="AE852" i="1"/>
  <c r="AD852" i="1"/>
  <c r="AA852" i="1"/>
  <c r="AN851" i="1"/>
  <c r="AL851" i="1"/>
  <c r="AK851" i="1"/>
  <c r="AH851" i="1"/>
  <c r="AG851" i="1"/>
  <c r="AE851" i="1"/>
  <c r="AD851" i="1"/>
  <c r="AA851" i="1"/>
  <c r="AN850" i="1"/>
  <c r="AL850" i="1"/>
  <c r="AK850" i="1"/>
  <c r="AH850" i="1"/>
  <c r="AG850" i="1"/>
  <c r="AE850" i="1"/>
  <c r="AD850" i="1"/>
  <c r="AA850" i="1"/>
  <c r="AN849" i="1"/>
  <c r="AL849" i="1"/>
  <c r="AK849" i="1"/>
  <c r="AH849" i="1"/>
  <c r="AG849" i="1"/>
  <c r="AE849" i="1"/>
  <c r="AD849" i="1"/>
  <c r="AA849" i="1"/>
  <c r="AN848" i="1"/>
  <c r="AL848" i="1"/>
  <c r="AK848" i="1"/>
  <c r="AH848" i="1"/>
  <c r="AG848" i="1"/>
  <c r="AE848" i="1"/>
  <c r="AD848" i="1"/>
  <c r="AA848" i="1"/>
  <c r="AN847" i="1"/>
  <c r="AL847" i="1"/>
  <c r="AK847" i="1"/>
  <c r="AH847" i="1"/>
  <c r="AG847" i="1"/>
  <c r="AE847" i="1"/>
  <c r="AD847" i="1"/>
  <c r="AA847" i="1"/>
  <c r="AN846" i="1"/>
  <c r="AL846" i="1"/>
  <c r="AK846" i="1"/>
  <c r="AH846" i="1"/>
  <c r="AG846" i="1"/>
  <c r="AE846" i="1"/>
  <c r="AD846" i="1"/>
  <c r="AA846" i="1"/>
  <c r="AN845" i="1"/>
  <c r="AL845" i="1"/>
  <c r="AK845" i="1"/>
  <c r="AH845" i="1"/>
  <c r="AG845" i="1"/>
  <c r="AE845" i="1"/>
  <c r="AD845" i="1"/>
  <c r="AA845" i="1"/>
  <c r="AN844" i="1"/>
  <c r="AL844" i="1"/>
  <c r="AK844" i="1"/>
  <c r="AH844" i="1"/>
  <c r="AG844" i="1"/>
  <c r="AE844" i="1"/>
  <c r="AD844" i="1"/>
  <c r="AA844" i="1"/>
  <c r="AN843" i="1"/>
  <c r="AL843" i="1"/>
  <c r="AK843" i="1"/>
  <c r="AH843" i="1"/>
  <c r="AG843" i="1"/>
  <c r="AE843" i="1"/>
  <c r="AD843" i="1"/>
  <c r="AA843" i="1"/>
  <c r="AN842" i="1"/>
  <c r="AL842" i="1"/>
  <c r="AK842" i="1"/>
  <c r="AH842" i="1"/>
  <c r="AG842" i="1"/>
  <c r="AE842" i="1"/>
  <c r="AD842" i="1"/>
  <c r="AA842" i="1"/>
  <c r="AN841" i="1"/>
  <c r="AL841" i="1"/>
  <c r="AK841" i="1"/>
  <c r="AH841" i="1"/>
  <c r="AG841" i="1"/>
  <c r="AE841" i="1"/>
  <c r="AD841" i="1"/>
  <c r="AA841" i="1"/>
  <c r="AN840" i="1"/>
  <c r="AL840" i="1"/>
  <c r="AK840" i="1"/>
  <c r="AH840" i="1"/>
  <c r="AG840" i="1"/>
  <c r="AE840" i="1"/>
  <c r="AD840" i="1"/>
  <c r="AA840" i="1"/>
  <c r="AN839" i="1"/>
  <c r="AL839" i="1"/>
  <c r="AK839" i="1"/>
  <c r="AH839" i="1"/>
  <c r="AG839" i="1"/>
  <c r="AE839" i="1"/>
  <c r="AD839" i="1"/>
  <c r="AA839" i="1"/>
  <c r="AN838" i="1"/>
  <c r="AL838" i="1"/>
  <c r="AK838" i="1"/>
  <c r="AH838" i="1"/>
  <c r="AG838" i="1"/>
  <c r="AE838" i="1"/>
  <c r="AD838" i="1"/>
  <c r="AA838" i="1"/>
  <c r="AN837" i="1"/>
  <c r="AL837" i="1"/>
  <c r="AK837" i="1"/>
  <c r="AH837" i="1"/>
  <c r="AG837" i="1"/>
  <c r="AE837" i="1"/>
  <c r="AD837" i="1"/>
  <c r="AA837" i="1"/>
  <c r="AN836" i="1"/>
  <c r="AL836" i="1"/>
  <c r="AK836" i="1"/>
  <c r="AH836" i="1"/>
  <c r="AG836" i="1"/>
  <c r="AE836" i="1"/>
  <c r="AD836" i="1"/>
  <c r="AA836" i="1"/>
  <c r="AN835" i="1"/>
  <c r="AL835" i="1"/>
  <c r="AK835" i="1"/>
  <c r="AH835" i="1"/>
  <c r="AG835" i="1"/>
  <c r="AE835" i="1"/>
  <c r="AD835" i="1"/>
  <c r="AA835" i="1"/>
  <c r="AN834" i="1"/>
  <c r="AL834" i="1"/>
  <c r="AK834" i="1"/>
  <c r="AH834" i="1"/>
  <c r="AG834" i="1"/>
  <c r="AE834" i="1"/>
  <c r="AD834" i="1"/>
  <c r="AA834" i="1"/>
  <c r="AN833" i="1"/>
  <c r="AL833" i="1"/>
  <c r="AK833" i="1"/>
  <c r="AH833" i="1"/>
  <c r="AG833" i="1"/>
  <c r="AE833" i="1"/>
  <c r="AD833" i="1"/>
  <c r="AA833" i="1"/>
  <c r="AN832" i="1"/>
  <c r="AL832" i="1"/>
  <c r="AK832" i="1"/>
  <c r="AH832" i="1"/>
  <c r="AG832" i="1"/>
  <c r="AE832" i="1"/>
  <c r="AD832" i="1"/>
  <c r="AA832" i="1"/>
  <c r="AN831" i="1"/>
  <c r="AL831" i="1"/>
  <c r="AK831" i="1"/>
  <c r="AH831" i="1"/>
  <c r="AG831" i="1"/>
  <c r="AE831" i="1"/>
  <c r="AD831" i="1"/>
  <c r="AA831" i="1"/>
  <c r="AN830" i="1"/>
  <c r="AL830" i="1"/>
  <c r="AK830" i="1"/>
  <c r="AH830" i="1"/>
  <c r="AG830" i="1"/>
  <c r="AE830" i="1"/>
  <c r="AD830" i="1"/>
  <c r="AA830" i="1"/>
  <c r="AN829" i="1"/>
  <c r="AL829" i="1"/>
  <c r="AK829" i="1"/>
  <c r="AH829" i="1"/>
  <c r="AG829" i="1"/>
  <c r="AE829" i="1"/>
  <c r="AD829" i="1"/>
  <c r="AA829" i="1"/>
  <c r="AN828" i="1"/>
  <c r="AL828" i="1"/>
  <c r="AK828" i="1"/>
  <c r="AH828" i="1"/>
  <c r="AG828" i="1"/>
  <c r="AE828" i="1"/>
  <c r="AD828" i="1"/>
  <c r="AA828" i="1"/>
  <c r="AN827" i="1"/>
  <c r="AL827" i="1"/>
  <c r="AK827" i="1"/>
  <c r="AH827" i="1"/>
  <c r="AG827" i="1"/>
  <c r="AE827" i="1"/>
  <c r="AD827" i="1"/>
  <c r="AA827" i="1"/>
  <c r="AN826" i="1"/>
  <c r="AL826" i="1"/>
  <c r="AK826" i="1"/>
  <c r="AH826" i="1"/>
  <c r="AG826" i="1"/>
  <c r="AE826" i="1"/>
  <c r="AD826" i="1"/>
  <c r="AA826" i="1"/>
  <c r="AN825" i="1"/>
  <c r="AL825" i="1"/>
  <c r="AK825" i="1"/>
  <c r="AH825" i="1"/>
  <c r="AG825" i="1"/>
  <c r="AE825" i="1"/>
  <c r="AD825" i="1"/>
  <c r="AA825" i="1"/>
  <c r="AN824" i="1"/>
  <c r="AL824" i="1"/>
  <c r="AK824" i="1"/>
  <c r="AH824" i="1"/>
  <c r="AG824" i="1"/>
  <c r="AE824" i="1"/>
  <c r="AD824" i="1"/>
  <c r="AA824" i="1"/>
  <c r="AN823" i="1"/>
  <c r="AL823" i="1"/>
  <c r="AK823" i="1"/>
  <c r="AH823" i="1"/>
  <c r="AG823" i="1"/>
  <c r="AE823" i="1"/>
  <c r="AD823" i="1"/>
  <c r="AA823" i="1"/>
  <c r="AN822" i="1"/>
  <c r="AL822" i="1"/>
  <c r="AK822" i="1"/>
  <c r="AH822" i="1"/>
  <c r="AG822" i="1"/>
  <c r="AE822" i="1"/>
  <c r="AD822" i="1"/>
  <c r="AA822" i="1"/>
  <c r="AN821" i="1"/>
  <c r="AL821" i="1"/>
  <c r="AK821" i="1"/>
  <c r="AH821" i="1"/>
  <c r="AG821" i="1"/>
  <c r="AE821" i="1"/>
  <c r="AD821" i="1"/>
  <c r="AA821" i="1"/>
  <c r="AN820" i="1"/>
  <c r="AL820" i="1"/>
  <c r="AK820" i="1"/>
  <c r="AH820" i="1"/>
  <c r="AG820" i="1"/>
  <c r="AE820" i="1"/>
  <c r="AD820" i="1"/>
  <c r="AA820" i="1"/>
  <c r="AN819" i="1"/>
  <c r="AL819" i="1"/>
  <c r="AK819" i="1"/>
  <c r="AH819" i="1"/>
  <c r="AG819" i="1"/>
  <c r="AE819" i="1"/>
  <c r="AD819" i="1"/>
  <c r="AA819" i="1"/>
  <c r="AN818" i="1"/>
  <c r="AL818" i="1"/>
  <c r="AK818" i="1"/>
  <c r="AH818" i="1"/>
  <c r="AG818" i="1"/>
  <c r="AE818" i="1"/>
  <c r="AD818" i="1"/>
  <c r="AA818" i="1"/>
  <c r="AN817" i="1"/>
  <c r="AL817" i="1"/>
  <c r="AK817" i="1"/>
  <c r="AH817" i="1"/>
  <c r="AG817" i="1"/>
  <c r="AE817" i="1"/>
  <c r="AD817" i="1"/>
  <c r="AA817" i="1"/>
  <c r="AN816" i="1"/>
  <c r="AL816" i="1"/>
  <c r="AK816" i="1"/>
  <c r="AH816" i="1"/>
  <c r="AG816" i="1"/>
  <c r="AE816" i="1"/>
  <c r="AD816" i="1"/>
  <c r="AA816" i="1"/>
  <c r="AN815" i="1"/>
  <c r="AL815" i="1"/>
  <c r="AK815" i="1"/>
  <c r="AH815" i="1"/>
  <c r="AG815" i="1"/>
  <c r="AE815" i="1"/>
  <c r="AD815" i="1"/>
  <c r="AA815" i="1"/>
  <c r="AN814" i="1"/>
  <c r="AL814" i="1"/>
  <c r="AK814" i="1"/>
  <c r="AH814" i="1"/>
  <c r="AG814" i="1"/>
  <c r="AE814" i="1"/>
  <c r="AD814" i="1"/>
  <c r="AA814" i="1"/>
  <c r="AN813" i="1"/>
  <c r="AL813" i="1"/>
  <c r="AK813" i="1"/>
  <c r="AH813" i="1"/>
  <c r="AG813" i="1"/>
  <c r="AE813" i="1"/>
  <c r="AD813" i="1"/>
  <c r="AA813" i="1"/>
  <c r="AN812" i="1"/>
  <c r="AL812" i="1"/>
  <c r="AK812" i="1"/>
  <c r="AH812" i="1"/>
  <c r="AG812" i="1"/>
  <c r="AE812" i="1"/>
  <c r="AD812" i="1"/>
  <c r="AA812" i="1"/>
  <c r="AN811" i="1"/>
  <c r="AL811" i="1"/>
  <c r="AK811" i="1"/>
  <c r="AH811" i="1"/>
  <c r="AG811" i="1"/>
  <c r="AE811" i="1"/>
  <c r="AD811" i="1"/>
  <c r="AA811" i="1"/>
  <c r="AN810" i="1"/>
  <c r="AL810" i="1"/>
  <c r="AK810" i="1"/>
  <c r="AH810" i="1"/>
  <c r="AG810" i="1"/>
  <c r="AE810" i="1"/>
  <c r="AD810" i="1"/>
  <c r="AA810" i="1"/>
  <c r="AN809" i="1"/>
  <c r="AL809" i="1"/>
  <c r="AK809" i="1"/>
  <c r="AH809" i="1"/>
  <c r="AG809" i="1"/>
  <c r="AE809" i="1"/>
  <c r="AD809" i="1"/>
  <c r="AA809" i="1"/>
  <c r="AN808" i="1"/>
  <c r="AL808" i="1"/>
  <c r="AK808" i="1"/>
  <c r="AH808" i="1"/>
  <c r="AG808" i="1"/>
  <c r="AE808" i="1"/>
  <c r="AD808" i="1"/>
  <c r="AA808" i="1"/>
  <c r="AN807" i="1"/>
  <c r="AL807" i="1"/>
  <c r="AK807" i="1"/>
  <c r="AH807" i="1"/>
  <c r="AG807" i="1"/>
  <c r="AE807" i="1"/>
  <c r="AD807" i="1"/>
  <c r="AA807" i="1"/>
  <c r="AN806" i="1"/>
  <c r="AL806" i="1"/>
  <c r="AK806" i="1"/>
  <c r="AH806" i="1"/>
  <c r="AG806" i="1"/>
  <c r="AE806" i="1"/>
  <c r="AD806" i="1"/>
  <c r="AA806" i="1"/>
  <c r="AN805" i="1"/>
  <c r="AL805" i="1"/>
  <c r="AK805" i="1"/>
  <c r="AH805" i="1"/>
  <c r="AG805" i="1"/>
  <c r="AE805" i="1"/>
  <c r="AD805" i="1"/>
  <c r="AA805" i="1"/>
  <c r="AN804" i="1"/>
  <c r="AL804" i="1"/>
  <c r="AK804" i="1"/>
  <c r="AH804" i="1"/>
  <c r="AG804" i="1"/>
  <c r="AE804" i="1"/>
  <c r="AD804" i="1"/>
  <c r="AA804" i="1"/>
  <c r="AN803" i="1"/>
  <c r="AL803" i="1"/>
  <c r="AK803" i="1"/>
  <c r="AH803" i="1"/>
  <c r="AG803" i="1"/>
  <c r="AE803" i="1"/>
  <c r="AD803" i="1"/>
  <c r="AA803" i="1"/>
  <c r="AN802" i="1"/>
  <c r="AL802" i="1"/>
  <c r="AK802" i="1"/>
  <c r="AH802" i="1"/>
  <c r="AG802" i="1"/>
  <c r="AE802" i="1"/>
  <c r="AD802" i="1"/>
  <c r="AA802" i="1"/>
  <c r="AN801" i="1"/>
  <c r="AL801" i="1"/>
  <c r="AK801" i="1"/>
  <c r="AH801" i="1"/>
  <c r="AG801" i="1"/>
  <c r="AE801" i="1"/>
  <c r="AD801" i="1"/>
  <c r="AA801" i="1"/>
  <c r="AN800" i="1"/>
  <c r="AL800" i="1"/>
  <c r="AK800" i="1"/>
  <c r="AH800" i="1"/>
  <c r="AG800" i="1"/>
  <c r="AE800" i="1"/>
  <c r="AD800" i="1"/>
  <c r="AA800" i="1"/>
  <c r="AN799" i="1"/>
  <c r="AL799" i="1"/>
  <c r="AK799" i="1"/>
  <c r="AH799" i="1"/>
  <c r="AG799" i="1"/>
  <c r="AE799" i="1"/>
  <c r="AD799" i="1"/>
  <c r="AA799" i="1"/>
  <c r="AN798" i="1"/>
  <c r="AL798" i="1"/>
  <c r="AK798" i="1"/>
  <c r="AH798" i="1"/>
  <c r="AG798" i="1"/>
  <c r="AE798" i="1"/>
  <c r="AD798" i="1"/>
  <c r="AA798" i="1"/>
  <c r="AN797" i="1"/>
  <c r="AL797" i="1"/>
  <c r="AK797" i="1"/>
  <c r="AH797" i="1"/>
  <c r="AG797" i="1"/>
  <c r="AE797" i="1"/>
  <c r="AD797" i="1"/>
  <c r="AA797" i="1"/>
  <c r="AN796" i="1"/>
  <c r="AL796" i="1"/>
  <c r="AK796" i="1"/>
  <c r="AH796" i="1"/>
  <c r="AG796" i="1"/>
  <c r="AE796" i="1"/>
  <c r="AD796" i="1"/>
  <c r="AA796" i="1"/>
  <c r="AN795" i="1"/>
  <c r="AL795" i="1"/>
  <c r="AK795" i="1"/>
  <c r="AH795" i="1"/>
  <c r="AG795" i="1"/>
  <c r="AE795" i="1"/>
  <c r="AD795" i="1"/>
  <c r="AA795" i="1"/>
  <c r="AN794" i="1"/>
  <c r="AL794" i="1"/>
  <c r="AK794" i="1"/>
  <c r="AH794" i="1"/>
  <c r="AG794" i="1"/>
  <c r="AE794" i="1"/>
  <c r="AD794" i="1"/>
  <c r="AA794" i="1"/>
  <c r="AN793" i="1"/>
  <c r="AL793" i="1"/>
  <c r="AK793" i="1"/>
  <c r="AH793" i="1"/>
  <c r="AG793" i="1"/>
  <c r="AE793" i="1"/>
  <c r="AD793" i="1"/>
  <c r="AA793" i="1"/>
  <c r="AN792" i="1"/>
  <c r="AL792" i="1"/>
  <c r="AK792" i="1"/>
  <c r="AH792" i="1"/>
  <c r="AG792" i="1"/>
  <c r="AE792" i="1"/>
  <c r="AD792" i="1"/>
  <c r="AA792" i="1"/>
  <c r="AN791" i="1"/>
  <c r="AL791" i="1"/>
  <c r="AK791" i="1"/>
  <c r="AH791" i="1"/>
  <c r="AG791" i="1"/>
  <c r="AE791" i="1"/>
  <c r="AD791" i="1"/>
  <c r="AA791" i="1"/>
  <c r="AN790" i="1"/>
  <c r="AL790" i="1"/>
  <c r="AK790" i="1"/>
  <c r="AH790" i="1"/>
  <c r="AG790" i="1"/>
  <c r="AE790" i="1"/>
  <c r="AD790" i="1"/>
  <c r="AA790" i="1"/>
  <c r="AN789" i="1"/>
  <c r="AL789" i="1"/>
  <c r="AK789" i="1"/>
  <c r="AH789" i="1"/>
  <c r="AG789" i="1"/>
  <c r="AE789" i="1"/>
  <c r="AD789" i="1"/>
  <c r="AA789" i="1"/>
  <c r="AN788" i="1"/>
  <c r="AL788" i="1"/>
  <c r="AK788" i="1"/>
  <c r="AH788" i="1"/>
  <c r="AG788" i="1"/>
  <c r="AE788" i="1"/>
  <c r="AD788" i="1"/>
  <c r="AA788" i="1"/>
  <c r="AN787" i="1"/>
  <c r="AL787" i="1"/>
  <c r="AK787" i="1"/>
  <c r="AH787" i="1"/>
  <c r="AG787" i="1"/>
  <c r="AE787" i="1"/>
  <c r="AD787" i="1"/>
  <c r="AA787" i="1"/>
  <c r="AN786" i="1"/>
  <c r="AL786" i="1"/>
  <c r="AK786" i="1"/>
  <c r="AH786" i="1"/>
  <c r="AG786" i="1"/>
  <c r="AE786" i="1"/>
  <c r="AD786" i="1"/>
  <c r="AA786" i="1"/>
  <c r="AN785" i="1"/>
  <c r="AL785" i="1"/>
  <c r="AK785" i="1"/>
  <c r="AH785" i="1"/>
  <c r="AG785" i="1"/>
  <c r="AE785" i="1"/>
  <c r="AD785" i="1"/>
  <c r="AA785" i="1"/>
  <c r="AN784" i="1"/>
  <c r="AL784" i="1"/>
  <c r="AK784" i="1"/>
  <c r="AH784" i="1"/>
  <c r="AG784" i="1"/>
  <c r="AE784" i="1"/>
  <c r="AD784" i="1"/>
  <c r="AA784" i="1"/>
  <c r="AN783" i="1"/>
  <c r="AL783" i="1"/>
  <c r="AK783" i="1"/>
  <c r="AH783" i="1"/>
  <c r="AG783" i="1"/>
  <c r="AE783" i="1"/>
  <c r="AD783" i="1"/>
  <c r="AA783" i="1"/>
  <c r="AN782" i="1"/>
  <c r="AL782" i="1"/>
  <c r="AK782" i="1"/>
  <c r="AH782" i="1"/>
  <c r="AG782" i="1"/>
  <c r="AE782" i="1"/>
  <c r="AD782" i="1"/>
  <c r="AA782" i="1"/>
  <c r="AN781" i="1"/>
  <c r="AL781" i="1"/>
  <c r="AK781" i="1"/>
  <c r="AH781" i="1"/>
  <c r="AG781" i="1"/>
  <c r="AE781" i="1"/>
  <c r="AD781" i="1"/>
  <c r="AA781" i="1"/>
  <c r="AN780" i="1"/>
  <c r="AL780" i="1"/>
  <c r="AK780" i="1"/>
  <c r="AH780" i="1"/>
  <c r="AG780" i="1"/>
  <c r="AE780" i="1"/>
  <c r="AD780" i="1"/>
  <c r="AA780" i="1"/>
  <c r="AN779" i="1"/>
  <c r="AL779" i="1"/>
  <c r="AK779" i="1"/>
  <c r="AH779" i="1"/>
  <c r="AG779" i="1"/>
  <c r="AE779" i="1"/>
  <c r="AD779" i="1"/>
  <c r="AA779" i="1"/>
  <c r="AN778" i="1"/>
  <c r="AL778" i="1"/>
  <c r="AK778" i="1"/>
  <c r="AH778" i="1"/>
  <c r="AG778" i="1"/>
  <c r="AE778" i="1"/>
  <c r="AD778" i="1"/>
  <c r="AA778" i="1"/>
  <c r="AN777" i="1"/>
  <c r="AL777" i="1"/>
  <c r="AK777" i="1"/>
  <c r="AH777" i="1"/>
  <c r="AG777" i="1"/>
  <c r="AE777" i="1"/>
  <c r="AD777" i="1"/>
  <c r="AA777" i="1"/>
  <c r="AN776" i="1"/>
  <c r="AL776" i="1"/>
  <c r="AK776" i="1"/>
  <c r="AH776" i="1"/>
  <c r="AG776" i="1"/>
  <c r="AE776" i="1"/>
  <c r="AD776" i="1"/>
  <c r="AA776" i="1"/>
  <c r="AN775" i="1"/>
  <c r="AL775" i="1"/>
  <c r="AK775" i="1"/>
  <c r="AH775" i="1"/>
  <c r="AG775" i="1"/>
  <c r="AE775" i="1"/>
  <c r="AD775" i="1"/>
  <c r="AA775" i="1"/>
  <c r="AN774" i="1"/>
  <c r="AL774" i="1"/>
  <c r="AK774" i="1"/>
  <c r="AH774" i="1"/>
  <c r="AG774" i="1"/>
  <c r="AE774" i="1"/>
  <c r="AD774" i="1"/>
  <c r="AA774" i="1"/>
  <c r="AN773" i="1"/>
  <c r="AL773" i="1"/>
  <c r="AK773" i="1"/>
  <c r="AH773" i="1"/>
  <c r="AG773" i="1"/>
  <c r="AE773" i="1"/>
  <c r="AD773" i="1"/>
  <c r="AA773" i="1"/>
  <c r="AN772" i="1"/>
  <c r="AL772" i="1"/>
  <c r="AK772" i="1"/>
  <c r="AH772" i="1"/>
  <c r="AG772" i="1"/>
  <c r="AE772" i="1"/>
  <c r="AD772" i="1"/>
  <c r="AA772" i="1"/>
  <c r="AN771" i="1"/>
  <c r="AL771" i="1"/>
  <c r="AK771" i="1"/>
  <c r="AH771" i="1"/>
  <c r="AG771" i="1"/>
  <c r="AE771" i="1"/>
  <c r="AD771" i="1"/>
  <c r="AA771" i="1"/>
  <c r="AN770" i="1"/>
  <c r="AL770" i="1"/>
  <c r="AK770" i="1"/>
  <c r="AH770" i="1"/>
  <c r="AG770" i="1"/>
  <c r="AE770" i="1"/>
  <c r="AD770" i="1"/>
  <c r="AA770" i="1"/>
  <c r="AN769" i="1"/>
  <c r="AL769" i="1"/>
  <c r="AK769" i="1"/>
  <c r="AH769" i="1"/>
  <c r="AG769" i="1"/>
  <c r="AE769" i="1"/>
  <c r="AD769" i="1"/>
  <c r="AA769" i="1"/>
  <c r="AN768" i="1"/>
  <c r="AL768" i="1"/>
  <c r="AK768" i="1"/>
  <c r="AH768" i="1"/>
  <c r="AG768" i="1"/>
  <c r="AE768" i="1"/>
  <c r="AD768" i="1"/>
  <c r="AA768" i="1"/>
  <c r="AN767" i="1"/>
  <c r="AL767" i="1"/>
  <c r="AK767" i="1"/>
  <c r="AH767" i="1"/>
  <c r="AG767" i="1"/>
  <c r="AE767" i="1"/>
  <c r="AD767" i="1"/>
  <c r="AA767" i="1"/>
  <c r="AN766" i="1"/>
  <c r="AL766" i="1"/>
  <c r="AK766" i="1"/>
  <c r="AH766" i="1"/>
  <c r="AG766" i="1"/>
  <c r="AE766" i="1"/>
  <c r="AD766" i="1"/>
  <c r="AA766" i="1"/>
  <c r="AN765" i="1"/>
  <c r="AL765" i="1"/>
  <c r="AK765" i="1"/>
  <c r="AH765" i="1"/>
  <c r="AG765" i="1"/>
  <c r="AE765" i="1"/>
  <c r="AD765" i="1"/>
  <c r="AA765" i="1"/>
  <c r="AN764" i="1"/>
  <c r="AL764" i="1"/>
  <c r="AK764" i="1"/>
  <c r="AH764" i="1"/>
  <c r="AG764" i="1"/>
  <c r="AE764" i="1"/>
  <c r="AD764" i="1"/>
  <c r="AA764" i="1"/>
  <c r="AN763" i="1"/>
  <c r="AL763" i="1"/>
  <c r="AK763" i="1"/>
  <c r="AH763" i="1"/>
  <c r="AG763" i="1"/>
  <c r="AE763" i="1"/>
  <c r="AD763" i="1"/>
  <c r="AA763" i="1"/>
  <c r="AN762" i="1"/>
  <c r="AL762" i="1"/>
  <c r="AK762" i="1"/>
  <c r="AH762" i="1"/>
  <c r="AG762" i="1"/>
  <c r="AE762" i="1"/>
  <c r="AD762" i="1"/>
  <c r="AA762" i="1"/>
  <c r="AN761" i="1"/>
  <c r="AL761" i="1"/>
  <c r="AK761" i="1"/>
  <c r="AH761" i="1"/>
  <c r="AG761" i="1"/>
  <c r="AE761" i="1"/>
  <c r="AD761" i="1"/>
  <c r="AA761" i="1"/>
  <c r="AN760" i="1"/>
  <c r="AL760" i="1"/>
  <c r="AK760" i="1"/>
  <c r="AH760" i="1"/>
  <c r="AG760" i="1"/>
  <c r="AE760" i="1"/>
  <c r="AD760" i="1"/>
  <c r="AA760" i="1"/>
  <c r="AN759" i="1"/>
  <c r="AL759" i="1"/>
  <c r="AK759" i="1"/>
  <c r="AH759" i="1"/>
  <c r="AG759" i="1"/>
  <c r="AE759" i="1"/>
  <c r="AD759" i="1"/>
  <c r="AA759" i="1"/>
  <c r="AN758" i="1"/>
  <c r="AL758" i="1"/>
  <c r="AK758" i="1"/>
  <c r="AH758" i="1"/>
  <c r="AG758" i="1"/>
  <c r="AE758" i="1"/>
  <c r="AD758" i="1"/>
  <c r="AA758" i="1"/>
  <c r="AN757" i="1"/>
  <c r="AL757" i="1"/>
  <c r="AK757" i="1"/>
  <c r="AH757" i="1"/>
  <c r="AG757" i="1"/>
  <c r="AE757" i="1"/>
  <c r="AD757" i="1"/>
  <c r="AA757" i="1"/>
  <c r="AN756" i="1"/>
  <c r="AL756" i="1"/>
  <c r="AK756" i="1"/>
  <c r="AH756" i="1"/>
  <c r="AG756" i="1"/>
  <c r="AE756" i="1"/>
  <c r="AD756" i="1"/>
  <c r="AA756" i="1"/>
  <c r="AN755" i="1"/>
  <c r="AL755" i="1"/>
  <c r="AK755" i="1"/>
  <c r="AH755" i="1"/>
  <c r="AG755" i="1"/>
  <c r="AE755" i="1"/>
  <c r="AD755" i="1"/>
  <c r="AA755" i="1"/>
  <c r="AN754" i="1"/>
  <c r="AL754" i="1"/>
  <c r="AK754" i="1"/>
  <c r="AH754" i="1"/>
  <c r="AG754" i="1"/>
  <c r="AE754" i="1"/>
  <c r="AD754" i="1"/>
  <c r="AA754" i="1"/>
  <c r="AN753" i="1"/>
  <c r="AL753" i="1"/>
  <c r="AK753" i="1"/>
  <c r="AH753" i="1"/>
  <c r="AG753" i="1"/>
  <c r="AE753" i="1"/>
  <c r="AD753" i="1"/>
  <c r="AA753" i="1"/>
  <c r="AN752" i="1"/>
  <c r="AL752" i="1"/>
  <c r="AK752" i="1"/>
  <c r="AH752" i="1"/>
  <c r="AG752" i="1"/>
  <c r="AE752" i="1"/>
  <c r="AD752" i="1"/>
  <c r="AA752" i="1"/>
  <c r="AN751" i="1"/>
  <c r="AL751" i="1"/>
  <c r="AK751" i="1"/>
  <c r="AH751" i="1"/>
  <c r="AG751" i="1"/>
  <c r="AE751" i="1"/>
  <c r="AD751" i="1"/>
  <c r="AA751" i="1"/>
  <c r="AN750" i="1"/>
  <c r="AL750" i="1"/>
  <c r="AK750" i="1"/>
  <c r="AH750" i="1"/>
  <c r="AG750" i="1"/>
  <c r="AE750" i="1"/>
  <c r="AD750" i="1"/>
  <c r="AA750" i="1"/>
  <c r="AN749" i="1"/>
  <c r="AL749" i="1"/>
  <c r="AK749" i="1"/>
  <c r="AH749" i="1"/>
  <c r="AG749" i="1"/>
  <c r="AE749" i="1"/>
  <c r="AD749" i="1"/>
  <c r="AA749" i="1"/>
  <c r="AN748" i="1"/>
  <c r="AL748" i="1"/>
  <c r="AK748" i="1"/>
  <c r="AH748" i="1"/>
  <c r="AG748" i="1"/>
  <c r="AE748" i="1"/>
  <c r="AD748" i="1"/>
  <c r="AA748" i="1"/>
  <c r="AN747" i="1"/>
  <c r="AL747" i="1"/>
  <c r="AK747" i="1"/>
  <c r="AH747" i="1"/>
  <c r="AG747" i="1"/>
  <c r="AE747" i="1"/>
  <c r="AD747" i="1"/>
  <c r="AA747" i="1"/>
  <c r="AN746" i="1"/>
  <c r="AL746" i="1"/>
  <c r="AK746" i="1"/>
  <c r="AH746" i="1"/>
  <c r="AG746" i="1"/>
  <c r="AE746" i="1"/>
  <c r="AD746" i="1"/>
  <c r="AA746" i="1"/>
  <c r="AN745" i="1"/>
  <c r="AL745" i="1"/>
  <c r="AK745" i="1"/>
  <c r="AH745" i="1"/>
  <c r="AG745" i="1"/>
  <c r="AE745" i="1"/>
  <c r="AD745" i="1"/>
  <c r="AA745" i="1"/>
  <c r="AN744" i="1"/>
  <c r="AL744" i="1"/>
  <c r="AK744" i="1"/>
  <c r="AH744" i="1"/>
  <c r="AG744" i="1"/>
  <c r="AE744" i="1"/>
  <c r="AD744" i="1"/>
  <c r="AA744" i="1"/>
  <c r="AN743" i="1"/>
  <c r="AL743" i="1"/>
  <c r="AK743" i="1"/>
  <c r="AH743" i="1"/>
  <c r="AG743" i="1"/>
  <c r="AE743" i="1"/>
  <c r="AD743" i="1"/>
  <c r="AA743" i="1"/>
  <c r="AN742" i="1"/>
  <c r="AL742" i="1"/>
  <c r="AK742" i="1"/>
  <c r="AH742" i="1"/>
  <c r="AG742" i="1"/>
  <c r="AE742" i="1"/>
  <c r="AD742" i="1"/>
  <c r="AA742" i="1"/>
  <c r="AN741" i="1"/>
  <c r="AL741" i="1"/>
  <c r="AK741" i="1"/>
  <c r="AH741" i="1"/>
  <c r="AG741" i="1"/>
  <c r="AE741" i="1"/>
  <c r="AD741" i="1"/>
  <c r="AA741" i="1"/>
  <c r="AN740" i="1"/>
  <c r="AL740" i="1"/>
  <c r="AK740" i="1"/>
  <c r="AH740" i="1"/>
  <c r="AG740" i="1"/>
  <c r="AE740" i="1"/>
  <c r="AD740" i="1"/>
  <c r="AA740" i="1"/>
  <c r="AN739" i="1"/>
  <c r="AL739" i="1"/>
  <c r="AK739" i="1"/>
  <c r="AH739" i="1"/>
  <c r="AG739" i="1"/>
  <c r="AE739" i="1"/>
  <c r="AD739" i="1"/>
  <c r="AA739" i="1"/>
  <c r="AN738" i="1"/>
  <c r="AL738" i="1"/>
  <c r="AK738" i="1"/>
  <c r="AH738" i="1"/>
  <c r="AG738" i="1"/>
  <c r="AE738" i="1"/>
  <c r="AD738" i="1"/>
  <c r="AA738" i="1"/>
  <c r="AN737" i="1"/>
  <c r="AL737" i="1"/>
  <c r="AK737" i="1"/>
  <c r="AH737" i="1"/>
  <c r="AG737" i="1"/>
  <c r="AE737" i="1"/>
  <c r="AD737" i="1"/>
  <c r="AA737" i="1"/>
  <c r="AN736" i="1"/>
  <c r="AL736" i="1"/>
  <c r="AK736" i="1"/>
  <c r="AH736" i="1"/>
  <c r="AG736" i="1"/>
  <c r="AE736" i="1"/>
  <c r="AD736" i="1"/>
  <c r="AA736" i="1"/>
  <c r="AN735" i="1"/>
  <c r="AL735" i="1"/>
  <c r="AK735" i="1"/>
  <c r="AH735" i="1"/>
  <c r="AG735" i="1"/>
  <c r="AE735" i="1"/>
  <c r="AD735" i="1"/>
  <c r="AA735" i="1"/>
  <c r="AN734" i="1"/>
  <c r="AL734" i="1"/>
  <c r="AK734" i="1"/>
  <c r="AH734" i="1"/>
  <c r="AG734" i="1"/>
  <c r="AE734" i="1"/>
  <c r="AD734" i="1"/>
  <c r="AA734" i="1"/>
  <c r="AN733" i="1"/>
  <c r="AL733" i="1"/>
  <c r="AK733" i="1"/>
  <c r="AH733" i="1"/>
  <c r="AG733" i="1"/>
  <c r="AE733" i="1"/>
  <c r="AD733" i="1"/>
  <c r="AA733" i="1"/>
  <c r="AN732" i="1"/>
  <c r="AL732" i="1"/>
  <c r="AK732" i="1"/>
  <c r="AH732" i="1"/>
  <c r="AG732" i="1"/>
  <c r="AE732" i="1"/>
  <c r="AD732" i="1"/>
  <c r="AA732" i="1"/>
  <c r="AN731" i="1"/>
  <c r="AL731" i="1"/>
  <c r="AK731" i="1"/>
  <c r="AH731" i="1"/>
  <c r="AG731" i="1"/>
  <c r="AE731" i="1"/>
  <c r="AD731" i="1"/>
  <c r="AA731" i="1"/>
  <c r="AN730" i="1"/>
  <c r="AL730" i="1"/>
  <c r="AK730" i="1"/>
  <c r="AH730" i="1"/>
  <c r="AG730" i="1"/>
  <c r="AE730" i="1"/>
  <c r="AD730" i="1"/>
  <c r="AA730" i="1"/>
  <c r="AN729" i="1"/>
  <c r="AL729" i="1"/>
  <c r="AK729" i="1"/>
  <c r="AH729" i="1"/>
  <c r="AG729" i="1"/>
  <c r="AE729" i="1"/>
  <c r="AD729" i="1"/>
  <c r="AA729" i="1"/>
  <c r="AN728" i="1"/>
  <c r="AL728" i="1"/>
  <c r="AK728" i="1"/>
  <c r="AH728" i="1"/>
  <c r="AG728" i="1"/>
  <c r="AE728" i="1"/>
  <c r="AD728" i="1"/>
  <c r="AA728" i="1"/>
  <c r="AN727" i="1"/>
  <c r="AL727" i="1"/>
  <c r="AK727" i="1"/>
  <c r="AH727" i="1"/>
  <c r="AG727" i="1"/>
  <c r="AE727" i="1"/>
  <c r="AD727" i="1"/>
  <c r="AA727" i="1"/>
  <c r="AN726" i="1"/>
  <c r="AL726" i="1"/>
  <c r="AK726" i="1"/>
  <c r="AH726" i="1"/>
  <c r="AG726" i="1"/>
  <c r="AE726" i="1"/>
  <c r="AD726" i="1"/>
  <c r="AA726" i="1"/>
  <c r="AN725" i="1"/>
  <c r="AL725" i="1"/>
  <c r="AK725" i="1"/>
  <c r="AH725" i="1"/>
  <c r="AG725" i="1"/>
  <c r="AE725" i="1"/>
  <c r="AD725" i="1"/>
  <c r="AA725" i="1"/>
  <c r="AN724" i="1"/>
  <c r="AL724" i="1"/>
  <c r="AK724" i="1"/>
  <c r="AH724" i="1"/>
  <c r="AG724" i="1"/>
  <c r="AE724" i="1"/>
  <c r="AD724" i="1"/>
  <c r="AA724" i="1"/>
  <c r="AN723" i="1"/>
  <c r="AL723" i="1"/>
  <c r="AK723" i="1"/>
  <c r="AH723" i="1"/>
  <c r="AG723" i="1"/>
  <c r="AE723" i="1"/>
  <c r="AD723" i="1"/>
  <c r="AA723" i="1"/>
  <c r="AN722" i="1"/>
  <c r="AL722" i="1"/>
  <c r="AK722" i="1"/>
  <c r="AH722" i="1"/>
  <c r="AG722" i="1"/>
  <c r="AE722" i="1"/>
  <c r="AD722" i="1"/>
  <c r="AA722" i="1"/>
  <c r="AN721" i="1"/>
  <c r="AL721" i="1"/>
  <c r="AK721" i="1"/>
  <c r="AH721" i="1"/>
  <c r="AG721" i="1"/>
  <c r="AE721" i="1"/>
  <c r="AD721" i="1"/>
  <c r="AA721" i="1"/>
  <c r="AN720" i="1"/>
  <c r="AL720" i="1"/>
  <c r="AK720" i="1"/>
  <c r="AH720" i="1"/>
  <c r="AG720" i="1"/>
  <c r="AE720" i="1"/>
  <c r="AD720" i="1"/>
  <c r="AA720" i="1"/>
  <c r="AN719" i="1"/>
  <c r="AL719" i="1"/>
  <c r="AK719" i="1"/>
  <c r="AH719" i="1"/>
  <c r="AG719" i="1"/>
  <c r="AE719" i="1"/>
  <c r="AD719" i="1"/>
  <c r="AA719" i="1"/>
  <c r="AN718" i="1"/>
  <c r="AL718" i="1"/>
  <c r="AK718" i="1"/>
  <c r="AH718" i="1"/>
  <c r="AG718" i="1"/>
  <c r="AE718" i="1"/>
  <c r="AD718" i="1"/>
  <c r="AA718" i="1"/>
  <c r="AN717" i="1"/>
  <c r="AL717" i="1"/>
  <c r="AK717" i="1"/>
  <c r="AH717" i="1"/>
  <c r="AG717" i="1"/>
  <c r="AE717" i="1"/>
  <c r="AD717" i="1"/>
  <c r="AA717" i="1"/>
  <c r="AN716" i="1"/>
  <c r="AL716" i="1"/>
  <c r="AK716" i="1"/>
  <c r="AH716" i="1"/>
  <c r="AG716" i="1"/>
  <c r="AE716" i="1"/>
  <c r="AD716" i="1"/>
  <c r="AA716" i="1"/>
  <c r="AN715" i="1"/>
  <c r="AL715" i="1"/>
  <c r="AK715" i="1"/>
  <c r="AH715" i="1"/>
  <c r="AG715" i="1"/>
  <c r="AE715" i="1"/>
  <c r="AD715" i="1"/>
  <c r="AA715" i="1"/>
  <c r="AN714" i="1"/>
  <c r="AL714" i="1"/>
  <c r="AK714" i="1"/>
  <c r="AH714" i="1"/>
  <c r="AG714" i="1"/>
  <c r="AE714" i="1"/>
  <c r="AD714" i="1"/>
  <c r="AA714" i="1"/>
  <c r="AN713" i="1"/>
  <c r="AL713" i="1"/>
  <c r="AK713" i="1"/>
  <c r="AH713" i="1"/>
  <c r="AG713" i="1"/>
  <c r="AE713" i="1"/>
  <c r="AD713" i="1"/>
  <c r="AA713" i="1"/>
  <c r="AN712" i="1"/>
  <c r="AL712" i="1"/>
  <c r="AK712" i="1"/>
  <c r="AH712" i="1"/>
  <c r="AG712" i="1"/>
  <c r="AE712" i="1"/>
  <c r="AD712" i="1"/>
  <c r="AA712" i="1"/>
  <c r="AN711" i="1"/>
  <c r="AL711" i="1"/>
  <c r="AK711" i="1"/>
  <c r="AH711" i="1"/>
  <c r="AG711" i="1"/>
  <c r="AE711" i="1"/>
  <c r="AD711" i="1"/>
  <c r="AA711" i="1"/>
  <c r="AN710" i="1"/>
  <c r="AL710" i="1"/>
  <c r="AK710" i="1"/>
  <c r="AH710" i="1"/>
  <c r="AG710" i="1"/>
  <c r="AE710" i="1"/>
  <c r="AD710" i="1"/>
  <c r="AA710" i="1"/>
  <c r="AN709" i="1"/>
  <c r="AL709" i="1"/>
  <c r="AK709" i="1"/>
  <c r="AH709" i="1"/>
  <c r="AG709" i="1"/>
  <c r="AE709" i="1"/>
  <c r="AD709" i="1"/>
  <c r="AA709" i="1"/>
  <c r="AN708" i="1"/>
  <c r="AL708" i="1"/>
  <c r="AK708" i="1"/>
  <c r="AH708" i="1"/>
  <c r="AG708" i="1"/>
  <c r="AE708" i="1"/>
  <c r="AD708" i="1"/>
  <c r="AA708" i="1"/>
  <c r="AN707" i="1"/>
  <c r="AL707" i="1"/>
  <c r="AK707" i="1"/>
  <c r="AH707" i="1"/>
  <c r="AG707" i="1"/>
  <c r="AE707" i="1"/>
  <c r="AD707" i="1"/>
  <c r="AA707" i="1"/>
  <c r="AN706" i="1"/>
  <c r="AL706" i="1"/>
  <c r="AK706" i="1"/>
  <c r="AH706" i="1"/>
  <c r="AG706" i="1"/>
  <c r="AE706" i="1"/>
  <c r="AD706" i="1"/>
  <c r="AA706" i="1"/>
  <c r="AN705" i="1"/>
  <c r="AL705" i="1"/>
  <c r="AK705" i="1"/>
  <c r="AH705" i="1"/>
  <c r="AG705" i="1"/>
  <c r="AE705" i="1"/>
  <c r="AD705" i="1"/>
  <c r="AA705" i="1"/>
  <c r="AN704" i="1"/>
  <c r="AL704" i="1"/>
  <c r="AK704" i="1"/>
  <c r="AH704" i="1"/>
  <c r="AG704" i="1"/>
  <c r="AE704" i="1"/>
  <c r="AD704" i="1"/>
  <c r="AA704" i="1"/>
  <c r="AN703" i="1"/>
  <c r="AL703" i="1"/>
  <c r="AK703" i="1"/>
  <c r="AH703" i="1"/>
  <c r="AG703" i="1"/>
  <c r="AE703" i="1"/>
  <c r="AD703" i="1"/>
  <c r="AA703" i="1"/>
  <c r="AN702" i="1"/>
  <c r="AL702" i="1"/>
  <c r="AK702" i="1"/>
  <c r="AH702" i="1"/>
  <c r="AG702" i="1"/>
  <c r="AE702" i="1"/>
  <c r="AD702" i="1"/>
  <c r="AA702" i="1"/>
  <c r="AN701" i="1"/>
  <c r="AL701" i="1"/>
  <c r="AK701" i="1"/>
  <c r="AH701" i="1"/>
  <c r="AG701" i="1"/>
  <c r="AE701" i="1"/>
  <c r="AD701" i="1"/>
  <c r="AA701" i="1"/>
  <c r="AN700" i="1"/>
  <c r="AL700" i="1"/>
  <c r="AK700" i="1"/>
  <c r="AH700" i="1"/>
  <c r="AG700" i="1"/>
  <c r="AE700" i="1"/>
  <c r="AD700" i="1"/>
  <c r="AA700" i="1"/>
  <c r="AN699" i="1"/>
  <c r="AL699" i="1"/>
  <c r="AK699" i="1"/>
  <c r="AH699" i="1"/>
  <c r="AG699" i="1"/>
  <c r="AE699" i="1"/>
  <c r="AD699" i="1"/>
  <c r="AA699" i="1"/>
  <c r="AN698" i="1"/>
  <c r="AL698" i="1"/>
  <c r="AK698" i="1"/>
  <c r="AH698" i="1"/>
  <c r="AG698" i="1"/>
  <c r="AE698" i="1"/>
  <c r="AD698" i="1"/>
  <c r="AA698" i="1"/>
  <c r="AN697" i="1"/>
  <c r="AL697" i="1"/>
  <c r="AK697" i="1"/>
  <c r="AH697" i="1"/>
  <c r="AG697" i="1"/>
  <c r="AE697" i="1"/>
  <c r="AD697" i="1"/>
  <c r="AA697" i="1"/>
  <c r="AN696" i="1"/>
  <c r="AL696" i="1"/>
  <c r="AK696" i="1"/>
  <c r="AH696" i="1"/>
  <c r="AG696" i="1"/>
  <c r="AE696" i="1"/>
  <c r="AD696" i="1"/>
  <c r="AA696" i="1"/>
  <c r="AN695" i="1"/>
  <c r="AL695" i="1"/>
  <c r="AK695" i="1"/>
  <c r="AH695" i="1"/>
  <c r="AG695" i="1"/>
  <c r="AE695" i="1"/>
  <c r="AD695" i="1"/>
  <c r="AA695" i="1"/>
  <c r="AN694" i="1"/>
  <c r="AL694" i="1"/>
  <c r="AK694" i="1"/>
  <c r="AH694" i="1"/>
  <c r="AG694" i="1"/>
  <c r="AE694" i="1"/>
  <c r="AD694" i="1"/>
  <c r="AA694" i="1"/>
  <c r="AN693" i="1"/>
  <c r="AL693" i="1"/>
  <c r="AK693" i="1"/>
  <c r="AH693" i="1"/>
  <c r="AG693" i="1"/>
  <c r="AE693" i="1"/>
  <c r="AD693" i="1"/>
  <c r="AA693" i="1"/>
  <c r="AN692" i="1"/>
  <c r="AL692" i="1"/>
  <c r="AK692" i="1"/>
  <c r="AH692" i="1"/>
  <c r="AG692" i="1"/>
  <c r="AE692" i="1"/>
  <c r="AD692" i="1"/>
  <c r="AA692" i="1"/>
  <c r="AN691" i="1"/>
  <c r="AL691" i="1"/>
  <c r="AK691" i="1"/>
  <c r="AH691" i="1"/>
  <c r="AG691" i="1"/>
  <c r="AE691" i="1"/>
  <c r="AD691" i="1"/>
  <c r="AA691" i="1"/>
  <c r="AN690" i="1"/>
  <c r="AL690" i="1"/>
  <c r="AK690" i="1"/>
  <c r="AH690" i="1"/>
  <c r="AG690" i="1"/>
  <c r="AE690" i="1"/>
  <c r="AD690" i="1"/>
  <c r="AA690" i="1"/>
  <c r="AN689" i="1"/>
  <c r="AL689" i="1"/>
  <c r="AK689" i="1"/>
  <c r="AH689" i="1"/>
  <c r="AG689" i="1"/>
  <c r="AE689" i="1"/>
  <c r="AD689" i="1"/>
  <c r="AA689" i="1"/>
  <c r="AN688" i="1"/>
  <c r="AL688" i="1"/>
  <c r="AK688" i="1"/>
  <c r="AH688" i="1"/>
  <c r="AG688" i="1"/>
  <c r="AE688" i="1"/>
  <c r="AD688" i="1"/>
  <c r="AA688" i="1"/>
  <c r="AN687" i="1"/>
  <c r="AL687" i="1"/>
  <c r="AK687" i="1"/>
  <c r="AH687" i="1"/>
  <c r="AG687" i="1"/>
  <c r="AE687" i="1"/>
  <c r="AD687" i="1"/>
  <c r="AA687" i="1"/>
  <c r="AN686" i="1"/>
  <c r="AL686" i="1"/>
  <c r="AK686" i="1"/>
  <c r="AH686" i="1"/>
  <c r="AG686" i="1"/>
  <c r="AE686" i="1"/>
  <c r="AD686" i="1"/>
  <c r="AA686" i="1"/>
  <c r="AN685" i="1"/>
  <c r="AL685" i="1"/>
  <c r="AK685" i="1"/>
  <c r="AH685" i="1"/>
  <c r="AG685" i="1"/>
  <c r="AE685" i="1"/>
  <c r="AD685" i="1"/>
  <c r="AA685" i="1"/>
  <c r="AN684" i="1"/>
  <c r="AL684" i="1"/>
  <c r="AK684" i="1"/>
  <c r="AH684" i="1"/>
  <c r="AG684" i="1"/>
  <c r="AE684" i="1"/>
  <c r="AD684" i="1"/>
  <c r="AA684" i="1"/>
  <c r="AN683" i="1"/>
  <c r="AL683" i="1"/>
  <c r="AK683" i="1"/>
  <c r="AH683" i="1"/>
  <c r="AG683" i="1"/>
  <c r="AE683" i="1"/>
  <c r="AD683" i="1"/>
  <c r="AA683" i="1"/>
  <c r="AN682" i="1"/>
  <c r="AL682" i="1"/>
  <c r="AK682" i="1"/>
  <c r="AH682" i="1"/>
  <c r="AG682" i="1"/>
  <c r="AE682" i="1"/>
  <c r="AD682" i="1"/>
  <c r="AA682" i="1"/>
  <c r="AN681" i="1"/>
  <c r="AL681" i="1"/>
  <c r="AK681" i="1"/>
  <c r="AH681" i="1"/>
  <c r="AG681" i="1"/>
  <c r="AE681" i="1"/>
  <c r="AD681" i="1"/>
  <c r="AA681" i="1"/>
  <c r="AN680" i="1"/>
  <c r="AL680" i="1"/>
  <c r="AK680" i="1"/>
  <c r="AH680" i="1"/>
  <c r="AG680" i="1"/>
  <c r="AE680" i="1"/>
  <c r="AD680" i="1"/>
  <c r="AA680" i="1"/>
  <c r="AN679" i="1"/>
  <c r="AL679" i="1"/>
  <c r="AK679" i="1"/>
  <c r="AH679" i="1"/>
  <c r="AG679" i="1"/>
  <c r="AE679" i="1"/>
  <c r="AD679" i="1"/>
  <c r="AA679" i="1"/>
  <c r="AN678" i="1"/>
  <c r="AL678" i="1"/>
  <c r="AK678" i="1"/>
  <c r="AH678" i="1"/>
  <c r="AG678" i="1"/>
  <c r="AE678" i="1"/>
  <c r="AD678" i="1"/>
  <c r="AA678" i="1"/>
  <c r="AN677" i="1"/>
  <c r="AL677" i="1"/>
  <c r="AK677" i="1"/>
  <c r="AH677" i="1"/>
  <c r="AG677" i="1"/>
  <c r="AE677" i="1"/>
  <c r="AD677" i="1"/>
  <c r="AA677" i="1"/>
  <c r="AN676" i="1"/>
  <c r="AL676" i="1"/>
  <c r="AK676" i="1"/>
  <c r="AH676" i="1"/>
  <c r="AG676" i="1"/>
  <c r="AE676" i="1"/>
  <c r="AD676" i="1"/>
  <c r="AA676" i="1"/>
  <c r="AN675" i="1"/>
  <c r="AL675" i="1"/>
  <c r="AK675" i="1"/>
  <c r="AH675" i="1"/>
  <c r="AG675" i="1"/>
  <c r="AE675" i="1"/>
  <c r="AD675" i="1"/>
  <c r="AA675" i="1"/>
  <c r="AN674" i="1"/>
  <c r="AL674" i="1"/>
  <c r="AK674" i="1"/>
  <c r="AH674" i="1"/>
  <c r="AG674" i="1"/>
  <c r="AE674" i="1"/>
  <c r="AD674" i="1"/>
  <c r="AA674" i="1"/>
  <c r="AN673" i="1"/>
  <c r="AL673" i="1"/>
  <c r="AK673" i="1"/>
  <c r="AH673" i="1"/>
  <c r="AG673" i="1"/>
  <c r="AE673" i="1"/>
  <c r="AD673" i="1"/>
  <c r="AA673" i="1"/>
  <c r="AN672" i="1"/>
  <c r="AL672" i="1"/>
  <c r="AK672" i="1"/>
  <c r="AH672" i="1"/>
  <c r="AG672" i="1"/>
  <c r="AE672" i="1"/>
  <c r="AD672" i="1"/>
  <c r="AA672" i="1"/>
  <c r="AN671" i="1"/>
  <c r="AL671" i="1"/>
  <c r="AK671" i="1"/>
  <c r="AH671" i="1"/>
  <c r="AG671" i="1"/>
  <c r="AE671" i="1"/>
  <c r="AD671" i="1"/>
  <c r="AA671" i="1"/>
  <c r="AN670" i="1"/>
  <c r="AL670" i="1"/>
  <c r="AK670" i="1"/>
  <c r="AH670" i="1"/>
  <c r="AG670" i="1"/>
  <c r="AE670" i="1"/>
  <c r="AD670" i="1"/>
  <c r="AA670" i="1"/>
  <c r="AN669" i="1"/>
  <c r="AL669" i="1"/>
  <c r="AK669" i="1"/>
  <c r="AH669" i="1"/>
  <c r="AG669" i="1"/>
  <c r="AE669" i="1"/>
  <c r="AD669" i="1"/>
  <c r="AA669" i="1"/>
  <c r="AN668" i="1"/>
  <c r="AL668" i="1"/>
  <c r="AK668" i="1"/>
  <c r="AH668" i="1"/>
  <c r="AG668" i="1"/>
  <c r="AE668" i="1"/>
  <c r="AD668" i="1"/>
  <c r="AA668" i="1"/>
  <c r="AN667" i="1"/>
  <c r="AL667" i="1"/>
  <c r="AK667" i="1"/>
  <c r="AH667" i="1"/>
  <c r="AG667" i="1"/>
  <c r="AE667" i="1"/>
  <c r="AD667" i="1"/>
  <c r="AA667" i="1"/>
  <c r="AN666" i="1"/>
  <c r="AL666" i="1"/>
  <c r="AK666" i="1"/>
  <c r="AH666" i="1"/>
  <c r="AG666" i="1"/>
  <c r="AE666" i="1"/>
  <c r="AD666" i="1"/>
  <c r="AA666" i="1"/>
  <c r="AN665" i="1"/>
  <c r="AL665" i="1"/>
  <c r="AK665" i="1"/>
  <c r="AH665" i="1"/>
  <c r="AG665" i="1"/>
  <c r="AE665" i="1"/>
  <c r="AD665" i="1"/>
  <c r="AA665" i="1"/>
  <c r="AN664" i="1"/>
  <c r="AL664" i="1"/>
  <c r="AK664" i="1"/>
  <c r="AH664" i="1"/>
  <c r="AG664" i="1"/>
  <c r="AE664" i="1"/>
  <c r="AD664" i="1"/>
  <c r="AA664" i="1"/>
  <c r="AN663" i="1"/>
  <c r="AL663" i="1"/>
  <c r="AK663" i="1"/>
  <c r="AH663" i="1"/>
  <c r="AG663" i="1"/>
  <c r="AE663" i="1"/>
  <c r="AD663" i="1"/>
  <c r="AA663" i="1"/>
  <c r="AN662" i="1"/>
  <c r="AL662" i="1"/>
  <c r="AK662" i="1"/>
  <c r="AH662" i="1"/>
  <c r="AG662" i="1"/>
  <c r="AE662" i="1"/>
  <c r="AD662" i="1"/>
  <c r="AA662" i="1"/>
  <c r="AN661" i="1"/>
  <c r="AL661" i="1"/>
  <c r="AK661" i="1"/>
  <c r="AH661" i="1"/>
  <c r="AG661" i="1"/>
  <c r="AE661" i="1"/>
  <c r="AD661" i="1"/>
  <c r="AA661" i="1"/>
  <c r="AN660" i="1"/>
  <c r="AL660" i="1"/>
  <c r="AK660" i="1"/>
  <c r="AH660" i="1"/>
  <c r="AG660" i="1"/>
  <c r="AE660" i="1"/>
  <c r="AD660" i="1"/>
  <c r="AA660" i="1"/>
  <c r="AN659" i="1"/>
  <c r="AL659" i="1"/>
  <c r="AK659" i="1"/>
  <c r="AH659" i="1"/>
  <c r="AG659" i="1"/>
  <c r="AE659" i="1"/>
  <c r="AD659" i="1"/>
  <c r="AA659" i="1"/>
  <c r="AN658" i="1"/>
  <c r="AL658" i="1"/>
  <c r="AK658" i="1"/>
  <c r="AH658" i="1"/>
  <c r="AG658" i="1"/>
  <c r="AE658" i="1"/>
  <c r="AD658" i="1"/>
  <c r="AA658" i="1"/>
  <c r="AN657" i="1"/>
  <c r="AL657" i="1"/>
  <c r="AK657" i="1"/>
  <c r="AH657" i="1"/>
  <c r="AG657" i="1"/>
  <c r="AE657" i="1"/>
  <c r="AD657" i="1"/>
  <c r="AA657" i="1"/>
  <c r="AN656" i="1"/>
  <c r="AL656" i="1"/>
  <c r="AK656" i="1"/>
  <c r="AH656" i="1"/>
  <c r="AG656" i="1"/>
  <c r="AE656" i="1"/>
  <c r="AD656" i="1"/>
  <c r="AA656" i="1"/>
  <c r="AN655" i="1"/>
  <c r="AL655" i="1"/>
  <c r="AK655" i="1"/>
  <c r="AH655" i="1"/>
  <c r="AG655" i="1"/>
  <c r="AE655" i="1"/>
  <c r="AD655" i="1"/>
  <c r="AA655" i="1"/>
  <c r="AN654" i="1"/>
  <c r="AL654" i="1"/>
  <c r="AK654" i="1"/>
  <c r="AH654" i="1"/>
  <c r="AG654" i="1"/>
  <c r="AE654" i="1"/>
  <c r="AD654" i="1"/>
  <c r="AA654" i="1"/>
  <c r="AN653" i="1"/>
  <c r="AL653" i="1"/>
  <c r="AK653" i="1"/>
  <c r="AH653" i="1"/>
  <c r="AG653" i="1"/>
  <c r="AE653" i="1"/>
  <c r="AD653" i="1"/>
  <c r="AA653" i="1"/>
  <c r="AN652" i="1"/>
  <c r="AL652" i="1"/>
  <c r="AK652" i="1"/>
  <c r="AH652" i="1"/>
  <c r="AG652" i="1"/>
  <c r="AE652" i="1"/>
  <c r="AD652" i="1"/>
  <c r="AA652" i="1"/>
  <c r="AN651" i="1"/>
  <c r="AL651" i="1"/>
  <c r="AK651" i="1"/>
  <c r="AH651" i="1"/>
  <c r="AG651" i="1"/>
  <c r="AE651" i="1"/>
  <c r="AD651" i="1"/>
  <c r="AA651" i="1"/>
  <c r="AN650" i="1"/>
  <c r="AL650" i="1"/>
  <c r="AK650" i="1"/>
  <c r="AH650" i="1"/>
  <c r="AG650" i="1"/>
  <c r="AE650" i="1"/>
  <c r="AD650" i="1"/>
  <c r="AA650" i="1"/>
  <c r="AN649" i="1"/>
  <c r="AL649" i="1"/>
  <c r="AK649" i="1"/>
  <c r="AH649" i="1"/>
  <c r="AG649" i="1"/>
  <c r="AE649" i="1"/>
  <c r="AD649" i="1"/>
  <c r="AA649" i="1"/>
  <c r="AN648" i="1"/>
  <c r="AL648" i="1"/>
  <c r="AK648" i="1"/>
  <c r="AH648" i="1"/>
  <c r="AG648" i="1"/>
  <c r="AE648" i="1"/>
  <c r="AD648" i="1"/>
  <c r="AA648" i="1"/>
  <c r="AN647" i="1"/>
  <c r="AL647" i="1"/>
  <c r="AK647" i="1"/>
  <c r="AH647" i="1"/>
  <c r="AG647" i="1"/>
  <c r="AE647" i="1"/>
  <c r="AD647" i="1"/>
  <c r="AA647" i="1"/>
  <c r="AN646" i="1"/>
  <c r="AL646" i="1"/>
  <c r="AK646" i="1"/>
  <c r="AH646" i="1"/>
  <c r="AG646" i="1"/>
  <c r="AE646" i="1"/>
  <c r="AD646" i="1"/>
  <c r="AA646" i="1"/>
  <c r="AN645" i="1"/>
  <c r="AL645" i="1"/>
  <c r="AK645" i="1"/>
  <c r="AH645" i="1"/>
  <c r="AG645" i="1"/>
  <c r="AE645" i="1"/>
  <c r="AD645" i="1"/>
  <c r="AA645" i="1"/>
  <c r="AN644" i="1"/>
  <c r="AL644" i="1"/>
  <c r="AK644" i="1"/>
  <c r="AH644" i="1"/>
  <c r="AG644" i="1"/>
  <c r="AE644" i="1"/>
  <c r="AD644" i="1"/>
  <c r="AA644" i="1"/>
  <c r="AN643" i="1"/>
  <c r="AL643" i="1"/>
  <c r="AK643" i="1"/>
  <c r="AH643" i="1"/>
  <c r="AG643" i="1"/>
  <c r="AE643" i="1"/>
  <c r="AD643" i="1"/>
  <c r="AA643" i="1"/>
  <c r="AN642" i="1"/>
  <c r="AL642" i="1"/>
  <c r="AK642" i="1"/>
  <c r="AH642" i="1"/>
  <c r="AG642" i="1"/>
  <c r="AE642" i="1"/>
  <c r="AD642" i="1"/>
  <c r="AA642" i="1"/>
  <c r="AN641" i="1"/>
  <c r="AL641" i="1"/>
  <c r="AK641" i="1"/>
  <c r="AH641" i="1"/>
  <c r="AG641" i="1"/>
  <c r="AE641" i="1"/>
  <c r="AD641" i="1"/>
  <c r="AA641" i="1"/>
  <c r="AN640" i="1"/>
  <c r="AL640" i="1"/>
  <c r="AK640" i="1"/>
  <c r="AH640" i="1"/>
  <c r="AG640" i="1"/>
  <c r="AE640" i="1"/>
  <c r="AD640" i="1"/>
  <c r="AA640" i="1"/>
  <c r="AN639" i="1"/>
  <c r="AL639" i="1"/>
  <c r="AK639" i="1"/>
  <c r="AH639" i="1"/>
  <c r="AG639" i="1"/>
  <c r="AE639" i="1"/>
  <c r="AD639" i="1"/>
  <c r="AA639" i="1"/>
  <c r="AN638" i="1"/>
  <c r="AL638" i="1"/>
  <c r="AK638" i="1"/>
  <c r="AH638" i="1"/>
  <c r="AG638" i="1"/>
  <c r="AE638" i="1"/>
  <c r="AD638" i="1"/>
  <c r="AA638" i="1"/>
  <c r="AN637" i="1"/>
  <c r="AL637" i="1"/>
  <c r="AK637" i="1"/>
  <c r="AH637" i="1"/>
  <c r="AG637" i="1"/>
  <c r="AE637" i="1"/>
  <c r="AD637" i="1"/>
  <c r="AA637" i="1"/>
  <c r="AN636" i="1"/>
  <c r="AL636" i="1"/>
  <c r="AK636" i="1"/>
  <c r="AH636" i="1"/>
  <c r="AG636" i="1"/>
  <c r="AE636" i="1"/>
  <c r="AD636" i="1"/>
  <c r="AA636" i="1"/>
  <c r="AN635" i="1"/>
  <c r="AL635" i="1"/>
  <c r="AK635" i="1"/>
  <c r="AH635" i="1"/>
  <c r="AG635" i="1"/>
  <c r="AE635" i="1"/>
  <c r="AD635" i="1"/>
  <c r="AA635" i="1"/>
  <c r="AN634" i="1"/>
  <c r="AL634" i="1"/>
  <c r="AK634" i="1"/>
  <c r="AH634" i="1"/>
  <c r="AG634" i="1"/>
  <c r="AE634" i="1"/>
  <c r="AD634" i="1"/>
  <c r="AA634" i="1"/>
  <c r="AN633" i="1"/>
  <c r="AL633" i="1"/>
  <c r="AK633" i="1"/>
  <c r="AH633" i="1"/>
  <c r="AG633" i="1"/>
  <c r="AE633" i="1"/>
  <c r="AD633" i="1"/>
  <c r="AA633" i="1"/>
  <c r="AN632" i="1"/>
  <c r="AL632" i="1"/>
  <c r="AK632" i="1"/>
  <c r="AH632" i="1"/>
  <c r="AG632" i="1"/>
  <c r="AE632" i="1"/>
  <c r="AD632" i="1"/>
  <c r="AA632" i="1"/>
  <c r="AN631" i="1"/>
  <c r="AL631" i="1"/>
  <c r="AK631" i="1"/>
  <c r="AH631" i="1"/>
  <c r="AG631" i="1"/>
  <c r="AE631" i="1"/>
  <c r="AD631" i="1"/>
  <c r="AA631" i="1"/>
  <c r="AN630" i="1"/>
  <c r="AL630" i="1"/>
  <c r="AK630" i="1"/>
  <c r="AH630" i="1"/>
  <c r="AG630" i="1"/>
  <c r="AE630" i="1"/>
  <c r="AD630" i="1"/>
  <c r="AA630" i="1"/>
  <c r="AN629" i="1"/>
  <c r="AL629" i="1"/>
  <c r="AK629" i="1"/>
  <c r="AH629" i="1"/>
  <c r="AG629" i="1"/>
  <c r="AE629" i="1"/>
  <c r="AD629" i="1"/>
  <c r="AA629" i="1"/>
  <c r="AN628" i="1"/>
  <c r="AL628" i="1"/>
  <c r="AK628" i="1"/>
  <c r="AH628" i="1"/>
  <c r="AG628" i="1"/>
  <c r="AE628" i="1"/>
  <c r="AD628" i="1"/>
  <c r="AA628" i="1"/>
  <c r="AN627" i="1"/>
  <c r="AL627" i="1"/>
  <c r="AK627" i="1"/>
  <c r="AH627" i="1"/>
  <c r="AG627" i="1"/>
  <c r="AE627" i="1"/>
  <c r="AD627" i="1"/>
  <c r="AA627" i="1"/>
  <c r="AN626" i="1"/>
  <c r="AL626" i="1"/>
  <c r="AK626" i="1"/>
  <c r="AH626" i="1"/>
  <c r="AG626" i="1"/>
  <c r="AE626" i="1"/>
  <c r="AD626" i="1"/>
  <c r="AA626" i="1"/>
  <c r="AN625" i="1"/>
  <c r="AL625" i="1"/>
  <c r="AK625" i="1"/>
  <c r="AH625" i="1"/>
  <c r="AG625" i="1"/>
  <c r="AE625" i="1"/>
  <c r="AD625" i="1"/>
  <c r="AA625" i="1"/>
  <c r="AN624" i="1"/>
  <c r="AL624" i="1"/>
  <c r="AK624" i="1"/>
  <c r="AH624" i="1"/>
  <c r="AG624" i="1"/>
  <c r="AE624" i="1"/>
  <c r="AD624" i="1"/>
  <c r="AA624" i="1"/>
  <c r="AN623" i="1"/>
  <c r="AL623" i="1"/>
  <c r="AK623" i="1"/>
  <c r="AH623" i="1"/>
  <c r="AG623" i="1"/>
  <c r="AE623" i="1"/>
  <c r="AD623" i="1"/>
  <c r="AA623" i="1"/>
  <c r="AN622" i="1"/>
  <c r="AL622" i="1"/>
  <c r="AK622" i="1"/>
  <c r="AH622" i="1"/>
  <c r="AG622" i="1"/>
  <c r="AE622" i="1"/>
  <c r="AD622" i="1"/>
  <c r="AA622" i="1"/>
  <c r="AN621" i="1"/>
  <c r="AL621" i="1"/>
  <c r="AK621" i="1"/>
  <c r="AH621" i="1"/>
  <c r="AG621" i="1"/>
  <c r="AE621" i="1"/>
  <c r="AD621" i="1"/>
  <c r="AA621" i="1"/>
  <c r="AN620" i="1"/>
  <c r="AL620" i="1"/>
  <c r="AK620" i="1"/>
  <c r="AH620" i="1"/>
  <c r="AG620" i="1"/>
  <c r="AE620" i="1"/>
  <c r="AD620" i="1"/>
  <c r="AA620" i="1"/>
  <c r="AN619" i="1"/>
  <c r="AL619" i="1"/>
  <c r="AK619" i="1"/>
  <c r="AH619" i="1"/>
  <c r="AG619" i="1"/>
  <c r="AE619" i="1"/>
  <c r="AD619" i="1"/>
  <c r="AA619" i="1"/>
  <c r="AN618" i="1"/>
  <c r="AL618" i="1"/>
  <c r="AK618" i="1"/>
  <c r="AH618" i="1"/>
  <c r="AG618" i="1"/>
  <c r="AE618" i="1"/>
  <c r="AD618" i="1"/>
  <c r="AA618" i="1"/>
  <c r="AN617" i="1"/>
  <c r="AL617" i="1"/>
  <c r="AK617" i="1"/>
  <c r="AH617" i="1"/>
  <c r="AG617" i="1"/>
  <c r="AE617" i="1"/>
  <c r="AD617" i="1"/>
  <c r="AA617" i="1"/>
  <c r="AN616" i="1"/>
  <c r="AL616" i="1"/>
  <c r="AK616" i="1"/>
  <c r="AH616" i="1"/>
  <c r="AG616" i="1"/>
  <c r="AE616" i="1"/>
  <c r="AD616" i="1"/>
  <c r="AA616" i="1"/>
  <c r="AN615" i="1"/>
  <c r="AL615" i="1"/>
  <c r="AK615" i="1"/>
  <c r="AH615" i="1"/>
  <c r="AG615" i="1"/>
  <c r="AE615" i="1"/>
  <c r="AD615" i="1"/>
  <c r="AA615" i="1"/>
  <c r="AN614" i="1"/>
  <c r="AL614" i="1"/>
  <c r="AK614" i="1"/>
  <c r="AH614" i="1"/>
  <c r="AG614" i="1"/>
  <c r="AE614" i="1"/>
  <c r="AD614" i="1"/>
  <c r="AA614" i="1"/>
  <c r="AN613" i="1"/>
  <c r="AL613" i="1"/>
  <c r="AK613" i="1"/>
  <c r="AH613" i="1"/>
  <c r="AG613" i="1"/>
  <c r="AE613" i="1"/>
  <c r="AD613" i="1"/>
  <c r="AA613" i="1"/>
  <c r="AN612" i="1"/>
  <c r="AL612" i="1"/>
  <c r="AK612" i="1"/>
  <c r="AH612" i="1"/>
  <c r="AG612" i="1"/>
  <c r="AE612" i="1"/>
  <c r="AD612" i="1"/>
  <c r="AA612" i="1"/>
  <c r="AN611" i="1"/>
  <c r="AL611" i="1"/>
  <c r="AK611" i="1"/>
  <c r="AH611" i="1"/>
  <c r="AG611" i="1"/>
  <c r="AE611" i="1"/>
  <c r="AD611" i="1"/>
  <c r="AA611" i="1"/>
  <c r="AN610" i="1"/>
  <c r="AL610" i="1"/>
  <c r="AK610" i="1"/>
  <c r="AH610" i="1"/>
  <c r="AG610" i="1"/>
  <c r="AE610" i="1"/>
  <c r="AD610" i="1"/>
  <c r="AA610" i="1"/>
  <c r="AN609" i="1"/>
  <c r="AL609" i="1"/>
  <c r="AK609" i="1"/>
  <c r="AH609" i="1"/>
  <c r="AG609" i="1"/>
  <c r="AE609" i="1"/>
  <c r="AD609" i="1"/>
  <c r="AA609" i="1"/>
  <c r="AN608" i="1"/>
  <c r="AL608" i="1"/>
  <c r="AK608" i="1"/>
  <c r="AH608" i="1"/>
  <c r="AG608" i="1"/>
  <c r="AE608" i="1"/>
  <c r="AD608" i="1"/>
  <c r="AA608" i="1"/>
  <c r="AN607" i="1"/>
  <c r="AL607" i="1"/>
  <c r="AK607" i="1"/>
  <c r="AH607" i="1"/>
  <c r="AG607" i="1"/>
  <c r="AE607" i="1"/>
  <c r="AD607" i="1"/>
  <c r="AA607" i="1"/>
  <c r="AN606" i="1"/>
  <c r="AL606" i="1"/>
  <c r="AK606" i="1"/>
  <c r="AH606" i="1"/>
  <c r="AG606" i="1"/>
  <c r="AE606" i="1"/>
  <c r="AD606" i="1"/>
  <c r="AA606" i="1"/>
  <c r="AN605" i="1"/>
  <c r="AL605" i="1"/>
  <c r="AK605" i="1"/>
  <c r="AH605" i="1"/>
  <c r="AG605" i="1"/>
  <c r="AE605" i="1"/>
  <c r="AD605" i="1"/>
  <c r="AA605" i="1"/>
  <c r="AN604" i="1"/>
  <c r="AL604" i="1"/>
  <c r="AK604" i="1"/>
  <c r="AH604" i="1"/>
  <c r="AG604" i="1"/>
  <c r="AE604" i="1"/>
  <c r="AD604" i="1"/>
  <c r="AA604" i="1"/>
  <c r="AN603" i="1"/>
  <c r="AL603" i="1"/>
  <c r="AK603" i="1"/>
  <c r="AH603" i="1"/>
  <c r="AG603" i="1"/>
  <c r="AE603" i="1"/>
  <c r="AD603" i="1"/>
  <c r="AA603" i="1"/>
  <c r="AN602" i="1"/>
  <c r="AL602" i="1"/>
  <c r="AK602" i="1"/>
  <c r="AH602" i="1"/>
  <c r="AG602" i="1"/>
  <c r="AE602" i="1"/>
  <c r="AD602" i="1"/>
  <c r="AA602" i="1"/>
  <c r="AN601" i="1"/>
  <c r="AL601" i="1"/>
  <c r="AK601" i="1"/>
  <c r="AH601" i="1"/>
  <c r="AG601" i="1"/>
  <c r="AE601" i="1"/>
  <c r="AD601" i="1"/>
  <c r="AA601" i="1"/>
  <c r="AN600" i="1"/>
  <c r="AL600" i="1"/>
  <c r="AK600" i="1"/>
  <c r="AH600" i="1"/>
  <c r="AG600" i="1"/>
  <c r="AE600" i="1"/>
  <c r="AD600" i="1"/>
  <c r="AA600" i="1"/>
  <c r="AN599" i="1"/>
  <c r="AL599" i="1"/>
  <c r="AK599" i="1"/>
  <c r="AH599" i="1"/>
  <c r="AG599" i="1"/>
  <c r="AE599" i="1"/>
  <c r="AD599" i="1"/>
  <c r="AA599" i="1"/>
  <c r="AN598" i="1"/>
  <c r="AL598" i="1"/>
  <c r="AK598" i="1"/>
  <c r="AH598" i="1"/>
  <c r="AG598" i="1"/>
  <c r="AE598" i="1"/>
  <c r="AD598" i="1"/>
  <c r="AA598" i="1"/>
  <c r="AN597" i="1"/>
  <c r="AL597" i="1"/>
  <c r="AK597" i="1"/>
  <c r="AH597" i="1"/>
  <c r="AG597" i="1"/>
  <c r="AE597" i="1"/>
  <c r="AD597" i="1"/>
  <c r="AA597" i="1"/>
  <c r="AN596" i="1"/>
  <c r="AL596" i="1"/>
  <c r="AK596" i="1"/>
  <c r="AH596" i="1"/>
  <c r="AG596" i="1"/>
  <c r="AE596" i="1"/>
  <c r="AD596" i="1"/>
  <c r="AA596" i="1"/>
  <c r="AN595" i="1"/>
  <c r="AL595" i="1"/>
  <c r="AK595" i="1"/>
  <c r="AH595" i="1"/>
  <c r="AG595" i="1"/>
  <c r="AE595" i="1"/>
  <c r="AD595" i="1"/>
  <c r="AA595" i="1"/>
  <c r="AN594" i="1"/>
  <c r="AL594" i="1"/>
  <c r="AK594" i="1"/>
  <c r="AH594" i="1"/>
  <c r="AG594" i="1"/>
  <c r="AE594" i="1"/>
  <c r="AD594" i="1"/>
  <c r="AA594" i="1"/>
  <c r="AN593" i="1"/>
  <c r="AL593" i="1"/>
  <c r="AK593" i="1"/>
  <c r="AH593" i="1"/>
  <c r="AG593" i="1"/>
  <c r="AE593" i="1"/>
  <c r="AD593" i="1"/>
  <c r="AA593" i="1"/>
  <c r="AN592" i="1"/>
  <c r="AL592" i="1"/>
  <c r="AK592" i="1"/>
  <c r="AH592" i="1"/>
  <c r="AG592" i="1"/>
  <c r="AE592" i="1"/>
  <c r="AD592" i="1"/>
  <c r="AA592" i="1"/>
  <c r="AN591" i="1"/>
  <c r="AL591" i="1"/>
  <c r="AK591" i="1"/>
  <c r="AH591" i="1"/>
  <c r="AG591" i="1"/>
  <c r="AE591" i="1"/>
  <c r="AD591" i="1"/>
  <c r="AA591" i="1"/>
  <c r="AN590" i="1"/>
  <c r="AL590" i="1"/>
  <c r="AK590" i="1"/>
  <c r="AH590" i="1"/>
  <c r="AG590" i="1"/>
  <c r="AE590" i="1"/>
  <c r="AD590" i="1"/>
  <c r="AA590" i="1"/>
  <c r="AN589" i="1"/>
  <c r="AL589" i="1"/>
  <c r="AK589" i="1"/>
  <c r="AH589" i="1"/>
  <c r="AG589" i="1"/>
  <c r="AE589" i="1"/>
  <c r="AD589" i="1"/>
  <c r="AA589" i="1"/>
  <c r="AN588" i="1"/>
  <c r="AL588" i="1"/>
  <c r="AK588" i="1"/>
  <c r="AH588" i="1"/>
  <c r="AG588" i="1"/>
  <c r="AE588" i="1"/>
  <c r="AD588" i="1"/>
  <c r="AA588" i="1"/>
  <c r="AN587" i="1"/>
  <c r="AL587" i="1"/>
  <c r="AK587" i="1"/>
  <c r="AH587" i="1"/>
  <c r="AG587" i="1"/>
  <c r="AE587" i="1"/>
  <c r="AD587" i="1"/>
  <c r="AA587" i="1"/>
  <c r="AN586" i="1"/>
  <c r="AL586" i="1"/>
  <c r="AK586" i="1"/>
  <c r="AH586" i="1"/>
  <c r="AG586" i="1"/>
  <c r="AE586" i="1"/>
  <c r="AD586" i="1"/>
  <c r="AA586" i="1"/>
  <c r="AN585" i="1"/>
  <c r="AL585" i="1"/>
  <c r="AK585" i="1"/>
  <c r="AH585" i="1"/>
  <c r="AG585" i="1"/>
  <c r="AE585" i="1"/>
  <c r="AD585" i="1"/>
  <c r="AA585" i="1"/>
  <c r="AN584" i="1"/>
  <c r="AL584" i="1"/>
  <c r="AK584" i="1"/>
  <c r="AH584" i="1"/>
  <c r="AG584" i="1"/>
  <c r="AE584" i="1"/>
  <c r="AD584" i="1"/>
  <c r="AA584" i="1"/>
  <c r="AN583" i="1"/>
  <c r="AL583" i="1"/>
  <c r="AK583" i="1"/>
  <c r="AH583" i="1"/>
  <c r="AG583" i="1"/>
  <c r="AE583" i="1"/>
  <c r="AD583" i="1"/>
  <c r="AA583" i="1"/>
  <c r="AN582" i="1"/>
  <c r="AL582" i="1"/>
  <c r="AK582" i="1"/>
  <c r="AH582" i="1"/>
  <c r="AG582" i="1"/>
  <c r="AE582" i="1"/>
  <c r="AD582" i="1"/>
  <c r="AA582" i="1"/>
  <c r="AN581" i="1"/>
  <c r="AL581" i="1"/>
  <c r="AK581" i="1"/>
  <c r="AH581" i="1"/>
  <c r="AG581" i="1"/>
  <c r="AE581" i="1"/>
  <c r="AD581" i="1"/>
  <c r="AA581" i="1"/>
  <c r="AN580" i="1"/>
  <c r="AL580" i="1"/>
  <c r="AK580" i="1"/>
  <c r="AH580" i="1"/>
  <c r="AG580" i="1"/>
  <c r="AE580" i="1"/>
  <c r="AD580" i="1"/>
  <c r="AA580" i="1"/>
  <c r="AN579" i="1"/>
  <c r="AL579" i="1"/>
  <c r="AK579" i="1"/>
  <c r="AH579" i="1"/>
  <c r="AG579" i="1"/>
  <c r="AE579" i="1"/>
  <c r="AD579" i="1"/>
  <c r="AA579" i="1"/>
  <c r="AN578" i="1"/>
  <c r="AL578" i="1"/>
  <c r="AK578" i="1"/>
  <c r="AH578" i="1"/>
  <c r="AG578" i="1"/>
  <c r="AE578" i="1"/>
  <c r="AD578" i="1"/>
  <c r="AA578" i="1"/>
  <c r="AN577" i="1"/>
  <c r="AL577" i="1"/>
  <c r="AK577" i="1"/>
  <c r="AH577" i="1"/>
  <c r="AG577" i="1"/>
  <c r="AE577" i="1"/>
  <c r="AD577" i="1"/>
  <c r="AA577" i="1"/>
  <c r="AN576" i="1"/>
  <c r="AL576" i="1"/>
  <c r="AK576" i="1"/>
  <c r="AH576" i="1"/>
  <c r="AG576" i="1"/>
  <c r="AE576" i="1"/>
  <c r="AD576" i="1"/>
  <c r="AA576" i="1"/>
  <c r="AN575" i="1"/>
  <c r="AL575" i="1"/>
  <c r="AK575" i="1"/>
  <c r="AH575" i="1"/>
  <c r="AG575" i="1"/>
  <c r="AE575" i="1"/>
  <c r="AD575" i="1"/>
  <c r="AA575" i="1"/>
  <c r="AN574" i="1"/>
  <c r="AL574" i="1"/>
  <c r="AK574" i="1"/>
  <c r="AH574" i="1"/>
  <c r="AG574" i="1"/>
  <c r="AE574" i="1"/>
  <c r="AD574" i="1"/>
  <c r="AA574" i="1"/>
  <c r="AN573" i="1"/>
  <c r="AL573" i="1"/>
  <c r="AK573" i="1"/>
  <c r="AH573" i="1"/>
  <c r="AG573" i="1"/>
  <c r="AE573" i="1"/>
  <c r="AD573" i="1"/>
  <c r="AA573" i="1"/>
  <c r="AN572" i="1"/>
  <c r="AL572" i="1"/>
  <c r="AK572" i="1"/>
  <c r="AH572" i="1"/>
  <c r="AG572" i="1"/>
  <c r="AE572" i="1"/>
  <c r="AD572" i="1"/>
  <c r="AA572" i="1"/>
  <c r="AN571" i="1"/>
  <c r="AL571" i="1"/>
  <c r="AK571" i="1"/>
  <c r="AH571" i="1"/>
  <c r="AG571" i="1"/>
  <c r="AE571" i="1"/>
  <c r="AD571" i="1"/>
  <c r="AA571" i="1"/>
  <c r="AN570" i="1"/>
  <c r="AL570" i="1"/>
  <c r="AK570" i="1"/>
  <c r="AH570" i="1"/>
  <c r="AG570" i="1"/>
  <c r="AE570" i="1"/>
  <c r="AD570" i="1"/>
  <c r="AA570" i="1"/>
  <c r="AN569" i="1"/>
  <c r="AL569" i="1"/>
  <c r="AK569" i="1"/>
  <c r="AH569" i="1"/>
  <c r="AG569" i="1"/>
  <c r="AE569" i="1"/>
  <c r="AD569" i="1"/>
  <c r="AA569" i="1"/>
  <c r="AN568" i="1"/>
  <c r="AL568" i="1"/>
  <c r="AK568" i="1"/>
  <c r="AH568" i="1"/>
  <c r="AG568" i="1"/>
  <c r="AE568" i="1"/>
  <c r="AD568" i="1"/>
  <c r="AA568" i="1"/>
  <c r="AN567" i="1"/>
  <c r="AL567" i="1"/>
  <c r="AK567" i="1"/>
  <c r="AH567" i="1"/>
  <c r="AG567" i="1"/>
  <c r="AE567" i="1"/>
  <c r="AD567" i="1"/>
  <c r="AA567" i="1"/>
  <c r="AN566" i="1"/>
  <c r="AL566" i="1"/>
  <c r="AK566" i="1"/>
  <c r="AH566" i="1"/>
  <c r="AG566" i="1"/>
  <c r="AE566" i="1"/>
  <c r="AD566" i="1"/>
  <c r="AA566" i="1"/>
  <c r="AN565" i="1"/>
  <c r="AL565" i="1"/>
  <c r="AK565" i="1"/>
  <c r="AH565" i="1"/>
  <c r="AG565" i="1"/>
  <c r="AE565" i="1"/>
  <c r="AD565" i="1"/>
  <c r="AA565" i="1"/>
  <c r="AN564" i="1"/>
  <c r="AL564" i="1"/>
  <c r="AK564" i="1"/>
  <c r="AH564" i="1"/>
  <c r="AG564" i="1"/>
  <c r="AE564" i="1"/>
  <c r="AD564" i="1"/>
  <c r="AA564" i="1"/>
  <c r="AN563" i="1"/>
  <c r="AL563" i="1"/>
  <c r="AK563" i="1"/>
  <c r="AH563" i="1"/>
  <c r="AG563" i="1"/>
  <c r="AE563" i="1"/>
  <c r="AD563" i="1"/>
  <c r="AA563" i="1"/>
  <c r="AN562" i="1"/>
  <c r="AL562" i="1"/>
  <c r="AK562" i="1"/>
  <c r="AH562" i="1"/>
  <c r="AG562" i="1"/>
  <c r="AE562" i="1"/>
  <c r="AD562" i="1"/>
  <c r="AA562" i="1"/>
  <c r="AN561" i="1"/>
  <c r="AL561" i="1"/>
  <c r="AK561" i="1"/>
  <c r="AH561" i="1"/>
  <c r="AG561" i="1"/>
  <c r="AE561" i="1"/>
  <c r="AD561" i="1"/>
  <c r="AA561" i="1"/>
  <c r="AN560" i="1"/>
  <c r="AL560" i="1"/>
  <c r="AK560" i="1"/>
  <c r="AH560" i="1"/>
  <c r="AG560" i="1"/>
  <c r="AE560" i="1"/>
  <c r="AD560" i="1"/>
  <c r="AA560" i="1"/>
  <c r="AN559" i="1"/>
  <c r="AL559" i="1"/>
  <c r="AK559" i="1"/>
  <c r="AH559" i="1"/>
  <c r="AG559" i="1"/>
  <c r="AE559" i="1"/>
  <c r="AD559" i="1"/>
  <c r="AA559" i="1"/>
  <c r="AN558" i="1"/>
  <c r="AL558" i="1"/>
  <c r="AK558" i="1"/>
  <c r="AH558" i="1"/>
  <c r="AG558" i="1"/>
  <c r="AE558" i="1"/>
  <c r="AD558" i="1"/>
  <c r="AA558" i="1"/>
  <c r="AN557" i="1"/>
  <c r="AL557" i="1"/>
  <c r="AK557" i="1"/>
  <c r="AH557" i="1"/>
  <c r="AG557" i="1"/>
  <c r="AE557" i="1"/>
  <c r="AD557" i="1"/>
  <c r="AA557" i="1"/>
  <c r="AN556" i="1"/>
  <c r="AL556" i="1"/>
  <c r="AK556" i="1"/>
  <c r="AH556" i="1"/>
  <c r="AG556" i="1"/>
  <c r="AE556" i="1"/>
  <c r="AD556" i="1"/>
  <c r="AA556" i="1"/>
  <c r="AN555" i="1"/>
  <c r="AL555" i="1"/>
  <c r="AK555" i="1"/>
  <c r="AH555" i="1"/>
  <c r="AG555" i="1"/>
  <c r="AE555" i="1"/>
  <c r="AD555" i="1"/>
  <c r="AA555" i="1"/>
  <c r="AN554" i="1"/>
  <c r="AL554" i="1"/>
  <c r="AK554" i="1"/>
  <c r="AH554" i="1"/>
  <c r="AG554" i="1"/>
  <c r="AE554" i="1"/>
  <c r="AD554" i="1"/>
  <c r="AA554" i="1"/>
  <c r="AN553" i="1"/>
  <c r="AL553" i="1"/>
  <c r="AK553" i="1"/>
  <c r="AH553" i="1"/>
  <c r="AG553" i="1"/>
  <c r="AE553" i="1"/>
  <c r="AD553" i="1"/>
  <c r="AA553" i="1"/>
  <c r="AN552" i="1"/>
  <c r="AL552" i="1"/>
  <c r="AK552" i="1"/>
  <c r="AH552" i="1"/>
  <c r="AG552" i="1"/>
  <c r="AE552" i="1"/>
  <c r="AD552" i="1"/>
  <c r="AA552" i="1"/>
  <c r="AN551" i="1"/>
  <c r="AL551" i="1"/>
  <c r="AK551" i="1"/>
  <c r="AH551" i="1"/>
  <c r="AG551" i="1"/>
  <c r="AE551" i="1"/>
  <c r="AD551" i="1"/>
  <c r="AA551" i="1"/>
  <c r="AN550" i="1"/>
  <c r="AL550" i="1"/>
  <c r="AK550" i="1"/>
  <c r="AH550" i="1"/>
  <c r="AG550" i="1"/>
  <c r="AE550" i="1"/>
  <c r="AD550" i="1"/>
  <c r="AA550" i="1"/>
  <c r="AN549" i="1"/>
  <c r="AL549" i="1"/>
  <c r="AK549" i="1"/>
  <c r="AH549" i="1"/>
  <c r="AG549" i="1"/>
  <c r="AE549" i="1"/>
  <c r="AD549" i="1"/>
  <c r="AA549" i="1"/>
  <c r="AN548" i="1"/>
  <c r="AL548" i="1"/>
  <c r="AK548" i="1"/>
  <c r="AH548" i="1"/>
  <c r="AG548" i="1"/>
  <c r="AE548" i="1"/>
  <c r="AD548" i="1"/>
  <c r="AA548" i="1"/>
  <c r="AN547" i="1"/>
  <c r="AL547" i="1"/>
  <c r="AK547" i="1"/>
  <c r="AH547" i="1"/>
  <c r="AG547" i="1"/>
  <c r="AE547" i="1"/>
  <c r="AD547" i="1"/>
  <c r="AA547" i="1"/>
  <c r="AN546" i="1"/>
  <c r="AL546" i="1"/>
  <c r="AK546" i="1"/>
  <c r="AH546" i="1"/>
  <c r="AG546" i="1"/>
  <c r="AE546" i="1"/>
  <c r="AD546" i="1"/>
  <c r="AA546" i="1"/>
  <c r="AN545" i="1"/>
  <c r="AL545" i="1"/>
  <c r="AK545" i="1"/>
  <c r="AH545" i="1"/>
  <c r="AG545" i="1"/>
  <c r="AE545" i="1"/>
  <c r="AD545" i="1"/>
  <c r="AA545" i="1"/>
  <c r="AN544" i="1"/>
  <c r="AL544" i="1"/>
  <c r="AK544" i="1"/>
  <c r="AH544" i="1"/>
  <c r="AG544" i="1"/>
  <c r="AE544" i="1"/>
  <c r="AD544" i="1"/>
  <c r="AA544" i="1"/>
  <c r="AN543" i="1"/>
  <c r="AL543" i="1"/>
  <c r="AK543" i="1"/>
  <c r="AH543" i="1"/>
  <c r="AG543" i="1"/>
  <c r="AE543" i="1"/>
  <c r="AD543" i="1"/>
  <c r="AA543" i="1"/>
  <c r="AN542" i="1"/>
  <c r="AL542" i="1"/>
  <c r="AK542" i="1"/>
  <c r="AH542" i="1"/>
  <c r="AG542" i="1"/>
  <c r="AE542" i="1"/>
  <c r="AD542" i="1"/>
  <c r="AA542" i="1"/>
  <c r="AN541" i="1"/>
  <c r="AL541" i="1"/>
  <c r="AK541" i="1"/>
  <c r="AH541" i="1"/>
  <c r="AG541" i="1"/>
  <c r="AE541" i="1"/>
  <c r="AD541" i="1"/>
  <c r="AA541" i="1"/>
  <c r="AN540" i="1"/>
  <c r="AL540" i="1"/>
  <c r="AK540" i="1"/>
  <c r="AH540" i="1"/>
  <c r="AG540" i="1"/>
  <c r="AE540" i="1"/>
  <c r="AD540" i="1"/>
  <c r="AA540" i="1"/>
  <c r="AN539" i="1"/>
  <c r="AL539" i="1"/>
  <c r="AK539" i="1"/>
  <c r="AH539" i="1"/>
  <c r="AG539" i="1"/>
  <c r="AE539" i="1"/>
  <c r="AD539" i="1"/>
  <c r="AA539" i="1"/>
  <c r="AN538" i="1"/>
  <c r="AL538" i="1"/>
  <c r="AK538" i="1"/>
  <c r="AH538" i="1"/>
  <c r="AG538" i="1"/>
  <c r="AE538" i="1"/>
  <c r="AD538" i="1"/>
  <c r="AA538" i="1"/>
  <c r="AN537" i="1"/>
  <c r="AL537" i="1"/>
  <c r="AK537" i="1"/>
  <c r="AH537" i="1"/>
  <c r="AG537" i="1"/>
  <c r="AE537" i="1"/>
  <c r="AD537" i="1"/>
  <c r="AA537" i="1"/>
  <c r="AN536" i="1"/>
  <c r="AL536" i="1"/>
  <c r="AK536" i="1"/>
  <c r="AH536" i="1"/>
  <c r="AG536" i="1"/>
  <c r="AE536" i="1"/>
  <c r="AD536" i="1"/>
  <c r="AA536" i="1"/>
  <c r="AN535" i="1"/>
  <c r="AL535" i="1"/>
  <c r="AK535" i="1"/>
  <c r="AH535" i="1"/>
  <c r="AG535" i="1"/>
  <c r="AE535" i="1"/>
  <c r="AD535" i="1"/>
  <c r="AA535" i="1"/>
  <c r="AN534" i="1"/>
  <c r="AL534" i="1"/>
  <c r="AK534" i="1"/>
  <c r="AH534" i="1"/>
  <c r="AG534" i="1"/>
  <c r="AE534" i="1"/>
  <c r="AD534" i="1"/>
  <c r="AA534" i="1"/>
  <c r="AN533" i="1"/>
  <c r="AL533" i="1"/>
  <c r="AK533" i="1"/>
  <c r="AH533" i="1"/>
  <c r="AG533" i="1"/>
  <c r="AE533" i="1"/>
  <c r="AD533" i="1"/>
  <c r="AA533" i="1"/>
  <c r="AN532" i="1"/>
  <c r="AL532" i="1"/>
  <c r="AK532" i="1"/>
  <c r="AH532" i="1"/>
  <c r="AG532" i="1"/>
  <c r="AE532" i="1"/>
  <c r="AD532" i="1"/>
  <c r="AA532" i="1"/>
  <c r="AN531" i="1"/>
  <c r="AL531" i="1"/>
  <c r="AK531" i="1"/>
  <c r="AH531" i="1"/>
  <c r="AG531" i="1"/>
  <c r="AE531" i="1"/>
  <c r="AD531" i="1"/>
  <c r="AA531" i="1"/>
  <c r="AN530" i="1"/>
  <c r="AL530" i="1"/>
  <c r="AK530" i="1"/>
  <c r="AH530" i="1"/>
  <c r="AG530" i="1"/>
  <c r="AE530" i="1"/>
  <c r="AD530" i="1"/>
  <c r="AA530" i="1"/>
  <c r="AN529" i="1"/>
  <c r="AL529" i="1"/>
  <c r="AK529" i="1"/>
  <c r="AH529" i="1"/>
  <c r="AG529" i="1"/>
  <c r="AE529" i="1"/>
  <c r="AD529" i="1"/>
  <c r="AA529" i="1"/>
  <c r="AN528" i="1"/>
  <c r="AL528" i="1"/>
  <c r="AK528" i="1"/>
  <c r="AH528" i="1"/>
  <c r="AG528" i="1"/>
  <c r="AE528" i="1"/>
  <c r="AD528" i="1"/>
  <c r="AA528" i="1"/>
  <c r="AN527" i="1"/>
  <c r="AL527" i="1"/>
  <c r="AK527" i="1"/>
  <c r="AH527" i="1"/>
  <c r="AG527" i="1"/>
  <c r="AE527" i="1"/>
  <c r="AD527" i="1"/>
  <c r="AA527" i="1"/>
  <c r="AN526" i="1"/>
  <c r="AL526" i="1"/>
  <c r="AK526" i="1"/>
  <c r="AH526" i="1"/>
  <c r="AG526" i="1"/>
  <c r="AE526" i="1"/>
  <c r="AD526" i="1"/>
  <c r="AA526" i="1"/>
  <c r="AN525" i="1"/>
  <c r="AL525" i="1"/>
  <c r="AK525" i="1"/>
  <c r="AH525" i="1"/>
  <c r="AG525" i="1"/>
  <c r="AE525" i="1"/>
  <c r="AD525" i="1"/>
  <c r="AA525" i="1"/>
  <c r="AN524" i="1"/>
  <c r="AL524" i="1"/>
  <c r="AK524" i="1"/>
  <c r="AH524" i="1"/>
  <c r="AG524" i="1"/>
  <c r="AE524" i="1"/>
  <c r="AD524" i="1"/>
  <c r="AA524" i="1"/>
  <c r="AN523" i="1"/>
  <c r="AL523" i="1"/>
  <c r="AK523" i="1"/>
  <c r="AH523" i="1"/>
  <c r="AG523" i="1"/>
  <c r="AE523" i="1"/>
  <c r="AD523" i="1"/>
  <c r="AA523" i="1"/>
  <c r="AN522" i="1"/>
  <c r="AL522" i="1"/>
  <c r="AK522" i="1"/>
  <c r="AH522" i="1"/>
  <c r="AG522" i="1"/>
  <c r="AE522" i="1"/>
  <c r="AD522" i="1"/>
  <c r="AA522" i="1"/>
  <c r="AN521" i="1"/>
  <c r="AL521" i="1"/>
  <c r="AK521" i="1"/>
  <c r="AH521" i="1"/>
  <c r="AG521" i="1"/>
  <c r="AE521" i="1"/>
  <c r="AD521" i="1"/>
  <c r="AA521" i="1"/>
  <c r="AN520" i="1"/>
  <c r="AL520" i="1"/>
  <c r="AK520" i="1"/>
  <c r="AH520" i="1"/>
  <c r="AG520" i="1"/>
  <c r="AE520" i="1"/>
  <c r="AD520" i="1"/>
  <c r="AA520" i="1"/>
  <c r="AN519" i="1"/>
  <c r="AL519" i="1"/>
  <c r="AK519" i="1"/>
  <c r="AH519" i="1"/>
  <c r="AG519" i="1"/>
  <c r="AE519" i="1"/>
  <c r="AD519" i="1"/>
  <c r="AA519" i="1"/>
  <c r="AN518" i="1"/>
  <c r="AL518" i="1"/>
  <c r="AK518" i="1"/>
  <c r="AH518" i="1"/>
  <c r="AG518" i="1"/>
  <c r="AE518" i="1"/>
  <c r="AD518" i="1"/>
  <c r="AA518" i="1"/>
  <c r="AN517" i="1"/>
  <c r="AL517" i="1"/>
  <c r="AK517" i="1"/>
  <c r="AH517" i="1"/>
  <c r="AG517" i="1"/>
  <c r="AE517" i="1"/>
  <c r="AD517" i="1"/>
  <c r="AA517" i="1"/>
  <c r="AN516" i="1"/>
  <c r="AL516" i="1"/>
  <c r="AK516" i="1"/>
  <c r="AH516" i="1"/>
  <c r="AG516" i="1"/>
  <c r="AE516" i="1"/>
  <c r="AD516" i="1"/>
  <c r="AA516" i="1"/>
  <c r="AN515" i="1"/>
  <c r="AL515" i="1"/>
  <c r="AK515" i="1"/>
  <c r="AH515" i="1"/>
  <c r="AG515" i="1"/>
  <c r="AE515" i="1"/>
  <c r="AD515" i="1"/>
  <c r="AA515" i="1"/>
  <c r="AN514" i="1"/>
  <c r="AL514" i="1"/>
  <c r="AK514" i="1"/>
  <c r="AH514" i="1"/>
  <c r="AG514" i="1"/>
  <c r="AE514" i="1"/>
  <c r="AD514" i="1"/>
  <c r="AA514" i="1"/>
  <c r="AN513" i="1"/>
  <c r="AL513" i="1"/>
  <c r="AK513" i="1"/>
  <c r="AH513" i="1"/>
  <c r="AG513" i="1"/>
  <c r="AE513" i="1"/>
  <c r="AD513" i="1"/>
  <c r="AA513" i="1"/>
  <c r="AN512" i="1"/>
  <c r="AL512" i="1"/>
  <c r="AK512" i="1"/>
  <c r="AH512" i="1"/>
  <c r="AG512" i="1"/>
  <c r="AE512" i="1"/>
  <c r="AD512" i="1"/>
  <c r="AA512" i="1"/>
  <c r="AN511" i="1"/>
  <c r="AL511" i="1"/>
  <c r="AK511" i="1"/>
  <c r="AH511" i="1"/>
  <c r="AG511" i="1"/>
  <c r="AE511" i="1"/>
  <c r="AD511" i="1"/>
  <c r="AA511" i="1"/>
  <c r="AN510" i="1"/>
  <c r="AL510" i="1"/>
  <c r="AK510" i="1"/>
  <c r="AH510" i="1"/>
  <c r="AG510" i="1"/>
  <c r="AE510" i="1"/>
  <c r="AD510" i="1"/>
  <c r="AA510" i="1"/>
  <c r="AN509" i="1"/>
  <c r="AL509" i="1"/>
  <c r="AK509" i="1"/>
  <c r="AH509" i="1"/>
  <c r="AG509" i="1"/>
  <c r="AE509" i="1"/>
  <c r="AD509" i="1"/>
  <c r="AA509" i="1"/>
  <c r="AN508" i="1"/>
  <c r="AL508" i="1"/>
  <c r="AK508" i="1"/>
  <c r="AH508" i="1"/>
  <c r="AG508" i="1"/>
  <c r="AE508" i="1"/>
  <c r="AD508" i="1"/>
  <c r="AA508" i="1"/>
  <c r="AN507" i="1"/>
  <c r="AL507" i="1"/>
  <c r="AK507" i="1"/>
  <c r="AH507" i="1"/>
  <c r="AG507" i="1"/>
  <c r="AE507" i="1"/>
  <c r="AD507" i="1"/>
  <c r="AA507" i="1"/>
  <c r="AN506" i="1"/>
  <c r="AL506" i="1"/>
  <c r="AK506" i="1"/>
  <c r="AH506" i="1"/>
  <c r="AG506" i="1"/>
  <c r="AE506" i="1"/>
  <c r="AD506" i="1"/>
  <c r="AA506" i="1"/>
  <c r="AN505" i="1"/>
  <c r="AL505" i="1"/>
  <c r="AK505" i="1"/>
  <c r="AH505" i="1"/>
  <c r="AG505" i="1"/>
  <c r="AE505" i="1"/>
  <c r="AD505" i="1"/>
  <c r="AA505" i="1"/>
  <c r="AN504" i="1"/>
  <c r="AL504" i="1"/>
  <c r="AK504" i="1"/>
  <c r="AH504" i="1"/>
  <c r="AG504" i="1"/>
  <c r="AE504" i="1"/>
  <c r="AD504" i="1"/>
  <c r="AA504" i="1"/>
  <c r="AN503" i="1"/>
  <c r="AL503" i="1"/>
  <c r="AK503" i="1"/>
  <c r="AH503" i="1"/>
  <c r="AG503" i="1"/>
  <c r="AE503" i="1"/>
  <c r="AD503" i="1"/>
  <c r="AA503" i="1"/>
  <c r="AN502" i="1"/>
  <c r="AL502" i="1"/>
  <c r="AK502" i="1"/>
  <c r="AH502" i="1"/>
  <c r="AG502" i="1"/>
  <c r="AE502" i="1"/>
  <c r="AD502" i="1"/>
  <c r="AA502" i="1"/>
  <c r="AN501" i="1"/>
  <c r="AL501" i="1"/>
  <c r="AK501" i="1"/>
  <c r="AH501" i="1"/>
  <c r="AG501" i="1"/>
  <c r="AE501" i="1"/>
  <c r="AD501" i="1"/>
  <c r="AA501" i="1"/>
  <c r="AN500" i="1"/>
  <c r="AL500" i="1"/>
  <c r="AK500" i="1"/>
  <c r="AH500" i="1"/>
  <c r="AG500" i="1"/>
  <c r="AE500" i="1"/>
  <c r="AD500" i="1"/>
  <c r="AA500" i="1"/>
  <c r="AN499" i="1"/>
  <c r="AL499" i="1"/>
  <c r="AK499" i="1"/>
  <c r="AH499" i="1"/>
  <c r="AG499" i="1"/>
  <c r="AE499" i="1"/>
  <c r="AD499" i="1"/>
  <c r="AA499" i="1"/>
  <c r="AN498" i="1"/>
  <c r="AL498" i="1"/>
  <c r="AK498" i="1"/>
  <c r="AH498" i="1"/>
  <c r="AG498" i="1"/>
  <c r="AE498" i="1"/>
  <c r="AD498" i="1"/>
  <c r="AA498" i="1"/>
  <c r="AN497" i="1"/>
  <c r="AL497" i="1"/>
  <c r="AK497" i="1"/>
  <c r="AH497" i="1"/>
  <c r="AG497" i="1"/>
  <c r="AE497" i="1"/>
  <c r="AD497" i="1"/>
  <c r="AA497" i="1"/>
  <c r="AN496" i="1"/>
  <c r="AL496" i="1"/>
  <c r="AK496" i="1"/>
  <c r="AH496" i="1"/>
  <c r="AG496" i="1"/>
  <c r="AE496" i="1"/>
  <c r="AD496" i="1"/>
  <c r="AA496" i="1"/>
  <c r="AN495" i="1"/>
  <c r="AL495" i="1"/>
  <c r="AK495" i="1"/>
  <c r="AH495" i="1"/>
  <c r="AG495" i="1"/>
  <c r="AE495" i="1"/>
  <c r="AD495" i="1"/>
  <c r="AA495" i="1"/>
  <c r="AN494" i="1"/>
  <c r="AL494" i="1"/>
  <c r="AK494" i="1"/>
  <c r="AH494" i="1"/>
  <c r="AG494" i="1"/>
  <c r="AE494" i="1"/>
  <c r="AD494" i="1"/>
  <c r="AA494" i="1"/>
  <c r="AN493" i="1"/>
  <c r="AL493" i="1"/>
  <c r="AK493" i="1"/>
  <c r="AH493" i="1"/>
  <c r="AG493" i="1"/>
  <c r="AE493" i="1"/>
  <c r="AD493" i="1"/>
  <c r="AA493" i="1"/>
  <c r="AN492" i="1"/>
  <c r="AL492" i="1"/>
  <c r="AK492" i="1"/>
  <c r="AH492" i="1"/>
  <c r="AG492" i="1"/>
  <c r="AE492" i="1"/>
  <c r="AD492" i="1"/>
  <c r="AA492" i="1"/>
  <c r="AN491" i="1"/>
  <c r="AL491" i="1"/>
  <c r="AK491" i="1"/>
  <c r="AH491" i="1"/>
  <c r="AG491" i="1"/>
  <c r="AE491" i="1"/>
  <c r="AD491" i="1"/>
  <c r="AA491" i="1"/>
  <c r="AN490" i="1"/>
  <c r="AL490" i="1"/>
  <c r="AK490" i="1"/>
  <c r="AH490" i="1"/>
  <c r="AG490" i="1"/>
  <c r="AE490" i="1"/>
  <c r="AD490" i="1"/>
  <c r="AA490" i="1"/>
  <c r="AN489" i="1"/>
  <c r="AL489" i="1"/>
  <c r="AK489" i="1"/>
  <c r="AH489" i="1"/>
  <c r="AG489" i="1"/>
  <c r="AE489" i="1"/>
  <c r="AD489" i="1"/>
  <c r="AA489" i="1"/>
  <c r="AN488" i="1"/>
  <c r="AL488" i="1"/>
  <c r="AK488" i="1"/>
  <c r="AH488" i="1"/>
  <c r="AG488" i="1"/>
  <c r="AE488" i="1"/>
  <c r="AD488" i="1"/>
  <c r="AA488" i="1"/>
  <c r="AN487" i="1"/>
  <c r="AL487" i="1"/>
  <c r="AK487" i="1"/>
  <c r="AH487" i="1"/>
  <c r="AG487" i="1"/>
  <c r="AE487" i="1"/>
  <c r="AD487" i="1"/>
  <c r="AA487" i="1"/>
  <c r="AN486" i="1"/>
  <c r="AL486" i="1"/>
  <c r="AK486" i="1"/>
  <c r="AH486" i="1"/>
  <c r="AG486" i="1"/>
  <c r="AE486" i="1"/>
  <c r="AD486" i="1"/>
  <c r="AA486" i="1"/>
  <c r="AN485" i="1"/>
  <c r="AL485" i="1"/>
  <c r="AK485" i="1"/>
  <c r="AH485" i="1"/>
  <c r="AG485" i="1"/>
  <c r="AE485" i="1"/>
  <c r="AD485" i="1"/>
  <c r="AA485" i="1"/>
  <c r="AN484" i="1"/>
  <c r="AL484" i="1"/>
  <c r="AK484" i="1"/>
  <c r="AH484" i="1"/>
  <c r="AG484" i="1"/>
  <c r="AE484" i="1"/>
  <c r="AD484" i="1"/>
  <c r="AA484" i="1"/>
  <c r="AN483" i="1"/>
  <c r="AL483" i="1"/>
  <c r="AK483" i="1"/>
  <c r="AH483" i="1"/>
  <c r="AG483" i="1"/>
  <c r="AE483" i="1"/>
  <c r="AD483" i="1"/>
  <c r="AA483" i="1"/>
  <c r="AN482" i="1"/>
  <c r="AL482" i="1"/>
  <c r="AK482" i="1"/>
  <c r="AH482" i="1"/>
  <c r="AG482" i="1"/>
  <c r="AE482" i="1"/>
  <c r="AD482" i="1"/>
  <c r="AA482" i="1"/>
  <c r="AN481" i="1"/>
  <c r="AL481" i="1"/>
  <c r="AK481" i="1"/>
  <c r="AH481" i="1"/>
  <c r="AG481" i="1"/>
  <c r="AE481" i="1"/>
  <c r="AD481" i="1"/>
  <c r="AA481" i="1"/>
  <c r="AN480" i="1"/>
  <c r="AL480" i="1"/>
  <c r="AK480" i="1"/>
  <c r="AH480" i="1"/>
  <c r="AG480" i="1"/>
  <c r="AE480" i="1"/>
  <c r="AD480" i="1"/>
  <c r="AA480" i="1"/>
  <c r="AN479" i="1"/>
  <c r="AL479" i="1"/>
  <c r="AK479" i="1"/>
  <c r="AH479" i="1"/>
  <c r="AG479" i="1"/>
  <c r="AE479" i="1"/>
  <c r="AD479" i="1"/>
  <c r="AA479" i="1"/>
  <c r="AN478" i="1"/>
  <c r="AL478" i="1"/>
  <c r="AK478" i="1"/>
  <c r="AH478" i="1"/>
  <c r="AG478" i="1"/>
  <c r="AE478" i="1"/>
  <c r="AD478" i="1"/>
  <c r="AA478" i="1"/>
  <c r="AN477" i="1"/>
  <c r="AL477" i="1"/>
  <c r="AK477" i="1"/>
  <c r="AH477" i="1"/>
  <c r="AG477" i="1"/>
  <c r="AE477" i="1"/>
  <c r="AD477" i="1"/>
  <c r="AA477" i="1"/>
  <c r="AN476" i="1"/>
  <c r="AL476" i="1"/>
  <c r="AK476" i="1"/>
  <c r="AH476" i="1"/>
  <c r="AG476" i="1"/>
  <c r="AE476" i="1"/>
  <c r="AD476" i="1"/>
  <c r="AA476" i="1"/>
  <c r="AN475" i="1"/>
  <c r="AL475" i="1"/>
  <c r="AK475" i="1"/>
  <c r="AH475" i="1"/>
  <c r="AG475" i="1"/>
  <c r="AE475" i="1"/>
  <c r="AD475" i="1"/>
  <c r="AA475" i="1"/>
  <c r="AN474" i="1"/>
  <c r="AL474" i="1"/>
  <c r="AK474" i="1"/>
  <c r="AH474" i="1"/>
  <c r="AG474" i="1"/>
  <c r="AE474" i="1"/>
  <c r="AD474" i="1"/>
  <c r="AA474" i="1"/>
  <c r="AN473" i="1"/>
  <c r="AL473" i="1"/>
  <c r="AK473" i="1"/>
  <c r="AH473" i="1"/>
  <c r="AG473" i="1"/>
  <c r="AE473" i="1"/>
  <c r="AD473" i="1"/>
  <c r="AA473" i="1"/>
  <c r="AN472" i="1"/>
  <c r="AL472" i="1"/>
  <c r="AK472" i="1"/>
  <c r="AH472" i="1"/>
  <c r="AG472" i="1"/>
  <c r="AE472" i="1"/>
  <c r="AD472" i="1"/>
  <c r="AA472" i="1"/>
  <c r="AN471" i="1"/>
  <c r="AL471" i="1"/>
  <c r="AK471" i="1"/>
  <c r="AH471" i="1"/>
  <c r="AG471" i="1"/>
  <c r="AE471" i="1"/>
  <c r="AD471" i="1"/>
  <c r="AA471" i="1"/>
  <c r="AN470" i="1"/>
  <c r="AL470" i="1"/>
  <c r="AK470" i="1"/>
  <c r="AH470" i="1"/>
  <c r="AG470" i="1"/>
  <c r="AE470" i="1"/>
  <c r="AD470" i="1"/>
  <c r="AA470" i="1"/>
  <c r="AN469" i="1"/>
  <c r="AL469" i="1"/>
  <c r="AK469" i="1"/>
  <c r="AH469" i="1"/>
  <c r="AG469" i="1"/>
  <c r="AE469" i="1"/>
  <c r="AD469" i="1"/>
  <c r="AA469" i="1"/>
  <c r="AN468" i="1"/>
  <c r="AL468" i="1"/>
  <c r="AK468" i="1"/>
  <c r="AH468" i="1"/>
  <c r="AG468" i="1"/>
  <c r="AE468" i="1"/>
  <c r="AD468" i="1"/>
  <c r="AA468" i="1"/>
  <c r="AN467" i="1"/>
  <c r="AL467" i="1"/>
  <c r="AK467" i="1"/>
  <c r="AH467" i="1"/>
  <c r="AG467" i="1"/>
  <c r="AE467" i="1"/>
  <c r="AD467" i="1"/>
  <c r="AA467" i="1"/>
  <c r="AN466" i="1"/>
  <c r="AL466" i="1"/>
  <c r="AK466" i="1"/>
  <c r="AH466" i="1"/>
  <c r="AG466" i="1"/>
  <c r="AE466" i="1"/>
  <c r="AD466" i="1"/>
  <c r="AA466" i="1"/>
  <c r="AN465" i="1"/>
  <c r="AL465" i="1"/>
  <c r="AK465" i="1"/>
  <c r="AH465" i="1"/>
  <c r="AG465" i="1"/>
  <c r="AE465" i="1"/>
  <c r="AD465" i="1"/>
  <c r="AA465" i="1"/>
  <c r="AN464" i="1"/>
  <c r="AL464" i="1"/>
  <c r="AK464" i="1"/>
  <c r="AH464" i="1"/>
  <c r="AG464" i="1"/>
  <c r="AE464" i="1"/>
  <c r="AD464" i="1"/>
  <c r="AA464" i="1"/>
  <c r="AN463" i="1"/>
  <c r="AL463" i="1"/>
  <c r="AK463" i="1"/>
  <c r="AH463" i="1"/>
  <c r="AG463" i="1"/>
  <c r="AE463" i="1"/>
  <c r="AD463" i="1"/>
  <c r="AA463" i="1"/>
  <c r="AN462" i="1"/>
  <c r="AL462" i="1"/>
  <c r="AK462" i="1"/>
  <c r="AH462" i="1"/>
  <c r="AG462" i="1"/>
  <c r="AE462" i="1"/>
  <c r="AD462" i="1"/>
  <c r="AA462" i="1"/>
  <c r="AN461" i="1"/>
  <c r="AL461" i="1"/>
  <c r="AK461" i="1"/>
  <c r="AH461" i="1"/>
  <c r="AG461" i="1"/>
  <c r="AE461" i="1"/>
  <c r="AD461" i="1"/>
  <c r="AA461" i="1"/>
  <c r="AN460" i="1"/>
  <c r="AL460" i="1"/>
  <c r="AK460" i="1"/>
  <c r="AH460" i="1"/>
  <c r="AG460" i="1"/>
  <c r="AE460" i="1"/>
  <c r="AD460" i="1"/>
  <c r="AA460" i="1"/>
  <c r="AN459" i="1"/>
  <c r="AL459" i="1"/>
  <c r="AK459" i="1"/>
  <c r="AH459" i="1"/>
  <c r="AG459" i="1"/>
  <c r="AE459" i="1"/>
  <c r="AD459" i="1"/>
  <c r="AA459" i="1"/>
  <c r="AN458" i="1"/>
  <c r="AL458" i="1"/>
  <c r="AK458" i="1"/>
  <c r="AH458" i="1"/>
  <c r="AG458" i="1"/>
  <c r="AE458" i="1"/>
  <c r="AD458" i="1"/>
  <c r="AA458" i="1"/>
  <c r="AN457" i="1"/>
  <c r="AL457" i="1"/>
  <c r="AK457" i="1"/>
  <c r="AH457" i="1"/>
  <c r="AG457" i="1"/>
  <c r="AE457" i="1"/>
  <c r="AD457" i="1"/>
  <c r="AA457" i="1"/>
  <c r="AN456" i="1"/>
  <c r="AL456" i="1"/>
  <c r="AK456" i="1"/>
  <c r="AH456" i="1"/>
  <c r="AG456" i="1"/>
  <c r="AE456" i="1"/>
  <c r="AD456" i="1"/>
  <c r="AA456" i="1"/>
  <c r="AN455" i="1"/>
  <c r="AL455" i="1"/>
  <c r="AK455" i="1"/>
  <c r="AH455" i="1"/>
  <c r="AG455" i="1"/>
  <c r="AE455" i="1"/>
  <c r="AD455" i="1"/>
  <c r="AA455" i="1"/>
  <c r="AN454" i="1"/>
  <c r="AL454" i="1"/>
  <c r="AK454" i="1"/>
  <c r="AH454" i="1"/>
  <c r="AG454" i="1"/>
  <c r="AE454" i="1"/>
  <c r="AD454" i="1"/>
  <c r="AA454" i="1"/>
  <c r="AN453" i="1"/>
  <c r="AL453" i="1"/>
  <c r="AK453" i="1"/>
  <c r="AH453" i="1"/>
  <c r="AG453" i="1"/>
  <c r="AE453" i="1"/>
  <c r="AD453" i="1"/>
  <c r="AA453" i="1"/>
  <c r="AN452" i="1"/>
  <c r="AL452" i="1"/>
  <c r="AK452" i="1"/>
  <c r="AH452" i="1"/>
  <c r="AG452" i="1"/>
  <c r="AE452" i="1"/>
  <c r="AD452" i="1"/>
  <c r="AA452" i="1"/>
  <c r="AN451" i="1"/>
  <c r="AL451" i="1"/>
  <c r="AK451" i="1"/>
  <c r="AH451" i="1"/>
  <c r="AG451" i="1"/>
  <c r="AE451" i="1"/>
  <c r="AD451" i="1"/>
  <c r="AA451" i="1"/>
  <c r="AN450" i="1"/>
  <c r="AL450" i="1"/>
  <c r="AK450" i="1"/>
  <c r="AH450" i="1"/>
  <c r="AG450" i="1"/>
  <c r="AE450" i="1"/>
  <c r="AD450" i="1"/>
  <c r="AA450" i="1"/>
  <c r="AN449" i="1"/>
  <c r="AL449" i="1"/>
  <c r="AK449" i="1"/>
  <c r="AH449" i="1"/>
  <c r="AG449" i="1"/>
  <c r="AE449" i="1"/>
  <c r="AD449" i="1"/>
  <c r="AA449" i="1"/>
  <c r="AN448" i="1"/>
  <c r="AL448" i="1"/>
  <c r="AK448" i="1"/>
  <c r="AH448" i="1"/>
  <c r="AG448" i="1"/>
  <c r="AE448" i="1"/>
  <c r="AD448" i="1"/>
  <c r="AA448" i="1"/>
  <c r="AN447" i="1"/>
  <c r="AL447" i="1"/>
  <c r="AK447" i="1"/>
  <c r="AH447" i="1"/>
  <c r="AG447" i="1"/>
  <c r="AE447" i="1"/>
  <c r="AD447" i="1"/>
  <c r="AA447" i="1"/>
  <c r="AN446" i="1"/>
  <c r="AL446" i="1"/>
  <c r="AK446" i="1"/>
  <c r="AH446" i="1"/>
  <c r="AG446" i="1"/>
  <c r="AE446" i="1"/>
  <c r="AD446" i="1"/>
  <c r="AA446" i="1"/>
  <c r="AN445" i="1"/>
  <c r="AL445" i="1"/>
  <c r="AK445" i="1"/>
  <c r="AH445" i="1"/>
  <c r="AG445" i="1"/>
  <c r="AE445" i="1"/>
  <c r="AD445" i="1"/>
  <c r="AA445" i="1"/>
  <c r="AN444" i="1"/>
  <c r="AL444" i="1"/>
  <c r="AK444" i="1"/>
  <c r="AH444" i="1"/>
  <c r="AG444" i="1"/>
  <c r="AE444" i="1"/>
  <c r="AD444" i="1"/>
  <c r="AA444" i="1"/>
  <c r="AN443" i="1"/>
  <c r="AL443" i="1"/>
  <c r="AK443" i="1"/>
  <c r="AH443" i="1"/>
  <c r="AG443" i="1"/>
  <c r="AE443" i="1"/>
  <c r="AD443" i="1"/>
  <c r="AA443" i="1"/>
  <c r="AN442" i="1"/>
  <c r="AL442" i="1"/>
  <c r="AK442" i="1"/>
  <c r="AH442" i="1"/>
  <c r="AG442" i="1"/>
  <c r="AE442" i="1"/>
  <c r="AD442" i="1"/>
  <c r="AA442" i="1"/>
  <c r="AN441" i="1"/>
  <c r="AL441" i="1"/>
  <c r="AK441" i="1"/>
  <c r="AH441" i="1"/>
  <c r="AG441" i="1"/>
  <c r="AE441" i="1"/>
  <c r="AD441" i="1"/>
  <c r="AA441" i="1"/>
  <c r="AN440" i="1"/>
  <c r="AL440" i="1"/>
  <c r="AK440" i="1"/>
  <c r="AH440" i="1"/>
  <c r="AG440" i="1"/>
  <c r="AE440" i="1"/>
  <c r="AD440" i="1"/>
  <c r="AA440" i="1"/>
  <c r="AN439" i="1"/>
  <c r="AL439" i="1"/>
  <c r="AK439" i="1"/>
  <c r="AH439" i="1"/>
  <c r="AG439" i="1"/>
  <c r="AE439" i="1"/>
  <c r="AD439" i="1"/>
  <c r="AA439" i="1"/>
  <c r="AN438" i="1"/>
  <c r="AL438" i="1"/>
  <c r="AK438" i="1"/>
  <c r="AH438" i="1"/>
  <c r="AG438" i="1"/>
  <c r="AE438" i="1"/>
  <c r="AD438" i="1"/>
  <c r="AA438" i="1"/>
  <c r="AN437" i="1"/>
  <c r="AL437" i="1"/>
  <c r="AK437" i="1"/>
  <c r="AH437" i="1"/>
  <c r="AG437" i="1"/>
  <c r="AE437" i="1"/>
  <c r="AD437" i="1"/>
  <c r="AA437" i="1"/>
  <c r="AN436" i="1"/>
  <c r="AL436" i="1"/>
  <c r="AK436" i="1"/>
  <c r="AH436" i="1"/>
  <c r="AG436" i="1"/>
  <c r="AE436" i="1"/>
  <c r="AD436" i="1"/>
  <c r="AA436" i="1"/>
  <c r="AN435" i="1"/>
  <c r="AL435" i="1"/>
  <c r="AK435" i="1"/>
  <c r="AH435" i="1"/>
  <c r="AG435" i="1"/>
  <c r="AE435" i="1"/>
  <c r="AD435" i="1"/>
  <c r="AA435" i="1"/>
  <c r="AN434" i="1"/>
  <c r="AL434" i="1"/>
  <c r="AK434" i="1"/>
  <c r="AH434" i="1"/>
  <c r="AG434" i="1"/>
  <c r="AE434" i="1"/>
  <c r="AD434" i="1"/>
  <c r="AA434" i="1"/>
  <c r="AN433" i="1"/>
  <c r="AL433" i="1"/>
  <c r="AK433" i="1"/>
  <c r="AH433" i="1"/>
  <c r="AG433" i="1"/>
  <c r="AE433" i="1"/>
  <c r="AD433" i="1"/>
  <c r="AA433" i="1"/>
  <c r="AN432" i="1"/>
  <c r="AL432" i="1"/>
  <c r="AK432" i="1"/>
  <c r="AH432" i="1"/>
  <c r="AG432" i="1"/>
  <c r="AE432" i="1"/>
  <c r="AD432" i="1"/>
  <c r="AA432" i="1"/>
  <c r="AN431" i="1"/>
  <c r="AL431" i="1"/>
  <c r="AK431" i="1"/>
  <c r="AH431" i="1"/>
  <c r="AG431" i="1"/>
  <c r="AE431" i="1"/>
  <c r="AD431" i="1"/>
  <c r="AA431" i="1"/>
  <c r="AN430" i="1"/>
  <c r="AL430" i="1"/>
  <c r="AK430" i="1"/>
  <c r="AH430" i="1"/>
  <c r="AG430" i="1"/>
  <c r="AE430" i="1"/>
  <c r="AD430" i="1"/>
  <c r="AA430" i="1"/>
  <c r="AN429" i="1"/>
  <c r="AL429" i="1"/>
  <c r="AK429" i="1"/>
  <c r="AH429" i="1"/>
  <c r="AG429" i="1"/>
  <c r="AE429" i="1"/>
  <c r="AD429" i="1"/>
  <c r="AA429" i="1"/>
  <c r="AN428" i="1"/>
  <c r="AL428" i="1"/>
  <c r="AK428" i="1"/>
  <c r="AH428" i="1"/>
  <c r="AG428" i="1"/>
  <c r="AE428" i="1"/>
  <c r="AD428" i="1"/>
  <c r="AA428" i="1"/>
  <c r="AN427" i="1"/>
  <c r="AL427" i="1"/>
  <c r="AK427" i="1"/>
  <c r="AH427" i="1"/>
  <c r="AG427" i="1"/>
  <c r="AE427" i="1"/>
  <c r="AD427" i="1"/>
  <c r="AA427" i="1"/>
  <c r="AN426" i="1"/>
  <c r="AL426" i="1"/>
  <c r="AK426" i="1"/>
  <c r="AH426" i="1"/>
  <c r="AG426" i="1"/>
  <c r="AE426" i="1"/>
  <c r="AD426" i="1"/>
  <c r="AA426" i="1"/>
  <c r="AN425" i="1"/>
  <c r="AL425" i="1"/>
  <c r="AK425" i="1"/>
  <c r="AH425" i="1"/>
  <c r="AG425" i="1"/>
  <c r="AE425" i="1"/>
  <c r="AD425" i="1"/>
  <c r="AA425" i="1"/>
  <c r="AN424" i="1"/>
  <c r="AL424" i="1"/>
  <c r="AK424" i="1"/>
  <c r="AH424" i="1"/>
  <c r="AG424" i="1"/>
  <c r="AE424" i="1"/>
  <c r="AD424" i="1"/>
  <c r="AA424" i="1"/>
  <c r="AN423" i="1"/>
  <c r="AL423" i="1"/>
  <c r="AK423" i="1"/>
  <c r="AH423" i="1"/>
  <c r="AG423" i="1"/>
  <c r="AE423" i="1"/>
  <c r="AD423" i="1"/>
  <c r="AA423" i="1"/>
  <c r="AN422" i="1"/>
  <c r="AL422" i="1"/>
  <c r="AK422" i="1"/>
  <c r="AH422" i="1"/>
  <c r="AG422" i="1"/>
  <c r="AE422" i="1"/>
  <c r="AD422" i="1"/>
  <c r="AA422" i="1"/>
  <c r="AN421" i="1"/>
  <c r="AL421" i="1"/>
  <c r="AK421" i="1"/>
  <c r="AH421" i="1"/>
  <c r="AG421" i="1"/>
  <c r="AE421" i="1"/>
  <c r="AD421" i="1"/>
  <c r="AA421" i="1"/>
  <c r="AN420" i="1"/>
  <c r="AL420" i="1"/>
  <c r="AK420" i="1"/>
  <c r="AH420" i="1"/>
  <c r="AG420" i="1"/>
  <c r="AE420" i="1"/>
  <c r="AD420" i="1"/>
  <c r="AA420" i="1"/>
  <c r="AN419" i="1"/>
  <c r="AL419" i="1"/>
  <c r="AK419" i="1"/>
  <c r="AH419" i="1"/>
  <c r="AG419" i="1"/>
  <c r="AE419" i="1"/>
  <c r="AD419" i="1"/>
  <c r="AA419" i="1"/>
  <c r="AN418" i="1"/>
  <c r="AL418" i="1"/>
  <c r="AK418" i="1"/>
  <c r="AH418" i="1"/>
  <c r="AG418" i="1"/>
  <c r="AE418" i="1"/>
  <c r="AD418" i="1"/>
  <c r="AA418" i="1"/>
  <c r="AN417" i="1"/>
  <c r="AL417" i="1"/>
  <c r="AK417" i="1"/>
  <c r="AH417" i="1"/>
  <c r="AG417" i="1"/>
  <c r="AE417" i="1"/>
  <c r="AD417" i="1"/>
  <c r="AA417" i="1"/>
  <c r="AN416" i="1"/>
  <c r="AL416" i="1"/>
  <c r="AK416" i="1"/>
  <c r="AH416" i="1"/>
  <c r="AG416" i="1"/>
  <c r="AE416" i="1"/>
  <c r="AD416" i="1"/>
  <c r="AA416" i="1"/>
  <c r="AN415" i="1"/>
  <c r="AL415" i="1"/>
  <c r="AK415" i="1"/>
  <c r="AH415" i="1"/>
  <c r="AG415" i="1"/>
  <c r="AE415" i="1"/>
  <c r="AD415" i="1"/>
  <c r="AA415" i="1"/>
  <c r="AN414" i="1"/>
  <c r="AL414" i="1"/>
  <c r="AK414" i="1"/>
  <c r="AH414" i="1"/>
  <c r="AG414" i="1"/>
  <c r="AE414" i="1"/>
  <c r="AD414" i="1"/>
  <c r="AA414" i="1"/>
  <c r="AN413" i="1"/>
  <c r="AL413" i="1"/>
  <c r="AK413" i="1"/>
  <c r="AH413" i="1"/>
  <c r="AG413" i="1"/>
  <c r="AE413" i="1"/>
  <c r="AD413" i="1"/>
  <c r="AA413" i="1"/>
  <c r="AN412" i="1"/>
  <c r="AL412" i="1"/>
  <c r="AK412" i="1"/>
  <c r="AH412" i="1"/>
  <c r="AG412" i="1"/>
  <c r="AE412" i="1"/>
  <c r="AD412" i="1"/>
  <c r="AA412" i="1"/>
  <c r="AN411" i="1"/>
  <c r="AL411" i="1"/>
  <c r="AK411" i="1"/>
  <c r="AH411" i="1"/>
  <c r="AG411" i="1"/>
  <c r="AE411" i="1"/>
  <c r="AD411" i="1"/>
  <c r="AA411" i="1"/>
  <c r="AN410" i="1"/>
  <c r="AL410" i="1"/>
  <c r="AK410" i="1"/>
  <c r="AH410" i="1"/>
  <c r="AG410" i="1"/>
  <c r="AE410" i="1"/>
  <c r="AD410" i="1"/>
  <c r="AA410" i="1"/>
  <c r="AN409" i="1"/>
  <c r="AL409" i="1"/>
  <c r="AK409" i="1"/>
  <c r="AH409" i="1"/>
  <c r="AG409" i="1"/>
  <c r="AE409" i="1"/>
  <c r="AD409" i="1"/>
  <c r="AA409" i="1"/>
  <c r="AN408" i="1"/>
  <c r="AL408" i="1"/>
  <c r="AK408" i="1"/>
  <c r="AH408" i="1"/>
  <c r="AG408" i="1"/>
  <c r="AE408" i="1"/>
  <c r="AD408" i="1"/>
  <c r="AA408" i="1"/>
  <c r="AN407" i="1"/>
  <c r="AL407" i="1"/>
  <c r="AK407" i="1"/>
  <c r="AH407" i="1"/>
  <c r="AG407" i="1"/>
  <c r="AE407" i="1"/>
  <c r="AD407" i="1"/>
  <c r="AA407" i="1"/>
  <c r="AN406" i="1"/>
  <c r="AL406" i="1"/>
  <c r="AK406" i="1"/>
  <c r="AH406" i="1"/>
  <c r="AG406" i="1"/>
  <c r="AE406" i="1"/>
  <c r="AD406" i="1"/>
  <c r="AA406" i="1"/>
  <c r="AN405" i="1"/>
  <c r="AL405" i="1"/>
  <c r="AK405" i="1"/>
  <c r="AH405" i="1"/>
  <c r="AG405" i="1"/>
  <c r="AE405" i="1"/>
  <c r="AD405" i="1"/>
  <c r="AA405" i="1"/>
  <c r="AN404" i="1"/>
  <c r="AL404" i="1"/>
  <c r="AK404" i="1"/>
  <c r="AH404" i="1"/>
  <c r="AG404" i="1"/>
  <c r="AE404" i="1"/>
  <c r="AD404" i="1"/>
  <c r="AA404" i="1"/>
  <c r="AN403" i="1"/>
  <c r="AL403" i="1"/>
  <c r="AK403" i="1"/>
  <c r="AH403" i="1"/>
  <c r="AG403" i="1"/>
  <c r="AE403" i="1"/>
  <c r="AD403" i="1"/>
  <c r="AA403" i="1"/>
  <c r="AN402" i="1"/>
  <c r="AL402" i="1"/>
  <c r="AK402" i="1"/>
  <c r="AH402" i="1"/>
  <c r="AG402" i="1"/>
  <c r="AE402" i="1"/>
  <c r="AD402" i="1"/>
  <c r="AA402" i="1"/>
  <c r="AN401" i="1"/>
  <c r="AL401" i="1"/>
  <c r="AK401" i="1"/>
  <c r="AH401" i="1"/>
  <c r="AG401" i="1"/>
  <c r="AE401" i="1"/>
  <c r="AD401" i="1"/>
  <c r="AA401" i="1"/>
  <c r="AN400" i="1"/>
  <c r="AL400" i="1"/>
  <c r="AK400" i="1"/>
  <c r="AH400" i="1"/>
  <c r="AG400" i="1"/>
  <c r="AE400" i="1"/>
  <c r="AD400" i="1"/>
  <c r="AA400" i="1"/>
  <c r="AN399" i="1"/>
  <c r="AL399" i="1"/>
  <c r="AK399" i="1"/>
  <c r="AH399" i="1"/>
  <c r="AG399" i="1"/>
  <c r="AE399" i="1"/>
  <c r="AD399" i="1"/>
  <c r="AA399" i="1"/>
  <c r="AN398" i="1"/>
  <c r="AL398" i="1"/>
  <c r="AK398" i="1"/>
  <c r="AH398" i="1"/>
  <c r="AG398" i="1"/>
  <c r="AE398" i="1"/>
  <c r="AD398" i="1"/>
  <c r="AA398" i="1"/>
  <c r="AN397" i="1"/>
  <c r="AL397" i="1"/>
  <c r="AK397" i="1"/>
  <c r="AH397" i="1"/>
  <c r="AG397" i="1"/>
  <c r="AE397" i="1"/>
  <c r="AD397" i="1"/>
  <c r="AA397" i="1"/>
  <c r="AN396" i="1"/>
  <c r="AL396" i="1"/>
  <c r="AK396" i="1"/>
  <c r="AH396" i="1"/>
  <c r="AG396" i="1"/>
  <c r="AE396" i="1"/>
  <c r="AD396" i="1"/>
  <c r="AA396" i="1"/>
  <c r="AN395" i="1"/>
  <c r="AL395" i="1"/>
  <c r="AK395" i="1"/>
  <c r="AH395" i="1"/>
  <c r="AG395" i="1"/>
  <c r="AE395" i="1"/>
  <c r="AD395" i="1"/>
  <c r="AA395" i="1"/>
  <c r="AN394" i="1"/>
  <c r="AL394" i="1"/>
  <c r="AK394" i="1"/>
  <c r="AH394" i="1"/>
  <c r="AG394" i="1"/>
  <c r="AE394" i="1"/>
  <c r="AD394" i="1"/>
  <c r="AA394" i="1"/>
  <c r="AN393" i="1"/>
  <c r="AL393" i="1"/>
  <c r="AK393" i="1"/>
  <c r="AH393" i="1"/>
  <c r="AG393" i="1"/>
  <c r="AE393" i="1"/>
  <c r="AD393" i="1"/>
  <c r="AA393" i="1"/>
  <c r="AN392" i="1"/>
  <c r="AL392" i="1"/>
  <c r="AK392" i="1"/>
  <c r="AH392" i="1"/>
  <c r="AG392" i="1"/>
  <c r="AE392" i="1"/>
  <c r="AD392" i="1"/>
  <c r="AA392" i="1"/>
  <c r="AN391" i="1"/>
  <c r="AL391" i="1"/>
  <c r="AK391" i="1"/>
  <c r="AH391" i="1"/>
  <c r="AG391" i="1"/>
  <c r="AE391" i="1"/>
  <c r="AD391" i="1"/>
  <c r="AA391" i="1"/>
  <c r="AN390" i="1"/>
  <c r="AL390" i="1"/>
  <c r="AK390" i="1"/>
  <c r="AH390" i="1"/>
  <c r="AG390" i="1"/>
  <c r="AE390" i="1"/>
  <c r="AD390" i="1"/>
  <c r="AA390" i="1"/>
  <c r="AN389" i="1"/>
  <c r="AL389" i="1"/>
  <c r="AK389" i="1"/>
  <c r="AH389" i="1"/>
  <c r="AG389" i="1"/>
  <c r="AE389" i="1"/>
  <c r="AD389" i="1"/>
  <c r="AA389" i="1"/>
  <c r="AN388" i="1"/>
  <c r="AL388" i="1"/>
  <c r="AK388" i="1"/>
  <c r="AH388" i="1"/>
  <c r="AG388" i="1"/>
  <c r="AE388" i="1"/>
  <c r="AD388" i="1"/>
  <c r="AA388" i="1"/>
  <c r="AN387" i="1"/>
  <c r="AL387" i="1"/>
  <c r="AK387" i="1"/>
  <c r="AH387" i="1"/>
  <c r="AG387" i="1"/>
  <c r="AE387" i="1"/>
  <c r="AD387" i="1"/>
  <c r="AA387" i="1"/>
  <c r="AN386" i="1"/>
  <c r="AL386" i="1"/>
  <c r="AK386" i="1"/>
  <c r="AH386" i="1"/>
  <c r="AG386" i="1"/>
  <c r="AE386" i="1"/>
  <c r="AD386" i="1"/>
  <c r="AA386" i="1"/>
  <c r="AN385" i="1"/>
  <c r="AL385" i="1"/>
  <c r="AK385" i="1"/>
  <c r="AH385" i="1"/>
  <c r="AG385" i="1"/>
  <c r="AE385" i="1"/>
  <c r="AD385" i="1"/>
  <c r="AA385" i="1"/>
  <c r="AN384" i="1"/>
  <c r="AL384" i="1"/>
  <c r="AK384" i="1"/>
  <c r="AH384" i="1"/>
  <c r="AG384" i="1"/>
  <c r="AE384" i="1"/>
  <c r="AD384" i="1"/>
  <c r="AA384" i="1"/>
  <c r="AN383" i="1"/>
  <c r="AL383" i="1"/>
  <c r="AK383" i="1"/>
  <c r="AH383" i="1"/>
  <c r="AG383" i="1"/>
  <c r="AE383" i="1"/>
  <c r="AD383" i="1"/>
  <c r="AA383" i="1"/>
  <c r="AN382" i="1"/>
  <c r="AL382" i="1"/>
  <c r="AK382" i="1"/>
  <c r="AH382" i="1"/>
  <c r="AG382" i="1"/>
  <c r="AE382" i="1"/>
  <c r="AD382" i="1"/>
  <c r="AA382" i="1"/>
  <c r="AN381" i="1"/>
  <c r="AL381" i="1"/>
  <c r="AK381" i="1"/>
  <c r="AH381" i="1"/>
  <c r="AG381" i="1"/>
  <c r="AE381" i="1"/>
  <c r="AD381" i="1"/>
  <c r="AA381" i="1"/>
  <c r="AN380" i="1"/>
  <c r="AL380" i="1"/>
  <c r="AK380" i="1"/>
  <c r="AH380" i="1"/>
  <c r="AG380" i="1"/>
  <c r="AE380" i="1"/>
  <c r="AD380" i="1"/>
  <c r="AA380" i="1"/>
  <c r="AN379" i="1"/>
  <c r="AL379" i="1"/>
  <c r="AK379" i="1"/>
  <c r="AH379" i="1"/>
  <c r="AG379" i="1"/>
  <c r="AE379" i="1"/>
  <c r="AD379" i="1"/>
  <c r="AA379" i="1"/>
  <c r="AN378" i="1"/>
  <c r="AL378" i="1"/>
  <c r="AK378" i="1"/>
  <c r="AH378" i="1"/>
  <c r="AG378" i="1"/>
  <c r="AE378" i="1"/>
  <c r="AD378" i="1"/>
  <c r="AA378" i="1"/>
  <c r="AN377" i="1"/>
  <c r="AL377" i="1"/>
  <c r="AK377" i="1"/>
  <c r="AH377" i="1"/>
  <c r="AG377" i="1"/>
  <c r="AE377" i="1"/>
  <c r="AD377" i="1"/>
  <c r="AA377" i="1"/>
  <c r="AN376" i="1"/>
  <c r="AL376" i="1"/>
  <c r="AK376" i="1"/>
  <c r="AH376" i="1"/>
  <c r="AG376" i="1"/>
  <c r="AE376" i="1"/>
  <c r="AD376" i="1"/>
  <c r="AA376" i="1"/>
  <c r="AN375" i="1"/>
  <c r="AL375" i="1"/>
  <c r="AK375" i="1"/>
  <c r="AH375" i="1"/>
  <c r="AG375" i="1"/>
  <c r="AE375" i="1"/>
  <c r="AD375" i="1"/>
  <c r="AA375" i="1"/>
  <c r="AN374" i="1"/>
  <c r="AL374" i="1"/>
  <c r="AK374" i="1"/>
  <c r="AH374" i="1"/>
  <c r="AG374" i="1"/>
  <c r="AE374" i="1"/>
  <c r="AD374" i="1"/>
  <c r="AA374" i="1"/>
  <c r="AN373" i="1"/>
  <c r="AL373" i="1"/>
  <c r="AK373" i="1"/>
  <c r="AH373" i="1"/>
  <c r="AG373" i="1"/>
  <c r="AE373" i="1"/>
  <c r="AD373" i="1"/>
  <c r="AA373" i="1"/>
  <c r="AN372" i="1"/>
  <c r="AL372" i="1"/>
  <c r="AK372" i="1"/>
  <c r="AH372" i="1"/>
  <c r="AG372" i="1"/>
  <c r="AE372" i="1"/>
  <c r="AD372" i="1"/>
  <c r="AA372" i="1"/>
  <c r="AN371" i="1"/>
  <c r="AL371" i="1"/>
  <c r="AK371" i="1"/>
  <c r="AH371" i="1"/>
  <c r="AG371" i="1"/>
  <c r="AE371" i="1"/>
  <c r="AD371" i="1"/>
  <c r="AA371" i="1"/>
  <c r="AN370" i="1"/>
  <c r="AL370" i="1"/>
  <c r="AK370" i="1"/>
  <c r="AH370" i="1"/>
  <c r="AG370" i="1"/>
  <c r="AE370" i="1"/>
  <c r="AD370" i="1"/>
  <c r="AA370" i="1"/>
  <c r="AN369" i="1"/>
  <c r="AL369" i="1"/>
  <c r="AK369" i="1"/>
  <c r="AH369" i="1"/>
  <c r="AG369" i="1"/>
  <c r="AE369" i="1"/>
  <c r="AD369" i="1"/>
  <c r="AA369" i="1"/>
  <c r="AN368" i="1"/>
  <c r="AL368" i="1"/>
  <c r="AK368" i="1"/>
  <c r="AH368" i="1"/>
  <c r="AG368" i="1"/>
  <c r="AE368" i="1"/>
  <c r="AD368" i="1"/>
  <c r="AA368" i="1"/>
  <c r="AN367" i="1"/>
  <c r="AL367" i="1"/>
  <c r="AK367" i="1"/>
  <c r="AH367" i="1"/>
  <c r="AG367" i="1"/>
  <c r="AE367" i="1"/>
  <c r="AD367" i="1"/>
  <c r="AA367" i="1"/>
  <c r="AN366" i="1"/>
  <c r="AL366" i="1"/>
  <c r="AK366" i="1"/>
  <c r="AH366" i="1"/>
  <c r="AG366" i="1"/>
  <c r="AE366" i="1"/>
  <c r="AD366" i="1"/>
  <c r="AA366" i="1"/>
  <c r="AN365" i="1"/>
  <c r="AL365" i="1"/>
  <c r="AK365" i="1"/>
  <c r="AH365" i="1"/>
  <c r="AG365" i="1"/>
  <c r="AE365" i="1"/>
  <c r="AD365" i="1"/>
  <c r="AA365" i="1"/>
  <c r="AN364" i="1"/>
  <c r="AL364" i="1"/>
  <c r="AK364" i="1"/>
  <c r="AH364" i="1"/>
  <c r="AG364" i="1"/>
  <c r="AE364" i="1"/>
  <c r="AD364" i="1"/>
  <c r="AA364" i="1"/>
  <c r="AN363" i="1"/>
  <c r="AL363" i="1"/>
  <c r="AK363" i="1"/>
  <c r="AH363" i="1"/>
  <c r="AG363" i="1"/>
  <c r="AE363" i="1"/>
  <c r="AD363" i="1"/>
  <c r="AA363" i="1"/>
  <c r="AN362" i="1"/>
  <c r="AL362" i="1"/>
  <c r="AK362" i="1"/>
  <c r="AH362" i="1"/>
  <c r="AG362" i="1"/>
  <c r="AE362" i="1"/>
  <c r="AD362" i="1"/>
  <c r="AA362" i="1"/>
  <c r="AN361" i="1"/>
  <c r="AL361" i="1"/>
  <c r="AK361" i="1"/>
  <c r="AH361" i="1"/>
  <c r="AG361" i="1"/>
  <c r="AE361" i="1"/>
  <c r="AD361" i="1"/>
  <c r="AA361" i="1"/>
  <c r="AN360" i="1"/>
  <c r="AL360" i="1"/>
  <c r="AK360" i="1"/>
  <c r="AH360" i="1"/>
  <c r="AG360" i="1"/>
  <c r="AE360" i="1"/>
  <c r="AD360" i="1"/>
  <c r="AA360" i="1"/>
  <c r="AN359" i="1"/>
  <c r="AL359" i="1"/>
  <c r="AK359" i="1"/>
  <c r="AH359" i="1"/>
  <c r="AG359" i="1"/>
  <c r="AE359" i="1"/>
  <c r="AD359" i="1"/>
  <c r="AA359" i="1"/>
  <c r="AN358" i="1"/>
  <c r="AL358" i="1"/>
  <c r="AK358" i="1"/>
  <c r="AH358" i="1"/>
  <c r="AG358" i="1"/>
  <c r="AE358" i="1"/>
  <c r="AD358" i="1"/>
  <c r="AA358" i="1"/>
  <c r="AN357" i="1"/>
  <c r="AL357" i="1"/>
  <c r="AK357" i="1"/>
  <c r="AH357" i="1"/>
  <c r="AG357" i="1"/>
  <c r="AE357" i="1"/>
  <c r="AD357" i="1"/>
  <c r="AA357" i="1"/>
  <c r="AN356" i="1"/>
  <c r="AL356" i="1"/>
  <c r="AK356" i="1"/>
  <c r="AH356" i="1"/>
  <c r="AG356" i="1"/>
  <c r="AE356" i="1"/>
  <c r="AD356" i="1"/>
  <c r="AA356" i="1"/>
  <c r="AN355" i="1"/>
  <c r="AL355" i="1"/>
  <c r="AK355" i="1"/>
  <c r="AH355" i="1"/>
  <c r="AG355" i="1"/>
  <c r="AE355" i="1"/>
  <c r="AD355" i="1"/>
  <c r="AA355" i="1"/>
  <c r="AN354" i="1"/>
  <c r="AL354" i="1"/>
  <c r="AK354" i="1"/>
  <c r="AH354" i="1"/>
  <c r="AG354" i="1"/>
  <c r="AE354" i="1"/>
  <c r="AD354" i="1"/>
  <c r="AA354" i="1"/>
  <c r="AN353" i="1"/>
  <c r="AL353" i="1"/>
  <c r="AK353" i="1"/>
  <c r="AH353" i="1"/>
  <c r="AG353" i="1"/>
  <c r="AE353" i="1"/>
  <c r="AD353" i="1"/>
  <c r="AA353" i="1"/>
  <c r="AN352" i="1"/>
  <c r="AL352" i="1"/>
  <c r="AK352" i="1"/>
  <c r="AH352" i="1"/>
  <c r="AG352" i="1"/>
  <c r="AE352" i="1"/>
  <c r="AD352" i="1"/>
  <c r="AA352" i="1"/>
  <c r="AN351" i="1"/>
  <c r="AL351" i="1"/>
  <c r="AK351" i="1"/>
  <c r="AH351" i="1"/>
  <c r="AG351" i="1"/>
  <c r="AE351" i="1"/>
  <c r="AD351" i="1"/>
  <c r="AA351" i="1"/>
  <c r="AN350" i="1"/>
  <c r="AL350" i="1"/>
  <c r="AK350" i="1"/>
  <c r="AH350" i="1"/>
  <c r="AG350" i="1"/>
  <c r="AE350" i="1"/>
  <c r="AD350" i="1"/>
  <c r="AA350" i="1"/>
  <c r="AN349" i="1"/>
  <c r="AL349" i="1"/>
  <c r="AK349" i="1"/>
  <c r="AH349" i="1"/>
  <c r="AG349" i="1"/>
  <c r="AE349" i="1"/>
  <c r="AD349" i="1"/>
  <c r="AA349" i="1"/>
  <c r="AN348" i="1"/>
  <c r="AL348" i="1"/>
  <c r="AK348" i="1"/>
  <c r="AH348" i="1"/>
  <c r="AG348" i="1"/>
  <c r="AE348" i="1"/>
  <c r="AD348" i="1"/>
  <c r="AA348" i="1"/>
  <c r="AN347" i="1"/>
  <c r="AL347" i="1"/>
  <c r="AK347" i="1"/>
  <c r="AH347" i="1"/>
  <c r="AG347" i="1"/>
  <c r="AE347" i="1"/>
  <c r="AD347" i="1"/>
  <c r="AA347" i="1"/>
  <c r="AN346" i="1"/>
  <c r="AL346" i="1"/>
  <c r="AK346" i="1"/>
  <c r="AH346" i="1"/>
  <c r="AG346" i="1"/>
  <c r="AE346" i="1"/>
  <c r="AD346" i="1"/>
  <c r="AA346" i="1"/>
  <c r="AN345" i="1"/>
  <c r="AL345" i="1"/>
  <c r="AK345" i="1"/>
  <c r="AH345" i="1"/>
  <c r="AG345" i="1"/>
  <c r="AE345" i="1"/>
  <c r="AD345" i="1"/>
  <c r="AA345" i="1"/>
  <c r="AN344" i="1"/>
  <c r="AL344" i="1"/>
  <c r="AK344" i="1"/>
  <c r="AH344" i="1"/>
  <c r="AG344" i="1"/>
  <c r="AE344" i="1"/>
  <c r="AD344" i="1"/>
  <c r="AA344" i="1"/>
  <c r="AN343" i="1"/>
  <c r="AL343" i="1"/>
  <c r="AK343" i="1"/>
  <c r="AH343" i="1"/>
  <c r="AG343" i="1"/>
  <c r="AE343" i="1"/>
  <c r="AD343" i="1"/>
  <c r="AA343" i="1"/>
  <c r="AN342" i="1"/>
  <c r="AL342" i="1"/>
  <c r="AK342" i="1"/>
  <c r="AH342" i="1"/>
  <c r="AG342" i="1"/>
  <c r="AE342" i="1"/>
  <c r="AD342" i="1"/>
  <c r="AA342" i="1"/>
  <c r="AN341" i="1"/>
  <c r="AL341" i="1"/>
  <c r="AK341" i="1"/>
  <c r="AH341" i="1"/>
  <c r="AG341" i="1"/>
  <c r="AE341" i="1"/>
  <c r="AD341" i="1"/>
  <c r="AA341" i="1"/>
  <c r="AN340" i="1"/>
  <c r="AL340" i="1"/>
  <c r="AK340" i="1"/>
  <c r="AH340" i="1"/>
  <c r="AG340" i="1"/>
  <c r="AE340" i="1"/>
  <c r="AD340" i="1"/>
  <c r="AA340" i="1"/>
  <c r="AN339" i="1"/>
  <c r="AL339" i="1"/>
  <c r="AK339" i="1"/>
  <c r="AH339" i="1"/>
  <c r="AG339" i="1"/>
  <c r="AE339" i="1"/>
  <c r="AD339" i="1"/>
  <c r="AA339" i="1"/>
  <c r="AN338" i="1"/>
  <c r="AL338" i="1"/>
  <c r="AK338" i="1"/>
  <c r="AH338" i="1"/>
  <c r="AG338" i="1"/>
  <c r="AE338" i="1"/>
  <c r="AD338" i="1"/>
  <c r="AA338" i="1"/>
  <c r="AN337" i="1"/>
  <c r="AL337" i="1"/>
  <c r="AK337" i="1"/>
  <c r="AH337" i="1"/>
  <c r="AG337" i="1"/>
  <c r="AE337" i="1"/>
  <c r="AD337" i="1"/>
  <c r="AA337" i="1"/>
  <c r="AN336" i="1"/>
  <c r="AL336" i="1"/>
  <c r="AK336" i="1"/>
  <c r="AH336" i="1"/>
  <c r="AG336" i="1"/>
  <c r="AE336" i="1"/>
  <c r="AD336" i="1"/>
  <c r="AA336" i="1"/>
  <c r="AN335" i="1"/>
  <c r="AL335" i="1"/>
  <c r="AK335" i="1"/>
  <c r="AH335" i="1"/>
  <c r="AG335" i="1"/>
  <c r="AE335" i="1"/>
  <c r="AD335" i="1"/>
  <c r="AA335" i="1"/>
  <c r="AN334" i="1"/>
  <c r="AL334" i="1"/>
  <c r="AK334" i="1"/>
  <c r="AH334" i="1"/>
  <c r="AG334" i="1"/>
  <c r="AE334" i="1"/>
  <c r="AD334" i="1"/>
  <c r="AA334" i="1"/>
  <c r="AN333" i="1"/>
  <c r="AL333" i="1"/>
  <c r="AK333" i="1"/>
  <c r="AH333" i="1"/>
  <c r="AG333" i="1"/>
  <c r="AE333" i="1"/>
  <c r="AD333" i="1"/>
  <c r="AA333" i="1"/>
  <c r="AN332" i="1"/>
  <c r="AL332" i="1"/>
  <c r="AK332" i="1"/>
  <c r="AH332" i="1"/>
  <c r="AG332" i="1"/>
  <c r="AE332" i="1"/>
  <c r="AD332" i="1"/>
  <c r="AA332" i="1"/>
  <c r="AN331" i="1"/>
  <c r="AL331" i="1"/>
  <c r="AK331" i="1"/>
  <c r="AH331" i="1"/>
  <c r="AG331" i="1"/>
  <c r="AE331" i="1"/>
  <c r="AD331" i="1"/>
  <c r="AA331" i="1"/>
  <c r="AN330" i="1"/>
  <c r="AL330" i="1"/>
  <c r="AK330" i="1"/>
  <c r="AH330" i="1"/>
  <c r="AG330" i="1"/>
  <c r="AE330" i="1"/>
  <c r="AD330" i="1"/>
  <c r="AA330" i="1"/>
  <c r="AN329" i="1"/>
  <c r="AL329" i="1"/>
  <c r="AK329" i="1"/>
  <c r="AH329" i="1"/>
  <c r="AG329" i="1"/>
  <c r="AE329" i="1"/>
  <c r="AD329" i="1"/>
  <c r="AA329" i="1"/>
  <c r="AN328" i="1"/>
  <c r="AL328" i="1"/>
  <c r="AK328" i="1"/>
  <c r="AH328" i="1"/>
  <c r="AG328" i="1"/>
  <c r="AE328" i="1"/>
  <c r="AD328" i="1"/>
  <c r="AA328" i="1"/>
  <c r="AN327" i="1"/>
  <c r="AL327" i="1"/>
  <c r="AK327" i="1"/>
  <c r="AH327" i="1"/>
  <c r="AG327" i="1"/>
  <c r="AE327" i="1"/>
  <c r="AD327" i="1"/>
  <c r="AA327" i="1"/>
  <c r="AN326" i="1"/>
  <c r="AL326" i="1"/>
  <c r="AK326" i="1"/>
  <c r="AH326" i="1"/>
  <c r="AG326" i="1"/>
  <c r="AE326" i="1"/>
  <c r="AD326" i="1"/>
  <c r="AA326" i="1"/>
  <c r="AN325" i="1"/>
  <c r="AL325" i="1"/>
  <c r="AK325" i="1"/>
  <c r="AH325" i="1"/>
  <c r="AG325" i="1"/>
  <c r="AE325" i="1"/>
  <c r="AD325" i="1"/>
  <c r="AA325" i="1"/>
  <c r="AN324" i="1"/>
  <c r="AL324" i="1"/>
  <c r="AK324" i="1"/>
  <c r="AH324" i="1"/>
  <c r="AG324" i="1"/>
  <c r="AE324" i="1"/>
  <c r="AD324" i="1"/>
  <c r="AA324" i="1"/>
  <c r="AN323" i="1"/>
  <c r="AL323" i="1"/>
  <c r="AK323" i="1"/>
  <c r="AH323" i="1"/>
  <c r="AG323" i="1"/>
  <c r="AE323" i="1"/>
  <c r="AD323" i="1"/>
  <c r="AA323" i="1"/>
  <c r="AN322" i="1"/>
  <c r="AL322" i="1"/>
  <c r="AK322" i="1"/>
  <c r="AH322" i="1"/>
  <c r="AG322" i="1"/>
  <c r="AE322" i="1"/>
  <c r="AD322" i="1"/>
  <c r="AA322" i="1"/>
  <c r="AN321" i="1"/>
  <c r="AL321" i="1"/>
  <c r="AK321" i="1"/>
  <c r="AH321" i="1"/>
  <c r="AG321" i="1"/>
  <c r="AE321" i="1"/>
  <c r="AD321" i="1"/>
  <c r="AA321" i="1"/>
  <c r="AN320" i="1"/>
  <c r="AL320" i="1"/>
  <c r="AK320" i="1"/>
  <c r="AH320" i="1"/>
  <c r="AG320" i="1"/>
  <c r="AE320" i="1"/>
  <c r="AD320" i="1"/>
  <c r="AA320" i="1"/>
  <c r="AN319" i="1"/>
  <c r="AL319" i="1"/>
  <c r="AK319" i="1"/>
  <c r="AH319" i="1"/>
  <c r="AG319" i="1"/>
  <c r="AE319" i="1"/>
  <c r="AD319" i="1"/>
  <c r="AA319" i="1"/>
  <c r="AN318" i="1"/>
  <c r="AL318" i="1"/>
  <c r="AK318" i="1"/>
  <c r="AH318" i="1"/>
  <c r="AG318" i="1"/>
  <c r="AE318" i="1"/>
  <c r="AD318" i="1"/>
  <c r="AA318" i="1"/>
  <c r="AN317" i="1"/>
  <c r="AL317" i="1"/>
  <c r="AK317" i="1"/>
  <c r="AH317" i="1"/>
  <c r="AG317" i="1"/>
  <c r="AE317" i="1"/>
  <c r="AD317" i="1"/>
  <c r="AA317" i="1"/>
  <c r="AN316" i="1"/>
  <c r="AL316" i="1"/>
  <c r="AK316" i="1"/>
  <c r="AH316" i="1"/>
  <c r="AG316" i="1"/>
  <c r="AE316" i="1"/>
  <c r="AD316" i="1"/>
  <c r="AA316" i="1"/>
  <c r="AN315" i="1"/>
  <c r="AL315" i="1"/>
  <c r="AK315" i="1"/>
  <c r="AH315" i="1"/>
  <c r="AG315" i="1"/>
  <c r="AE315" i="1"/>
  <c r="AD315" i="1"/>
  <c r="AA315" i="1"/>
  <c r="AN314" i="1"/>
  <c r="AL314" i="1"/>
  <c r="AK314" i="1"/>
  <c r="AH314" i="1"/>
  <c r="AG314" i="1"/>
  <c r="AE314" i="1"/>
  <c r="AD314" i="1"/>
  <c r="AA314" i="1"/>
  <c r="AN313" i="1"/>
  <c r="AL313" i="1"/>
  <c r="AK313" i="1"/>
  <c r="AH313" i="1"/>
  <c r="AG313" i="1"/>
  <c r="AE313" i="1"/>
  <c r="AD313" i="1"/>
  <c r="AA313" i="1"/>
  <c r="AN312" i="1"/>
  <c r="AL312" i="1"/>
  <c r="AK312" i="1"/>
  <c r="AH312" i="1"/>
  <c r="AG312" i="1"/>
  <c r="AE312" i="1"/>
  <c r="AD312" i="1"/>
  <c r="AA312" i="1"/>
  <c r="AN311" i="1"/>
  <c r="AL311" i="1"/>
  <c r="AK311" i="1"/>
  <c r="AH311" i="1"/>
  <c r="AG311" i="1"/>
  <c r="AE311" i="1"/>
  <c r="AD311" i="1"/>
  <c r="AA311" i="1"/>
  <c r="AN310" i="1"/>
  <c r="AL310" i="1"/>
  <c r="AK310" i="1"/>
  <c r="AH310" i="1"/>
  <c r="AG310" i="1"/>
  <c r="AE310" i="1"/>
  <c r="AD310" i="1"/>
  <c r="AA310" i="1"/>
  <c r="AN309" i="1"/>
  <c r="AL309" i="1"/>
  <c r="AK309" i="1"/>
  <c r="AH309" i="1"/>
  <c r="AG309" i="1"/>
  <c r="AE309" i="1"/>
  <c r="AD309" i="1"/>
  <c r="AA309" i="1"/>
  <c r="AN308" i="1"/>
  <c r="AL308" i="1"/>
  <c r="AK308" i="1"/>
  <c r="AH308" i="1"/>
  <c r="AG308" i="1"/>
  <c r="AE308" i="1"/>
  <c r="AD308" i="1"/>
  <c r="AA308" i="1"/>
  <c r="AN307" i="1"/>
  <c r="AL307" i="1"/>
  <c r="AK307" i="1"/>
  <c r="AH307" i="1"/>
  <c r="AG307" i="1"/>
  <c r="AE307" i="1"/>
  <c r="AD307" i="1"/>
  <c r="AA307" i="1"/>
  <c r="AN306" i="1"/>
  <c r="AL306" i="1"/>
  <c r="AK306" i="1"/>
  <c r="AH306" i="1"/>
  <c r="AG306" i="1"/>
  <c r="AE306" i="1"/>
  <c r="AD306" i="1"/>
  <c r="AA306" i="1"/>
  <c r="AN305" i="1"/>
  <c r="AL305" i="1"/>
  <c r="AK305" i="1"/>
  <c r="AH305" i="1"/>
  <c r="AG305" i="1"/>
  <c r="AE305" i="1"/>
  <c r="AD305" i="1"/>
  <c r="AA305" i="1"/>
  <c r="AN304" i="1"/>
  <c r="AL304" i="1"/>
  <c r="AK304" i="1"/>
  <c r="AH304" i="1"/>
  <c r="AG304" i="1"/>
  <c r="AE304" i="1"/>
  <c r="AD304" i="1"/>
  <c r="AA304" i="1"/>
  <c r="AN303" i="1"/>
  <c r="AL303" i="1"/>
  <c r="AK303" i="1"/>
  <c r="AH303" i="1"/>
  <c r="AG303" i="1"/>
  <c r="AE303" i="1"/>
  <c r="AD303" i="1"/>
  <c r="AA303" i="1"/>
  <c r="AN302" i="1"/>
  <c r="AL302" i="1"/>
  <c r="AK302" i="1"/>
  <c r="AH302" i="1"/>
  <c r="AG302" i="1"/>
  <c r="AE302" i="1"/>
  <c r="AD302" i="1"/>
  <c r="AA302" i="1"/>
  <c r="AN301" i="1"/>
  <c r="AL301" i="1"/>
  <c r="AK301" i="1"/>
  <c r="AH301" i="1"/>
  <c r="AG301" i="1"/>
  <c r="AE301" i="1"/>
  <c r="AD301" i="1"/>
  <c r="AA301" i="1"/>
  <c r="AN300" i="1"/>
  <c r="AL300" i="1"/>
  <c r="AK300" i="1"/>
  <c r="AH300" i="1"/>
  <c r="AG300" i="1"/>
  <c r="AE300" i="1"/>
  <c r="AD300" i="1"/>
  <c r="AA300" i="1"/>
  <c r="AN299" i="1"/>
  <c r="AL299" i="1"/>
  <c r="AK299" i="1"/>
  <c r="AH299" i="1"/>
  <c r="AG299" i="1"/>
  <c r="AE299" i="1"/>
  <c r="AD299" i="1"/>
  <c r="AA299" i="1"/>
  <c r="AN298" i="1"/>
  <c r="AL298" i="1"/>
  <c r="AK298" i="1"/>
  <c r="AH298" i="1"/>
  <c r="AG298" i="1"/>
  <c r="AE298" i="1"/>
  <c r="AD298" i="1"/>
  <c r="AA298" i="1"/>
  <c r="AN297" i="1"/>
  <c r="AL297" i="1"/>
  <c r="AK297" i="1"/>
  <c r="AH297" i="1"/>
  <c r="AG297" i="1"/>
  <c r="AE297" i="1"/>
  <c r="AD297" i="1"/>
  <c r="AA297" i="1"/>
  <c r="AN296" i="1"/>
  <c r="AL296" i="1"/>
  <c r="AK296" i="1"/>
  <c r="AH296" i="1"/>
  <c r="AG296" i="1"/>
  <c r="AE296" i="1"/>
  <c r="AD296" i="1"/>
  <c r="AA296" i="1"/>
  <c r="AN295" i="1"/>
  <c r="AL295" i="1"/>
  <c r="AK295" i="1"/>
  <c r="AH295" i="1"/>
  <c r="AG295" i="1"/>
  <c r="AE295" i="1"/>
  <c r="AD295" i="1"/>
  <c r="AA295" i="1"/>
  <c r="AN294" i="1"/>
  <c r="AL294" i="1"/>
  <c r="AK294" i="1"/>
  <c r="AH294" i="1"/>
  <c r="AG294" i="1"/>
  <c r="AE294" i="1"/>
  <c r="AD294" i="1"/>
  <c r="AA294" i="1"/>
  <c r="AN293" i="1"/>
  <c r="AL293" i="1"/>
  <c r="AK293" i="1"/>
  <c r="AH293" i="1"/>
  <c r="AG293" i="1"/>
  <c r="AE293" i="1"/>
  <c r="AD293" i="1"/>
  <c r="AA293" i="1"/>
  <c r="AN292" i="1"/>
  <c r="AL292" i="1"/>
  <c r="AK292" i="1"/>
  <c r="AH292" i="1"/>
  <c r="AG292" i="1"/>
  <c r="AE292" i="1"/>
  <c r="AD292" i="1"/>
  <c r="AA292" i="1"/>
  <c r="AN291" i="1"/>
  <c r="AL291" i="1"/>
  <c r="AK291" i="1"/>
  <c r="AH291" i="1"/>
  <c r="AG291" i="1"/>
  <c r="AE291" i="1"/>
  <c r="AD291" i="1"/>
  <c r="AA291" i="1"/>
  <c r="AN290" i="1"/>
  <c r="AL290" i="1"/>
  <c r="AK290" i="1"/>
  <c r="AH290" i="1"/>
  <c r="AG290" i="1"/>
  <c r="AE290" i="1"/>
  <c r="AD290" i="1"/>
  <c r="AA290" i="1"/>
  <c r="AN289" i="1"/>
  <c r="AL289" i="1"/>
  <c r="AK289" i="1"/>
  <c r="AH289" i="1"/>
  <c r="AG289" i="1"/>
  <c r="AE289" i="1"/>
  <c r="AD289" i="1"/>
  <c r="AA289" i="1"/>
  <c r="AN288" i="1"/>
  <c r="AL288" i="1"/>
  <c r="AK288" i="1"/>
  <c r="AH288" i="1"/>
  <c r="AG288" i="1"/>
  <c r="AE288" i="1"/>
  <c r="AD288" i="1"/>
  <c r="AA288" i="1"/>
  <c r="AN287" i="1"/>
  <c r="AL287" i="1"/>
  <c r="AK287" i="1"/>
  <c r="AH287" i="1"/>
  <c r="AG287" i="1"/>
  <c r="AE287" i="1"/>
  <c r="AD287" i="1"/>
  <c r="AA287" i="1"/>
  <c r="AN286" i="1"/>
  <c r="AL286" i="1"/>
  <c r="AK286" i="1"/>
  <c r="AH286" i="1"/>
  <c r="AG286" i="1"/>
  <c r="AE286" i="1"/>
  <c r="AD286" i="1"/>
  <c r="AA286" i="1"/>
  <c r="AN285" i="1"/>
  <c r="AL285" i="1"/>
  <c r="AK285" i="1"/>
  <c r="AH285" i="1"/>
  <c r="AG285" i="1"/>
  <c r="AE285" i="1"/>
  <c r="AD285" i="1"/>
  <c r="AA285" i="1"/>
  <c r="AN284" i="1"/>
  <c r="AL284" i="1"/>
  <c r="AK284" i="1"/>
  <c r="AH284" i="1"/>
  <c r="AG284" i="1"/>
  <c r="AE284" i="1"/>
  <c r="AD284" i="1"/>
  <c r="AA284" i="1"/>
  <c r="AN283" i="1"/>
  <c r="AL283" i="1"/>
  <c r="AK283" i="1"/>
  <c r="AH283" i="1"/>
  <c r="AG283" i="1"/>
  <c r="AE283" i="1"/>
  <c r="AD283" i="1"/>
  <c r="AA283" i="1"/>
  <c r="AN282" i="1"/>
  <c r="AL282" i="1"/>
  <c r="AK282" i="1"/>
  <c r="AH282" i="1"/>
  <c r="AG282" i="1"/>
  <c r="AE282" i="1"/>
  <c r="AD282" i="1"/>
  <c r="AA282" i="1"/>
  <c r="AN281" i="1"/>
  <c r="AL281" i="1"/>
  <c r="AK281" i="1"/>
  <c r="AH281" i="1"/>
  <c r="AG281" i="1"/>
  <c r="AE281" i="1"/>
  <c r="AD281" i="1"/>
  <c r="AA281" i="1"/>
  <c r="AN280" i="1"/>
  <c r="AL280" i="1"/>
  <c r="AK280" i="1"/>
  <c r="AH280" i="1"/>
  <c r="AG280" i="1"/>
  <c r="AE280" i="1"/>
  <c r="AD280" i="1"/>
  <c r="AA280" i="1"/>
  <c r="AN279" i="1"/>
  <c r="AL279" i="1"/>
  <c r="AK279" i="1"/>
  <c r="AH279" i="1"/>
  <c r="AG279" i="1"/>
  <c r="AE279" i="1"/>
  <c r="AD279" i="1"/>
  <c r="AA279" i="1"/>
  <c r="AN278" i="1"/>
  <c r="AL278" i="1"/>
  <c r="AK278" i="1"/>
  <c r="AH278" i="1"/>
  <c r="AG278" i="1"/>
  <c r="AE278" i="1"/>
  <c r="AD278" i="1"/>
  <c r="AA278" i="1"/>
  <c r="AN277" i="1"/>
  <c r="AL277" i="1"/>
  <c r="AK277" i="1"/>
  <c r="AH277" i="1"/>
  <c r="AG277" i="1"/>
  <c r="AE277" i="1"/>
  <c r="AD277" i="1"/>
  <c r="AA277" i="1"/>
  <c r="AN276" i="1"/>
  <c r="AL276" i="1"/>
  <c r="AK276" i="1"/>
  <c r="AH276" i="1"/>
  <c r="AG276" i="1"/>
  <c r="AE276" i="1"/>
  <c r="AD276" i="1"/>
  <c r="AA276" i="1"/>
  <c r="AN275" i="1"/>
  <c r="AL275" i="1"/>
  <c r="AK275" i="1"/>
  <c r="AH275" i="1"/>
  <c r="AG275" i="1"/>
  <c r="AE275" i="1"/>
  <c r="AD275" i="1"/>
  <c r="AA275" i="1"/>
  <c r="AN274" i="1"/>
  <c r="AL274" i="1"/>
  <c r="AK274" i="1"/>
  <c r="AH274" i="1"/>
  <c r="AG274" i="1"/>
  <c r="AE274" i="1"/>
  <c r="AD274" i="1"/>
  <c r="AA274" i="1"/>
  <c r="AN273" i="1"/>
  <c r="AL273" i="1"/>
  <c r="AK273" i="1"/>
  <c r="AH273" i="1"/>
  <c r="AG273" i="1"/>
  <c r="AE273" i="1"/>
  <c r="AD273" i="1"/>
  <c r="AA273" i="1"/>
  <c r="AN272" i="1"/>
  <c r="AL272" i="1"/>
  <c r="AK272" i="1"/>
  <c r="AH272" i="1"/>
  <c r="AG272" i="1"/>
  <c r="AE272" i="1"/>
  <c r="AD272" i="1"/>
  <c r="AA272" i="1"/>
  <c r="AN271" i="1"/>
  <c r="AL271" i="1"/>
  <c r="AK271" i="1"/>
  <c r="AH271" i="1"/>
  <c r="AG271" i="1"/>
  <c r="AE271" i="1"/>
  <c r="AD271" i="1"/>
  <c r="AA271" i="1"/>
  <c r="AN270" i="1"/>
  <c r="AL270" i="1"/>
  <c r="AK270" i="1"/>
  <c r="AH270" i="1"/>
  <c r="AG270" i="1"/>
  <c r="AE270" i="1"/>
  <c r="AD270" i="1"/>
  <c r="AA270" i="1"/>
  <c r="AN269" i="1"/>
  <c r="AL269" i="1"/>
  <c r="AK269" i="1"/>
  <c r="AH269" i="1"/>
  <c r="AG269" i="1"/>
  <c r="AE269" i="1"/>
  <c r="AD269" i="1"/>
  <c r="AA269" i="1"/>
  <c r="AN268" i="1"/>
  <c r="AL268" i="1"/>
  <c r="AK268" i="1"/>
  <c r="AH268" i="1"/>
  <c r="AG268" i="1"/>
  <c r="AE268" i="1"/>
  <c r="AD268" i="1"/>
  <c r="AA268" i="1"/>
  <c r="AN267" i="1"/>
  <c r="AL267" i="1"/>
  <c r="AK267" i="1"/>
  <c r="AH267" i="1"/>
  <c r="AG267" i="1"/>
  <c r="AE267" i="1"/>
  <c r="AD267" i="1"/>
  <c r="AA267" i="1"/>
  <c r="AN266" i="1"/>
  <c r="AL266" i="1"/>
  <c r="AK266" i="1"/>
  <c r="AH266" i="1"/>
  <c r="AG266" i="1"/>
  <c r="AE266" i="1"/>
  <c r="AD266" i="1"/>
  <c r="AA266" i="1"/>
  <c r="AN265" i="1"/>
  <c r="AL265" i="1"/>
  <c r="AK265" i="1"/>
  <c r="AH265" i="1"/>
  <c r="AG265" i="1"/>
  <c r="AE265" i="1"/>
  <c r="AD265" i="1"/>
  <c r="AA265" i="1"/>
  <c r="AN264" i="1"/>
  <c r="AL264" i="1"/>
  <c r="AK264" i="1"/>
  <c r="AH264" i="1"/>
  <c r="AG264" i="1"/>
  <c r="AE264" i="1"/>
  <c r="AD264" i="1"/>
  <c r="AA264" i="1"/>
  <c r="AN263" i="1"/>
  <c r="AL263" i="1"/>
  <c r="AK263" i="1"/>
  <c r="AH263" i="1"/>
  <c r="AG263" i="1"/>
  <c r="AE263" i="1"/>
  <c r="AD263" i="1"/>
  <c r="AA263" i="1"/>
  <c r="AN262" i="1"/>
  <c r="AL262" i="1"/>
  <c r="AK262" i="1"/>
  <c r="AH262" i="1"/>
  <c r="AG262" i="1"/>
  <c r="AE262" i="1"/>
  <c r="AD262" i="1"/>
  <c r="AA262" i="1"/>
  <c r="AN261" i="1"/>
  <c r="AL261" i="1"/>
  <c r="AK261" i="1"/>
  <c r="AH261" i="1"/>
  <c r="AG261" i="1"/>
  <c r="AE261" i="1"/>
  <c r="AD261" i="1"/>
  <c r="AA261" i="1"/>
  <c r="AN260" i="1"/>
  <c r="AL260" i="1"/>
  <c r="AK260" i="1"/>
  <c r="AH260" i="1"/>
  <c r="AG260" i="1"/>
  <c r="AE260" i="1"/>
  <c r="AD260" i="1"/>
  <c r="AA260" i="1"/>
  <c r="AN259" i="1"/>
  <c r="AL259" i="1"/>
  <c r="AK259" i="1"/>
  <c r="AH259" i="1"/>
  <c r="AG259" i="1"/>
  <c r="AE259" i="1"/>
  <c r="AD259" i="1"/>
  <c r="AA259" i="1"/>
  <c r="AN258" i="1"/>
  <c r="AL258" i="1"/>
  <c r="AK258" i="1"/>
  <c r="AH258" i="1"/>
  <c r="AG258" i="1"/>
  <c r="AE258" i="1"/>
  <c r="AD258" i="1"/>
  <c r="AA258" i="1"/>
  <c r="AN257" i="1"/>
  <c r="AL257" i="1"/>
  <c r="AK257" i="1"/>
  <c r="AH257" i="1"/>
  <c r="AG257" i="1"/>
  <c r="AE257" i="1"/>
  <c r="AD257" i="1"/>
  <c r="AA257" i="1"/>
  <c r="AN256" i="1"/>
  <c r="AL256" i="1"/>
  <c r="AK256" i="1"/>
  <c r="AH256" i="1"/>
  <c r="AG256" i="1"/>
  <c r="AE256" i="1"/>
  <c r="AD256" i="1"/>
  <c r="AA256" i="1"/>
  <c r="AN255" i="1"/>
  <c r="AL255" i="1"/>
  <c r="AK255" i="1"/>
  <c r="AH255" i="1"/>
  <c r="AG255" i="1"/>
  <c r="AE255" i="1"/>
  <c r="AD255" i="1"/>
  <c r="AA255" i="1"/>
  <c r="AN254" i="1"/>
  <c r="AL254" i="1"/>
  <c r="AK254" i="1"/>
  <c r="AH254" i="1"/>
  <c r="AG254" i="1"/>
  <c r="AE254" i="1"/>
  <c r="AD254" i="1"/>
  <c r="AA254" i="1"/>
  <c r="AN253" i="1"/>
  <c r="AL253" i="1"/>
  <c r="AK253" i="1"/>
  <c r="AH253" i="1"/>
  <c r="AG253" i="1"/>
  <c r="AE253" i="1"/>
  <c r="AD253" i="1"/>
  <c r="AA253" i="1"/>
  <c r="AN252" i="1"/>
  <c r="AL252" i="1"/>
  <c r="AK252" i="1"/>
  <c r="AH252" i="1"/>
  <c r="AG252" i="1"/>
  <c r="AE252" i="1"/>
  <c r="AD252" i="1"/>
  <c r="AA252" i="1"/>
  <c r="AN251" i="1"/>
  <c r="AL251" i="1"/>
  <c r="AK251" i="1"/>
  <c r="AH251" i="1"/>
  <c r="AG251" i="1"/>
  <c r="AE251" i="1"/>
  <c r="AD251" i="1"/>
  <c r="AA251" i="1"/>
  <c r="AN250" i="1"/>
  <c r="AL250" i="1"/>
  <c r="AK250" i="1"/>
  <c r="AH250" i="1"/>
  <c r="AG250" i="1"/>
  <c r="AE250" i="1"/>
  <c r="AD250" i="1"/>
  <c r="AA250" i="1"/>
  <c r="AN249" i="1"/>
  <c r="AL249" i="1"/>
  <c r="AK249" i="1"/>
  <c r="AH249" i="1"/>
  <c r="AG249" i="1"/>
  <c r="AE249" i="1"/>
  <c r="AD249" i="1"/>
  <c r="AA249" i="1"/>
  <c r="AN248" i="1"/>
  <c r="AL248" i="1"/>
  <c r="AK248" i="1"/>
  <c r="AH248" i="1"/>
  <c r="AG248" i="1"/>
  <c r="AE248" i="1"/>
  <c r="AD248" i="1"/>
  <c r="AA248" i="1"/>
  <c r="AN247" i="1"/>
  <c r="AL247" i="1"/>
  <c r="AK247" i="1"/>
  <c r="AH247" i="1"/>
  <c r="AG247" i="1"/>
  <c r="AE247" i="1"/>
  <c r="AD247" i="1"/>
  <c r="AA247" i="1"/>
  <c r="AN246" i="1"/>
  <c r="AL246" i="1"/>
  <c r="AK246" i="1"/>
  <c r="AH246" i="1"/>
  <c r="AG246" i="1"/>
  <c r="AE246" i="1"/>
  <c r="AD246" i="1"/>
  <c r="AA246" i="1"/>
  <c r="AN245" i="1"/>
  <c r="AL245" i="1"/>
  <c r="AK245" i="1"/>
  <c r="AH245" i="1"/>
  <c r="AG245" i="1"/>
  <c r="AE245" i="1"/>
  <c r="AD245" i="1"/>
  <c r="AA245" i="1"/>
  <c r="AN244" i="1"/>
  <c r="AL244" i="1"/>
  <c r="AK244" i="1"/>
  <c r="AH244" i="1"/>
  <c r="AG244" i="1"/>
  <c r="AE244" i="1"/>
  <c r="AD244" i="1"/>
  <c r="AA244" i="1"/>
  <c r="AN243" i="1"/>
  <c r="AL243" i="1"/>
  <c r="AK243" i="1"/>
  <c r="AH243" i="1"/>
  <c r="AG243" i="1"/>
  <c r="AE243" i="1"/>
  <c r="AD243" i="1"/>
  <c r="AA243" i="1"/>
  <c r="AN242" i="1"/>
  <c r="AL242" i="1"/>
  <c r="AK242" i="1"/>
  <c r="AH242" i="1"/>
  <c r="AG242" i="1"/>
  <c r="AE242" i="1"/>
  <c r="AD242" i="1"/>
  <c r="AA242" i="1"/>
  <c r="AN241" i="1"/>
  <c r="AL241" i="1"/>
  <c r="AK241" i="1"/>
  <c r="AH241" i="1"/>
  <c r="AG241" i="1"/>
  <c r="AE241" i="1"/>
  <c r="AD241" i="1"/>
  <c r="AA241" i="1"/>
  <c r="AN240" i="1"/>
  <c r="AL240" i="1"/>
  <c r="AK240" i="1"/>
  <c r="AH240" i="1"/>
  <c r="AG240" i="1"/>
  <c r="AE240" i="1"/>
  <c r="AD240" i="1"/>
  <c r="AA240" i="1"/>
  <c r="AN239" i="1"/>
  <c r="AL239" i="1"/>
  <c r="AK239" i="1"/>
  <c r="AH239" i="1"/>
  <c r="AG239" i="1"/>
  <c r="AE239" i="1"/>
  <c r="AD239" i="1"/>
  <c r="AA239" i="1"/>
  <c r="AN238" i="1"/>
  <c r="AL238" i="1"/>
  <c r="AK238" i="1"/>
  <c r="AH238" i="1"/>
  <c r="AG238" i="1"/>
  <c r="AE238" i="1"/>
  <c r="AD238" i="1"/>
  <c r="AA238" i="1"/>
  <c r="AN237" i="1"/>
  <c r="AL237" i="1"/>
  <c r="AK237" i="1"/>
  <c r="AH237" i="1"/>
  <c r="AG237" i="1"/>
  <c r="AE237" i="1"/>
  <c r="AD237" i="1"/>
  <c r="AA237" i="1"/>
  <c r="AN236" i="1"/>
  <c r="AL236" i="1"/>
  <c r="AK236" i="1"/>
  <c r="AH236" i="1"/>
  <c r="AG236" i="1"/>
  <c r="AE236" i="1"/>
  <c r="AD236" i="1"/>
  <c r="AA236" i="1"/>
  <c r="AN235" i="1"/>
  <c r="AL235" i="1"/>
  <c r="AK235" i="1"/>
  <c r="AH235" i="1"/>
  <c r="AG235" i="1"/>
  <c r="AE235" i="1"/>
  <c r="AD235" i="1"/>
  <c r="AA235" i="1"/>
  <c r="AN234" i="1"/>
  <c r="AL234" i="1"/>
  <c r="AK234" i="1"/>
  <c r="AH234" i="1"/>
  <c r="AG234" i="1"/>
  <c r="AE234" i="1"/>
  <c r="AD234" i="1"/>
  <c r="AA234" i="1"/>
  <c r="AN233" i="1"/>
  <c r="AL233" i="1"/>
  <c r="AK233" i="1"/>
  <c r="AH233" i="1"/>
  <c r="AG233" i="1"/>
  <c r="AE233" i="1"/>
  <c r="AD233" i="1"/>
  <c r="AA233" i="1"/>
  <c r="AN232" i="1"/>
  <c r="AL232" i="1"/>
  <c r="AK232" i="1"/>
  <c r="AH232" i="1"/>
  <c r="AG232" i="1"/>
  <c r="AE232" i="1"/>
  <c r="AD232" i="1"/>
  <c r="AA232" i="1"/>
  <c r="AN231" i="1"/>
  <c r="AL231" i="1"/>
  <c r="AK231" i="1"/>
  <c r="AH231" i="1"/>
  <c r="AG231" i="1"/>
  <c r="AE231" i="1"/>
  <c r="AD231" i="1"/>
  <c r="AA231" i="1"/>
  <c r="AN230" i="1"/>
  <c r="AL230" i="1"/>
  <c r="AK230" i="1"/>
  <c r="AH230" i="1"/>
  <c r="AG230" i="1"/>
  <c r="AE230" i="1"/>
  <c r="AD230" i="1"/>
  <c r="AA230" i="1"/>
  <c r="AN229" i="1"/>
  <c r="AL229" i="1"/>
  <c r="AK229" i="1"/>
  <c r="AH229" i="1"/>
  <c r="AG229" i="1"/>
  <c r="AE229" i="1"/>
  <c r="AD229" i="1"/>
  <c r="AA229" i="1"/>
  <c r="AN228" i="1"/>
  <c r="AL228" i="1"/>
  <c r="AK228" i="1"/>
  <c r="AH228" i="1"/>
  <c r="AG228" i="1"/>
  <c r="AE228" i="1"/>
  <c r="AD228" i="1"/>
  <c r="AA228" i="1"/>
  <c r="AN227" i="1"/>
  <c r="AL227" i="1"/>
  <c r="AK227" i="1"/>
  <c r="AH227" i="1"/>
  <c r="AG227" i="1"/>
  <c r="AE227" i="1"/>
  <c r="AD227" i="1"/>
  <c r="AA227" i="1"/>
  <c r="AN226" i="1"/>
  <c r="AL226" i="1"/>
  <c r="AK226" i="1"/>
  <c r="AH226" i="1"/>
  <c r="AG226" i="1"/>
  <c r="AE226" i="1"/>
  <c r="AD226" i="1"/>
  <c r="AA226" i="1"/>
  <c r="AN225" i="1"/>
  <c r="AL225" i="1"/>
  <c r="AK225" i="1"/>
  <c r="AH225" i="1"/>
  <c r="AG225" i="1"/>
  <c r="AE225" i="1"/>
  <c r="AD225" i="1"/>
  <c r="AA225" i="1"/>
  <c r="AN224" i="1"/>
  <c r="AL224" i="1"/>
  <c r="AK224" i="1"/>
  <c r="AH224" i="1"/>
  <c r="AG224" i="1"/>
  <c r="AE224" i="1"/>
  <c r="AD224" i="1"/>
  <c r="AA224" i="1"/>
  <c r="AN223" i="1"/>
  <c r="AL223" i="1"/>
  <c r="AK223" i="1"/>
  <c r="AH223" i="1"/>
  <c r="AG223" i="1"/>
  <c r="AE223" i="1"/>
  <c r="AD223" i="1"/>
  <c r="AA223" i="1"/>
  <c r="AN222" i="1"/>
  <c r="AL222" i="1"/>
  <c r="AK222" i="1"/>
  <c r="AH222" i="1"/>
  <c r="AG222" i="1"/>
  <c r="AE222" i="1"/>
  <c r="AD222" i="1"/>
  <c r="AA222" i="1"/>
  <c r="AN221" i="1"/>
  <c r="AL221" i="1"/>
  <c r="AK221" i="1"/>
  <c r="AH221" i="1"/>
  <c r="AG221" i="1"/>
  <c r="AE221" i="1"/>
  <c r="AD221" i="1"/>
  <c r="AA221" i="1"/>
  <c r="AN220" i="1"/>
  <c r="AL220" i="1"/>
  <c r="AK220" i="1"/>
  <c r="AH220" i="1"/>
  <c r="AG220" i="1"/>
  <c r="AE220" i="1"/>
  <c r="AD220" i="1"/>
  <c r="AA220" i="1"/>
  <c r="AN219" i="1"/>
  <c r="AL219" i="1"/>
  <c r="AK219" i="1"/>
  <c r="AH219" i="1"/>
  <c r="AG219" i="1"/>
  <c r="AE219" i="1"/>
  <c r="AD219" i="1"/>
  <c r="AA219" i="1"/>
  <c r="AN218" i="1"/>
  <c r="AL218" i="1"/>
  <c r="AK218" i="1"/>
  <c r="AH218" i="1"/>
  <c r="AG218" i="1"/>
  <c r="AE218" i="1"/>
  <c r="AD218" i="1"/>
  <c r="AA218" i="1"/>
  <c r="AN217" i="1"/>
  <c r="AL217" i="1"/>
  <c r="AK217" i="1"/>
  <c r="AH217" i="1"/>
  <c r="AG217" i="1"/>
  <c r="AE217" i="1"/>
  <c r="AD217" i="1"/>
  <c r="AA217" i="1"/>
  <c r="AN216" i="1"/>
  <c r="AL216" i="1"/>
  <c r="AK216" i="1"/>
  <c r="AH216" i="1"/>
  <c r="AG216" i="1"/>
  <c r="AE216" i="1"/>
  <c r="AD216" i="1"/>
  <c r="AA216" i="1"/>
  <c r="AN215" i="1"/>
  <c r="AL215" i="1"/>
  <c r="AK215" i="1"/>
  <c r="AH215" i="1"/>
  <c r="AG215" i="1"/>
  <c r="AE215" i="1"/>
  <c r="AD215" i="1"/>
  <c r="AA215" i="1"/>
  <c r="AN214" i="1"/>
  <c r="AL214" i="1"/>
  <c r="AK214" i="1"/>
  <c r="AH214" i="1"/>
  <c r="AG214" i="1"/>
  <c r="AE214" i="1"/>
  <c r="AD214" i="1"/>
  <c r="AA214" i="1"/>
  <c r="AN213" i="1"/>
  <c r="AL213" i="1"/>
  <c r="AK213" i="1"/>
  <c r="AH213" i="1"/>
  <c r="AG213" i="1"/>
  <c r="AE213" i="1"/>
  <c r="AD213" i="1"/>
  <c r="AA213" i="1"/>
  <c r="AN212" i="1"/>
  <c r="AL212" i="1"/>
  <c r="AK212" i="1"/>
  <c r="AH212" i="1"/>
  <c r="AG212" i="1"/>
  <c r="AE212" i="1"/>
  <c r="AD212" i="1"/>
  <c r="AA212" i="1"/>
  <c r="AN211" i="1"/>
  <c r="AL211" i="1"/>
  <c r="AK211" i="1"/>
  <c r="AH211" i="1"/>
  <c r="AG211" i="1"/>
  <c r="AE211" i="1"/>
  <c r="AD211" i="1"/>
  <c r="AA211" i="1"/>
  <c r="AN210" i="1"/>
  <c r="AL210" i="1"/>
  <c r="AK210" i="1"/>
  <c r="AH210" i="1"/>
  <c r="AG210" i="1"/>
  <c r="AE210" i="1"/>
  <c r="AD210" i="1"/>
  <c r="AA210" i="1"/>
  <c r="AN209" i="1"/>
  <c r="AL209" i="1"/>
  <c r="AK209" i="1"/>
  <c r="AH209" i="1"/>
  <c r="AG209" i="1"/>
  <c r="AE209" i="1"/>
  <c r="AD209" i="1"/>
  <c r="AA209" i="1"/>
  <c r="AN208" i="1"/>
  <c r="AL208" i="1"/>
  <c r="AK208" i="1"/>
  <c r="AH208" i="1"/>
  <c r="AG208" i="1"/>
  <c r="AE208" i="1"/>
  <c r="AD208" i="1"/>
  <c r="AA208" i="1"/>
  <c r="AN207" i="1"/>
  <c r="AL207" i="1"/>
  <c r="AK207" i="1"/>
  <c r="AH207" i="1"/>
  <c r="AG207" i="1"/>
  <c r="AE207" i="1"/>
  <c r="AD207" i="1"/>
  <c r="AA207" i="1"/>
  <c r="AN206" i="1"/>
  <c r="AL206" i="1"/>
  <c r="AK206" i="1"/>
  <c r="AH206" i="1"/>
  <c r="AG206" i="1"/>
  <c r="AE206" i="1"/>
  <c r="AD206" i="1"/>
  <c r="AA206" i="1"/>
  <c r="AN205" i="1"/>
  <c r="AL205" i="1"/>
  <c r="AK205" i="1"/>
  <c r="AH205" i="1"/>
  <c r="AG205" i="1"/>
  <c r="AE205" i="1"/>
  <c r="AD205" i="1"/>
  <c r="AA205" i="1"/>
  <c r="AN204" i="1"/>
  <c r="AL204" i="1"/>
  <c r="AK204" i="1"/>
  <c r="AH204" i="1"/>
  <c r="AG204" i="1"/>
  <c r="AE204" i="1"/>
  <c r="AD204" i="1"/>
  <c r="AA204" i="1"/>
  <c r="AN203" i="1"/>
  <c r="AL203" i="1"/>
  <c r="AK203" i="1"/>
  <c r="AH203" i="1"/>
  <c r="AG203" i="1"/>
  <c r="AE203" i="1"/>
  <c r="AD203" i="1"/>
  <c r="AA203" i="1"/>
  <c r="AN202" i="1"/>
  <c r="AL202" i="1"/>
  <c r="AK202" i="1"/>
  <c r="AH202" i="1"/>
  <c r="AG202" i="1"/>
  <c r="AE202" i="1"/>
  <c r="AD202" i="1"/>
  <c r="AA202" i="1"/>
  <c r="AN201" i="1"/>
  <c r="AL201" i="1"/>
  <c r="AK201" i="1"/>
  <c r="AH201" i="1"/>
  <c r="AG201" i="1"/>
  <c r="AE201" i="1"/>
  <c r="AD201" i="1"/>
  <c r="AA201" i="1"/>
  <c r="AN200" i="1"/>
  <c r="AL200" i="1"/>
  <c r="AK200" i="1"/>
  <c r="AH200" i="1"/>
  <c r="AG200" i="1"/>
  <c r="AE200" i="1"/>
  <c r="AD200" i="1"/>
  <c r="AA200" i="1"/>
  <c r="AN199" i="1"/>
  <c r="AL199" i="1"/>
  <c r="AK199" i="1"/>
  <c r="AH199" i="1"/>
  <c r="AG199" i="1"/>
  <c r="AE199" i="1"/>
  <c r="AD199" i="1"/>
  <c r="AA199" i="1"/>
  <c r="AN198" i="1"/>
  <c r="AL198" i="1"/>
  <c r="AK198" i="1"/>
  <c r="AH198" i="1"/>
  <c r="AG198" i="1"/>
  <c r="AE198" i="1"/>
  <c r="AD198" i="1"/>
  <c r="AA198" i="1"/>
  <c r="AN197" i="1"/>
  <c r="AL197" i="1"/>
  <c r="AK197" i="1"/>
  <c r="AH197" i="1"/>
  <c r="AG197" i="1"/>
  <c r="AE197" i="1"/>
  <c r="AD197" i="1"/>
  <c r="AA197" i="1"/>
  <c r="AN196" i="1"/>
  <c r="AL196" i="1"/>
  <c r="AK196" i="1"/>
  <c r="AH196" i="1"/>
  <c r="AG196" i="1"/>
  <c r="AE196" i="1"/>
  <c r="AD196" i="1"/>
  <c r="AA196" i="1"/>
  <c r="AN195" i="1"/>
  <c r="AL195" i="1"/>
  <c r="AK195" i="1"/>
  <c r="AH195" i="1"/>
  <c r="AG195" i="1"/>
  <c r="AE195" i="1"/>
  <c r="AD195" i="1"/>
  <c r="AA195" i="1"/>
  <c r="AN194" i="1"/>
  <c r="AL194" i="1"/>
  <c r="AK194" i="1"/>
  <c r="AH194" i="1"/>
  <c r="AG194" i="1"/>
  <c r="AE194" i="1"/>
  <c r="AD194" i="1"/>
  <c r="AA194" i="1"/>
  <c r="AN193" i="1"/>
  <c r="AL193" i="1"/>
  <c r="AK193" i="1"/>
  <c r="AH193" i="1"/>
  <c r="AG193" i="1"/>
  <c r="AE193" i="1"/>
  <c r="AD193" i="1"/>
  <c r="AA193" i="1"/>
  <c r="AN192" i="1"/>
  <c r="AL192" i="1"/>
  <c r="AK192" i="1"/>
  <c r="AH192" i="1"/>
  <c r="AG192" i="1"/>
  <c r="AE192" i="1"/>
  <c r="AD192" i="1"/>
  <c r="AA192" i="1"/>
  <c r="AN191" i="1"/>
  <c r="AL191" i="1"/>
  <c r="AK191" i="1"/>
  <c r="AH191" i="1"/>
  <c r="AG191" i="1"/>
  <c r="AE191" i="1"/>
  <c r="AD191" i="1"/>
  <c r="AA191" i="1"/>
  <c r="AN190" i="1"/>
  <c r="AL190" i="1"/>
  <c r="AK190" i="1"/>
  <c r="AH190" i="1"/>
  <c r="AG190" i="1"/>
  <c r="AE190" i="1"/>
  <c r="AD190" i="1"/>
  <c r="AA190" i="1"/>
  <c r="AN189" i="1"/>
  <c r="AL189" i="1"/>
  <c r="AK189" i="1"/>
  <c r="AH189" i="1"/>
  <c r="AG189" i="1"/>
  <c r="AE189" i="1"/>
  <c r="AD189" i="1"/>
  <c r="AA189" i="1"/>
  <c r="AN188" i="1"/>
  <c r="AL188" i="1"/>
  <c r="AK188" i="1"/>
  <c r="AH188" i="1"/>
  <c r="AG188" i="1"/>
  <c r="AE188" i="1"/>
  <c r="AD188" i="1"/>
  <c r="AA188" i="1"/>
  <c r="AN187" i="1"/>
  <c r="AL187" i="1"/>
  <c r="AK187" i="1"/>
  <c r="AH187" i="1"/>
  <c r="AG187" i="1"/>
  <c r="AE187" i="1"/>
  <c r="AD187" i="1"/>
  <c r="AA187" i="1"/>
  <c r="AN186" i="1"/>
  <c r="AL186" i="1"/>
  <c r="AK186" i="1"/>
  <c r="AH186" i="1"/>
  <c r="AG186" i="1"/>
  <c r="AE186" i="1"/>
  <c r="AD186" i="1"/>
  <c r="AA186" i="1"/>
  <c r="AN185" i="1"/>
  <c r="AL185" i="1"/>
  <c r="AK185" i="1"/>
  <c r="AH185" i="1"/>
  <c r="AG185" i="1"/>
  <c r="AE185" i="1"/>
  <c r="AD185" i="1"/>
  <c r="AA185" i="1"/>
  <c r="AN184" i="1"/>
  <c r="AL184" i="1"/>
  <c r="AK184" i="1"/>
  <c r="AH184" i="1"/>
  <c r="AG184" i="1"/>
  <c r="AE184" i="1"/>
  <c r="AD184" i="1"/>
  <c r="AA184" i="1"/>
  <c r="AN183" i="1"/>
  <c r="AL183" i="1"/>
  <c r="AK183" i="1"/>
  <c r="AH183" i="1"/>
  <c r="AG183" i="1"/>
  <c r="AE183" i="1"/>
  <c r="AD183" i="1"/>
  <c r="AA183" i="1"/>
  <c r="AN182" i="1"/>
  <c r="AL182" i="1"/>
  <c r="AK182" i="1"/>
  <c r="AH182" i="1"/>
  <c r="AG182" i="1"/>
  <c r="AE182" i="1"/>
  <c r="AD182" i="1"/>
  <c r="AA182" i="1"/>
  <c r="AN181" i="1"/>
  <c r="AL181" i="1"/>
  <c r="AK181" i="1"/>
  <c r="AH181" i="1"/>
  <c r="AG181" i="1"/>
  <c r="AE181" i="1"/>
  <c r="AD181" i="1"/>
  <c r="AA181" i="1"/>
  <c r="AN180" i="1"/>
  <c r="AL180" i="1"/>
  <c r="AK180" i="1"/>
  <c r="AH180" i="1"/>
  <c r="AG180" i="1"/>
  <c r="AE180" i="1"/>
  <c r="AD180" i="1"/>
  <c r="AA180" i="1"/>
  <c r="AN179" i="1"/>
  <c r="AL179" i="1"/>
  <c r="AK179" i="1"/>
  <c r="AH179" i="1"/>
  <c r="AG179" i="1"/>
  <c r="AE179" i="1"/>
  <c r="AD179" i="1"/>
  <c r="AA179" i="1"/>
  <c r="AN178" i="1"/>
  <c r="AL178" i="1"/>
  <c r="AK178" i="1"/>
  <c r="AH178" i="1"/>
  <c r="AG178" i="1"/>
  <c r="AE178" i="1"/>
  <c r="AD178" i="1"/>
  <c r="AA178" i="1"/>
  <c r="AN177" i="1"/>
  <c r="AL177" i="1"/>
  <c r="AK177" i="1"/>
  <c r="AH177" i="1"/>
  <c r="AG177" i="1"/>
  <c r="AE177" i="1"/>
  <c r="AD177" i="1"/>
  <c r="AA177" i="1"/>
  <c r="AN176" i="1"/>
  <c r="AL176" i="1"/>
  <c r="AK176" i="1"/>
  <c r="AH176" i="1"/>
  <c r="AG176" i="1"/>
  <c r="AE176" i="1"/>
  <c r="AD176" i="1"/>
  <c r="AA176" i="1"/>
  <c r="AN175" i="1"/>
  <c r="AL175" i="1"/>
  <c r="AK175" i="1"/>
  <c r="AH175" i="1"/>
  <c r="AG175" i="1"/>
  <c r="AE175" i="1"/>
  <c r="AD175" i="1"/>
  <c r="AA175" i="1"/>
  <c r="AN174" i="1"/>
  <c r="AL174" i="1"/>
  <c r="AK174" i="1"/>
  <c r="AH174" i="1"/>
  <c r="AG174" i="1"/>
  <c r="AE174" i="1"/>
  <c r="AD174" i="1"/>
  <c r="AA174" i="1"/>
  <c r="AN173" i="1"/>
  <c r="AL173" i="1"/>
  <c r="AK173" i="1"/>
  <c r="AH173" i="1"/>
  <c r="AG173" i="1"/>
  <c r="AE173" i="1"/>
  <c r="AD173" i="1"/>
  <c r="AA173" i="1"/>
  <c r="AN172" i="1"/>
  <c r="AL172" i="1"/>
  <c r="AK172" i="1"/>
  <c r="AH172" i="1"/>
  <c r="AG172" i="1"/>
  <c r="AE172" i="1"/>
  <c r="AD172" i="1"/>
  <c r="AA172" i="1"/>
  <c r="AN171" i="1"/>
  <c r="AL171" i="1"/>
  <c r="AK171" i="1"/>
  <c r="AH171" i="1"/>
  <c r="AG171" i="1"/>
  <c r="AE171" i="1"/>
  <c r="AD171" i="1"/>
  <c r="AA171" i="1"/>
  <c r="AN170" i="1"/>
  <c r="AL170" i="1"/>
  <c r="AK170" i="1"/>
  <c r="AH170" i="1"/>
  <c r="AG170" i="1"/>
  <c r="AE170" i="1"/>
  <c r="AD170" i="1"/>
  <c r="AA170" i="1"/>
  <c r="AN169" i="1"/>
  <c r="AL169" i="1"/>
  <c r="AK169" i="1"/>
  <c r="AH169" i="1"/>
  <c r="AG169" i="1"/>
  <c r="AE169" i="1"/>
  <c r="AD169" i="1"/>
  <c r="AA169" i="1"/>
  <c r="AN168" i="1"/>
  <c r="AL168" i="1"/>
  <c r="AK168" i="1"/>
  <c r="AH168" i="1"/>
  <c r="AG168" i="1"/>
  <c r="AE168" i="1"/>
  <c r="AD168" i="1"/>
  <c r="AA168" i="1"/>
  <c r="AN167" i="1"/>
  <c r="AL167" i="1"/>
  <c r="AK167" i="1"/>
  <c r="AH167" i="1"/>
  <c r="AG167" i="1"/>
  <c r="AE167" i="1"/>
  <c r="AD167" i="1"/>
  <c r="AA167" i="1"/>
  <c r="AN166" i="1"/>
  <c r="AL166" i="1"/>
  <c r="AK166" i="1"/>
  <c r="AH166" i="1"/>
  <c r="AG166" i="1"/>
  <c r="AE166" i="1"/>
  <c r="AD166" i="1"/>
  <c r="AA166" i="1"/>
  <c r="AN165" i="1"/>
  <c r="AL165" i="1"/>
  <c r="AK165" i="1"/>
  <c r="AH165" i="1"/>
  <c r="AG165" i="1"/>
  <c r="AE165" i="1"/>
  <c r="AD165" i="1"/>
  <c r="AA165" i="1"/>
  <c r="AN164" i="1"/>
  <c r="AL164" i="1"/>
  <c r="AK164" i="1"/>
  <c r="AH164" i="1"/>
  <c r="AG164" i="1"/>
  <c r="AE164" i="1"/>
  <c r="AD164" i="1"/>
  <c r="AA164" i="1"/>
  <c r="AN163" i="1"/>
  <c r="AL163" i="1"/>
  <c r="AK163" i="1"/>
  <c r="AH163" i="1"/>
  <c r="AG163" i="1"/>
  <c r="AE163" i="1"/>
  <c r="AD163" i="1"/>
  <c r="AA163" i="1"/>
  <c r="AN162" i="1"/>
  <c r="AL162" i="1"/>
  <c r="AK162" i="1"/>
  <c r="AH162" i="1"/>
  <c r="AG162" i="1"/>
  <c r="AE162" i="1"/>
  <c r="AD162" i="1"/>
  <c r="AA162" i="1"/>
  <c r="AN161" i="1"/>
  <c r="AL161" i="1"/>
  <c r="AK161" i="1"/>
  <c r="AH161" i="1"/>
  <c r="AG161" i="1"/>
  <c r="AE161" i="1"/>
  <c r="AD161" i="1"/>
  <c r="AA161" i="1"/>
  <c r="AN160" i="1"/>
  <c r="AL160" i="1"/>
  <c r="AK160" i="1"/>
  <c r="AH160" i="1"/>
  <c r="AG160" i="1"/>
  <c r="AE160" i="1"/>
  <c r="AD160" i="1"/>
  <c r="AA160" i="1"/>
  <c r="AN159" i="1"/>
  <c r="AL159" i="1"/>
  <c r="AK159" i="1"/>
  <c r="AH159" i="1"/>
  <c r="AG159" i="1"/>
  <c r="AE159" i="1"/>
  <c r="AD159" i="1"/>
  <c r="AA159" i="1"/>
  <c r="AN158" i="1"/>
  <c r="AL158" i="1"/>
  <c r="AK158" i="1"/>
  <c r="AH158" i="1"/>
  <c r="AG158" i="1"/>
  <c r="AE158" i="1"/>
  <c r="AD158" i="1"/>
  <c r="AA158" i="1"/>
  <c r="AN157" i="1"/>
  <c r="AL157" i="1"/>
  <c r="AK157" i="1"/>
  <c r="AH157" i="1"/>
  <c r="AG157" i="1"/>
  <c r="AE157" i="1"/>
  <c r="AD157" i="1"/>
  <c r="AA157" i="1"/>
  <c r="AN156" i="1"/>
  <c r="AL156" i="1"/>
  <c r="AK156" i="1"/>
  <c r="AH156" i="1"/>
  <c r="AG156" i="1"/>
  <c r="AE156" i="1"/>
  <c r="AD156" i="1"/>
  <c r="AA156" i="1"/>
  <c r="AN155" i="1"/>
  <c r="AL155" i="1"/>
  <c r="AK155" i="1"/>
  <c r="AH155" i="1"/>
  <c r="AG155" i="1"/>
  <c r="AE155" i="1"/>
  <c r="AD155" i="1"/>
  <c r="AA155" i="1"/>
  <c r="AN154" i="1"/>
  <c r="AL154" i="1"/>
  <c r="AK154" i="1"/>
  <c r="AH154" i="1"/>
  <c r="AG154" i="1"/>
  <c r="AE154" i="1"/>
  <c r="AD154" i="1"/>
  <c r="AA154" i="1"/>
  <c r="AN153" i="1"/>
  <c r="AL153" i="1"/>
  <c r="AK153" i="1"/>
  <c r="AH153" i="1"/>
  <c r="AG153" i="1"/>
  <c r="AE153" i="1"/>
  <c r="AD153" i="1"/>
  <c r="AA153" i="1"/>
  <c r="AN152" i="1"/>
  <c r="AL152" i="1"/>
  <c r="AK152" i="1"/>
  <c r="AH152" i="1"/>
  <c r="AG152" i="1"/>
  <c r="AE152" i="1"/>
  <c r="AD152" i="1"/>
  <c r="AA152" i="1"/>
  <c r="AN151" i="1"/>
  <c r="AL151" i="1"/>
  <c r="AK151" i="1"/>
  <c r="AH151" i="1"/>
  <c r="AG151" i="1"/>
  <c r="AE151" i="1"/>
  <c r="AD151" i="1"/>
  <c r="AA151" i="1"/>
  <c r="AN150" i="1"/>
  <c r="AL150" i="1"/>
  <c r="AK150" i="1"/>
  <c r="AH150" i="1"/>
  <c r="AG150" i="1"/>
  <c r="AE150" i="1"/>
  <c r="AD150" i="1"/>
  <c r="AA150" i="1"/>
  <c r="AN149" i="1"/>
  <c r="AL149" i="1"/>
  <c r="AK149" i="1"/>
  <c r="AH149" i="1"/>
  <c r="AG149" i="1"/>
  <c r="AE149" i="1"/>
  <c r="AD149" i="1"/>
  <c r="AA149" i="1"/>
  <c r="AN148" i="1"/>
  <c r="AL148" i="1"/>
  <c r="AK148" i="1"/>
  <c r="AH148" i="1"/>
  <c r="AG148" i="1"/>
  <c r="AE148" i="1"/>
  <c r="AD148" i="1"/>
  <c r="AA148" i="1"/>
  <c r="AN147" i="1"/>
  <c r="AL147" i="1"/>
  <c r="AK147" i="1"/>
  <c r="AH147" i="1"/>
  <c r="AG147" i="1"/>
  <c r="AE147" i="1"/>
  <c r="AD147" i="1"/>
  <c r="AA147" i="1"/>
  <c r="AN146" i="1"/>
  <c r="AL146" i="1"/>
  <c r="AK146" i="1"/>
  <c r="AH146" i="1"/>
  <c r="AG146" i="1"/>
  <c r="AE146" i="1"/>
  <c r="AD146" i="1"/>
  <c r="AA146" i="1"/>
  <c r="AN145" i="1"/>
  <c r="AL145" i="1"/>
  <c r="AK145" i="1"/>
  <c r="AH145" i="1"/>
  <c r="AG145" i="1"/>
  <c r="AE145" i="1"/>
  <c r="AD145" i="1"/>
  <c r="AA145" i="1"/>
  <c r="AN144" i="1"/>
  <c r="AL144" i="1"/>
  <c r="AK144" i="1"/>
  <c r="AH144" i="1"/>
  <c r="AG144" i="1"/>
  <c r="AE144" i="1"/>
  <c r="AD144" i="1"/>
  <c r="AA144" i="1"/>
  <c r="AN143" i="1"/>
  <c r="AL143" i="1"/>
  <c r="AK143" i="1"/>
  <c r="AH143" i="1"/>
  <c r="AG143" i="1"/>
  <c r="AE143" i="1"/>
  <c r="AD143" i="1"/>
  <c r="AA143" i="1"/>
  <c r="AN142" i="1"/>
  <c r="AL142" i="1"/>
  <c r="AK142" i="1"/>
  <c r="AH142" i="1"/>
  <c r="AG142" i="1"/>
  <c r="AE142" i="1"/>
  <c r="AD142" i="1"/>
  <c r="AA142" i="1"/>
  <c r="AN141" i="1"/>
  <c r="AL141" i="1"/>
  <c r="AK141" i="1"/>
  <c r="AH141" i="1"/>
  <c r="AG141" i="1"/>
  <c r="AE141" i="1"/>
  <c r="AD141" i="1"/>
  <c r="AA141" i="1"/>
  <c r="AN140" i="1"/>
  <c r="AL140" i="1"/>
  <c r="AK140" i="1"/>
  <c r="AH140" i="1"/>
  <c r="AG140" i="1"/>
  <c r="AE140" i="1"/>
  <c r="AD140" i="1"/>
  <c r="AA140" i="1"/>
  <c r="AN139" i="1"/>
  <c r="AL139" i="1"/>
  <c r="AK139" i="1"/>
  <c r="AH139" i="1"/>
  <c r="AG139" i="1"/>
  <c r="AE139" i="1"/>
  <c r="AD139" i="1"/>
  <c r="AA139" i="1"/>
  <c r="AN138" i="1"/>
  <c r="AL138" i="1"/>
  <c r="AK138" i="1"/>
  <c r="AH138" i="1"/>
  <c r="AG138" i="1"/>
  <c r="AE138" i="1"/>
  <c r="AD138" i="1"/>
  <c r="AA138" i="1"/>
  <c r="AN137" i="1"/>
  <c r="AL137" i="1"/>
  <c r="AK137" i="1"/>
  <c r="AH137" i="1"/>
  <c r="AG137" i="1"/>
  <c r="AE137" i="1"/>
  <c r="AD137" i="1"/>
  <c r="AA137" i="1"/>
  <c r="AN136" i="1"/>
  <c r="AL136" i="1"/>
  <c r="AK136" i="1"/>
  <c r="AH136" i="1"/>
  <c r="AG136" i="1"/>
  <c r="AE136" i="1"/>
  <c r="AD136" i="1"/>
  <c r="AA136" i="1"/>
  <c r="AN135" i="1"/>
  <c r="AL135" i="1"/>
  <c r="AK135" i="1"/>
  <c r="AH135" i="1"/>
  <c r="AG135" i="1"/>
  <c r="AE135" i="1"/>
  <c r="AD135" i="1"/>
  <c r="AA135" i="1"/>
  <c r="AN134" i="1"/>
  <c r="AL134" i="1"/>
  <c r="AK134" i="1"/>
  <c r="AH134" i="1"/>
  <c r="AG134" i="1"/>
  <c r="AE134" i="1"/>
  <c r="AD134" i="1"/>
  <c r="AA134" i="1"/>
  <c r="AN133" i="1"/>
  <c r="AL133" i="1"/>
  <c r="AK133" i="1"/>
  <c r="AH133" i="1"/>
  <c r="AG133" i="1"/>
  <c r="AE133" i="1"/>
  <c r="AD133" i="1"/>
  <c r="AA133" i="1"/>
  <c r="AN132" i="1"/>
  <c r="AL132" i="1"/>
  <c r="AK132" i="1"/>
  <c r="AH132" i="1"/>
  <c r="AG132" i="1"/>
  <c r="AE132" i="1"/>
  <c r="AD132" i="1"/>
  <c r="AA132" i="1"/>
  <c r="AN131" i="1"/>
  <c r="AL131" i="1"/>
  <c r="AK131" i="1"/>
  <c r="AH131" i="1"/>
  <c r="AG131" i="1"/>
  <c r="AE131" i="1"/>
  <c r="AD131" i="1"/>
  <c r="AA131" i="1"/>
  <c r="AN130" i="1"/>
  <c r="AL130" i="1"/>
  <c r="AK130" i="1"/>
  <c r="AH130" i="1"/>
  <c r="AG130" i="1"/>
  <c r="AE130" i="1"/>
  <c r="AD130" i="1"/>
  <c r="AA130" i="1"/>
  <c r="AN129" i="1"/>
  <c r="AL129" i="1"/>
  <c r="AK129" i="1"/>
  <c r="AH129" i="1"/>
  <c r="AG129" i="1"/>
  <c r="AE129" i="1"/>
  <c r="AD129" i="1"/>
  <c r="AA129" i="1"/>
  <c r="AN128" i="1"/>
  <c r="AL128" i="1"/>
  <c r="AK128" i="1"/>
  <c r="AH128" i="1"/>
  <c r="AG128" i="1"/>
  <c r="AE128" i="1"/>
  <c r="AD128" i="1"/>
  <c r="AA128" i="1"/>
  <c r="AN127" i="1"/>
  <c r="AL127" i="1"/>
  <c r="AK127" i="1"/>
  <c r="AH127" i="1"/>
  <c r="AG127" i="1"/>
  <c r="AE127" i="1"/>
  <c r="AD127" i="1"/>
  <c r="AA127" i="1"/>
  <c r="AN126" i="1"/>
  <c r="AL126" i="1"/>
  <c r="AK126" i="1"/>
  <c r="AH126" i="1"/>
  <c r="AG126" i="1"/>
  <c r="AE126" i="1"/>
  <c r="AD126" i="1"/>
  <c r="AA126" i="1"/>
  <c r="AN125" i="1"/>
  <c r="AL125" i="1"/>
  <c r="AK125" i="1"/>
  <c r="AH125" i="1"/>
  <c r="AG125" i="1"/>
  <c r="AE125" i="1"/>
  <c r="AD125" i="1"/>
  <c r="AA125" i="1"/>
  <c r="AN124" i="1"/>
  <c r="AL124" i="1"/>
  <c r="AK124" i="1"/>
  <c r="AH124" i="1"/>
  <c r="AG124" i="1"/>
  <c r="AE124" i="1"/>
  <c r="AD124" i="1"/>
  <c r="AA124" i="1"/>
  <c r="AN123" i="1"/>
  <c r="AL123" i="1"/>
  <c r="AK123" i="1"/>
  <c r="AH123" i="1"/>
  <c r="AG123" i="1"/>
  <c r="AE123" i="1"/>
  <c r="AD123" i="1"/>
  <c r="AA123" i="1"/>
  <c r="AN122" i="1"/>
  <c r="AL122" i="1"/>
  <c r="AK122" i="1"/>
  <c r="AH122" i="1"/>
  <c r="AG122" i="1"/>
  <c r="AE122" i="1"/>
  <c r="AD122" i="1"/>
  <c r="AA122" i="1"/>
  <c r="AN121" i="1"/>
  <c r="AL121" i="1"/>
  <c r="AK121" i="1"/>
  <c r="AH121" i="1"/>
  <c r="AG121" i="1"/>
  <c r="AE121" i="1"/>
  <c r="AD121" i="1"/>
  <c r="AA121" i="1"/>
  <c r="AN120" i="1"/>
  <c r="AL120" i="1"/>
  <c r="AK120" i="1"/>
  <c r="AH120" i="1"/>
  <c r="AG120" i="1"/>
  <c r="AE120" i="1"/>
  <c r="AD120" i="1"/>
  <c r="AA120" i="1"/>
  <c r="AN119" i="1"/>
  <c r="AL119" i="1"/>
  <c r="AK119" i="1"/>
  <c r="AH119" i="1"/>
  <c r="AG119" i="1"/>
  <c r="AE119" i="1"/>
  <c r="AD119" i="1"/>
  <c r="AA119" i="1"/>
  <c r="AN118" i="1"/>
  <c r="AL118" i="1"/>
  <c r="AK118" i="1"/>
  <c r="AH118" i="1"/>
  <c r="AG118" i="1"/>
  <c r="AE118" i="1"/>
  <c r="AD118" i="1"/>
  <c r="AA118" i="1"/>
  <c r="AN117" i="1"/>
  <c r="AL117" i="1"/>
  <c r="AK117" i="1"/>
  <c r="AH117" i="1"/>
  <c r="AG117" i="1"/>
  <c r="AE117" i="1"/>
  <c r="AD117" i="1"/>
  <c r="AA117" i="1"/>
  <c r="AN116" i="1"/>
  <c r="AL116" i="1"/>
  <c r="AK116" i="1"/>
  <c r="AH116" i="1"/>
  <c r="AG116" i="1"/>
  <c r="AE116" i="1"/>
  <c r="AD116" i="1"/>
  <c r="AA116" i="1"/>
  <c r="AN115" i="1"/>
  <c r="AL115" i="1"/>
  <c r="AK115" i="1"/>
  <c r="AH115" i="1"/>
  <c r="AG115" i="1"/>
  <c r="AE115" i="1"/>
  <c r="AD115" i="1"/>
  <c r="AA115" i="1"/>
  <c r="AN114" i="1"/>
  <c r="AL114" i="1"/>
  <c r="AK114" i="1"/>
  <c r="AH114" i="1"/>
  <c r="AG114" i="1"/>
  <c r="AE114" i="1"/>
  <c r="AD114" i="1"/>
  <c r="AA114" i="1"/>
  <c r="AN113" i="1"/>
  <c r="AL113" i="1"/>
  <c r="AK113" i="1"/>
  <c r="AH113" i="1"/>
  <c r="AG113" i="1"/>
  <c r="AE113" i="1"/>
  <c r="AD113" i="1"/>
  <c r="AA113" i="1"/>
  <c r="AN112" i="1"/>
  <c r="AL112" i="1"/>
  <c r="AK112" i="1"/>
  <c r="AH112" i="1"/>
  <c r="AG112" i="1"/>
  <c r="AE112" i="1"/>
  <c r="AD112" i="1"/>
  <c r="AA112" i="1"/>
  <c r="AN111" i="1"/>
  <c r="AL111" i="1"/>
  <c r="AK111" i="1"/>
  <c r="AH111" i="1"/>
  <c r="AG111" i="1"/>
  <c r="AE111" i="1"/>
  <c r="AD111" i="1"/>
  <c r="AA111" i="1"/>
  <c r="AN110" i="1"/>
  <c r="AL110" i="1"/>
  <c r="AK110" i="1"/>
  <c r="AH110" i="1"/>
  <c r="AG110" i="1"/>
  <c r="AE110" i="1"/>
  <c r="AD110" i="1"/>
  <c r="AA110" i="1"/>
  <c r="AN109" i="1"/>
  <c r="AL109" i="1"/>
  <c r="AK109" i="1"/>
  <c r="AH109" i="1"/>
  <c r="AG109" i="1"/>
  <c r="AE109" i="1"/>
  <c r="AD109" i="1"/>
  <c r="AA109" i="1"/>
  <c r="AN108" i="1"/>
  <c r="AL108" i="1"/>
  <c r="AK108" i="1"/>
  <c r="AH108" i="1"/>
  <c r="AG108" i="1"/>
  <c r="AE108" i="1"/>
  <c r="AD108" i="1"/>
  <c r="AA108" i="1"/>
  <c r="AN107" i="1"/>
  <c r="AL107" i="1"/>
  <c r="AK107" i="1"/>
  <c r="AH107" i="1"/>
  <c r="AG107" i="1"/>
  <c r="AE107" i="1"/>
  <c r="AD107" i="1"/>
  <c r="AA107" i="1"/>
  <c r="AN106" i="1"/>
  <c r="AL106" i="1"/>
  <c r="AK106" i="1"/>
  <c r="AH106" i="1"/>
  <c r="AG106" i="1"/>
  <c r="AE106" i="1"/>
  <c r="AD106" i="1"/>
  <c r="AA106" i="1"/>
  <c r="AN105" i="1"/>
  <c r="AL105" i="1"/>
  <c r="AK105" i="1"/>
  <c r="AH105" i="1"/>
  <c r="AG105" i="1"/>
  <c r="AE105" i="1"/>
  <c r="AD105" i="1"/>
  <c r="AA105" i="1"/>
  <c r="AN104" i="1"/>
  <c r="AL104" i="1"/>
  <c r="AK104" i="1"/>
  <c r="AH104" i="1"/>
  <c r="AG104" i="1"/>
  <c r="AE104" i="1"/>
  <c r="AD104" i="1"/>
  <c r="AA104" i="1"/>
  <c r="AN103" i="1"/>
  <c r="AL103" i="1"/>
  <c r="AK103" i="1"/>
  <c r="AH103" i="1"/>
  <c r="AG103" i="1"/>
  <c r="AE103" i="1"/>
  <c r="AD103" i="1"/>
  <c r="AA103" i="1"/>
  <c r="AN102" i="1"/>
  <c r="AL102" i="1"/>
  <c r="AK102" i="1"/>
  <c r="AH102" i="1"/>
  <c r="AG102" i="1"/>
  <c r="AE102" i="1"/>
  <c r="AD102" i="1"/>
  <c r="AA102" i="1"/>
  <c r="AN101" i="1"/>
  <c r="AL101" i="1"/>
  <c r="AK101" i="1"/>
  <c r="AH101" i="1"/>
  <c r="AG101" i="1"/>
  <c r="AE101" i="1"/>
  <c r="AD101" i="1"/>
  <c r="AA101" i="1"/>
  <c r="AN100" i="1"/>
  <c r="AL100" i="1"/>
  <c r="AK100" i="1"/>
  <c r="AH100" i="1"/>
  <c r="AG100" i="1"/>
  <c r="AE100" i="1"/>
  <c r="AD100" i="1"/>
  <c r="AA100" i="1"/>
  <c r="AN99" i="1"/>
  <c r="AL99" i="1"/>
  <c r="AK99" i="1"/>
  <c r="AH99" i="1"/>
  <c r="AG99" i="1"/>
  <c r="AE99" i="1"/>
  <c r="AD99" i="1"/>
  <c r="AA99" i="1"/>
  <c r="AN98" i="1"/>
  <c r="AL98" i="1"/>
  <c r="AK98" i="1"/>
  <c r="AH98" i="1"/>
  <c r="AG98" i="1"/>
  <c r="AE98" i="1"/>
  <c r="AD98" i="1"/>
  <c r="AA98" i="1"/>
  <c r="AN97" i="1"/>
  <c r="AL97" i="1"/>
  <c r="AK97" i="1"/>
  <c r="AH97" i="1"/>
  <c r="AG97" i="1"/>
  <c r="AE97" i="1"/>
  <c r="AD97" i="1"/>
  <c r="AA97" i="1"/>
  <c r="AN96" i="1"/>
  <c r="AL96" i="1"/>
  <c r="AK96" i="1"/>
  <c r="AH96" i="1"/>
  <c r="AG96" i="1"/>
  <c r="AE96" i="1"/>
  <c r="AD96" i="1"/>
  <c r="AA96" i="1"/>
  <c r="AN95" i="1"/>
  <c r="AL95" i="1"/>
  <c r="AK95" i="1"/>
  <c r="AH95" i="1"/>
  <c r="AG95" i="1"/>
  <c r="AE95" i="1"/>
  <c r="AD95" i="1"/>
  <c r="AA95" i="1"/>
  <c r="AN94" i="1"/>
  <c r="AL94" i="1"/>
  <c r="AK94" i="1"/>
  <c r="AH94" i="1"/>
  <c r="AG94" i="1"/>
  <c r="AE94" i="1"/>
  <c r="AD94" i="1"/>
  <c r="AA94" i="1"/>
  <c r="AN93" i="1"/>
  <c r="AL93" i="1"/>
  <c r="AK93" i="1"/>
  <c r="AH93" i="1"/>
  <c r="AG93" i="1"/>
  <c r="AE93" i="1"/>
  <c r="AD93" i="1"/>
  <c r="AA93" i="1"/>
  <c r="AN92" i="1"/>
  <c r="AL92" i="1"/>
  <c r="AK92" i="1"/>
  <c r="AH92" i="1"/>
  <c r="AG92" i="1"/>
  <c r="AE92" i="1"/>
  <c r="AD92" i="1"/>
  <c r="AA92" i="1"/>
  <c r="AN91" i="1"/>
  <c r="AL91" i="1"/>
  <c r="AK91" i="1"/>
  <c r="AH91" i="1"/>
  <c r="AG91" i="1"/>
  <c r="AE91" i="1"/>
  <c r="AD91" i="1"/>
  <c r="AA91" i="1"/>
  <c r="AN90" i="1"/>
  <c r="AL90" i="1"/>
  <c r="AK90" i="1"/>
  <c r="AH90" i="1"/>
  <c r="AG90" i="1"/>
  <c r="AE90" i="1"/>
  <c r="AD90" i="1"/>
  <c r="AA90" i="1"/>
  <c r="AN89" i="1"/>
  <c r="AL89" i="1"/>
  <c r="AK89" i="1"/>
  <c r="AH89" i="1"/>
  <c r="AG89" i="1"/>
  <c r="AE89" i="1"/>
  <c r="AD89" i="1"/>
  <c r="AA89" i="1"/>
  <c r="AN88" i="1"/>
  <c r="AL88" i="1"/>
  <c r="AK88" i="1"/>
  <c r="AH88" i="1"/>
  <c r="AG88" i="1"/>
  <c r="AE88" i="1"/>
  <c r="AD88" i="1"/>
  <c r="AA88" i="1"/>
  <c r="AN87" i="1"/>
  <c r="AL87" i="1"/>
  <c r="AK87" i="1"/>
  <c r="AH87" i="1"/>
  <c r="AG87" i="1"/>
  <c r="AE87" i="1"/>
  <c r="AD87" i="1"/>
  <c r="AA87" i="1"/>
  <c r="AN86" i="1"/>
  <c r="AL86" i="1"/>
  <c r="AK86" i="1"/>
  <c r="AH86" i="1"/>
  <c r="AG86" i="1"/>
  <c r="AE86" i="1"/>
  <c r="AD86" i="1"/>
  <c r="AA86" i="1"/>
  <c r="AN85" i="1"/>
  <c r="AL85" i="1"/>
  <c r="AK85" i="1"/>
  <c r="AH85" i="1"/>
  <c r="AG85" i="1"/>
  <c r="AE85" i="1"/>
  <c r="AD85" i="1"/>
  <c r="AA85" i="1"/>
  <c r="AN84" i="1"/>
  <c r="AL84" i="1"/>
  <c r="AK84" i="1"/>
  <c r="AH84" i="1"/>
  <c r="AG84" i="1"/>
  <c r="AE84" i="1"/>
  <c r="AD84" i="1"/>
  <c r="AA84" i="1"/>
  <c r="AN83" i="1"/>
  <c r="AL83" i="1"/>
  <c r="AK83" i="1"/>
  <c r="AH83" i="1"/>
  <c r="AG83" i="1"/>
  <c r="AE83" i="1"/>
  <c r="AD83" i="1"/>
  <c r="AA83" i="1"/>
  <c r="AN82" i="1"/>
  <c r="AL82" i="1"/>
  <c r="AK82" i="1"/>
  <c r="AH82" i="1"/>
  <c r="AG82" i="1"/>
  <c r="AE82" i="1"/>
  <c r="AD82" i="1"/>
  <c r="AA82" i="1"/>
  <c r="AN81" i="1"/>
  <c r="AL81" i="1"/>
  <c r="AK81" i="1"/>
  <c r="AH81" i="1"/>
  <c r="AG81" i="1"/>
  <c r="AE81" i="1"/>
  <c r="AD81" i="1"/>
  <c r="AA81" i="1"/>
  <c r="AN80" i="1"/>
  <c r="AL80" i="1"/>
  <c r="AK80" i="1"/>
  <c r="AH80" i="1"/>
  <c r="AG80" i="1"/>
  <c r="AE80" i="1"/>
  <c r="AD80" i="1"/>
  <c r="AA80" i="1"/>
  <c r="AN79" i="1"/>
  <c r="AL79" i="1"/>
  <c r="AK79" i="1"/>
  <c r="AH79" i="1"/>
  <c r="AG79" i="1"/>
  <c r="AE79" i="1"/>
  <c r="AD79" i="1"/>
  <c r="AA79" i="1"/>
  <c r="AN78" i="1"/>
  <c r="AL78" i="1"/>
  <c r="AK78" i="1"/>
  <c r="AH78" i="1"/>
  <c r="AG78" i="1"/>
  <c r="AE78" i="1"/>
  <c r="AD78" i="1"/>
  <c r="AA78" i="1"/>
  <c r="AN77" i="1"/>
  <c r="AL77" i="1"/>
  <c r="AK77" i="1"/>
  <c r="AH77" i="1"/>
  <c r="AG77" i="1"/>
  <c r="AE77" i="1"/>
  <c r="AD77" i="1"/>
  <c r="AA77" i="1"/>
  <c r="AN76" i="1"/>
  <c r="AL76" i="1"/>
  <c r="AK76" i="1"/>
  <c r="AH76" i="1"/>
  <c r="AG76" i="1"/>
  <c r="AE76" i="1"/>
  <c r="AD76" i="1"/>
  <c r="AA76" i="1"/>
  <c r="AN75" i="1"/>
  <c r="AL75" i="1"/>
  <c r="AK75" i="1"/>
  <c r="AH75" i="1"/>
  <c r="AG75" i="1"/>
  <c r="AE75" i="1"/>
  <c r="AD75" i="1"/>
  <c r="AA75" i="1"/>
  <c r="AN74" i="1"/>
  <c r="AL74" i="1"/>
  <c r="AK74" i="1"/>
  <c r="AH74" i="1"/>
  <c r="AG74" i="1"/>
  <c r="AE74" i="1"/>
  <c r="AD74" i="1"/>
  <c r="AA74" i="1"/>
  <c r="AN73" i="1"/>
  <c r="AL73" i="1"/>
  <c r="AK73" i="1"/>
  <c r="AH73" i="1"/>
  <c r="AG73" i="1"/>
  <c r="AE73" i="1"/>
  <c r="AD73" i="1"/>
  <c r="AA73" i="1"/>
  <c r="AN72" i="1"/>
  <c r="AL72" i="1"/>
  <c r="AK72" i="1"/>
  <c r="AH72" i="1"/>
  <c r="AG72" i="1"/>
  <c r="AE72" i="1"/>
  <c r="AD72" i="1"/>
  <c r="AA72" i="1"/>
  <c r="AN71" i="1"/>
  <c r="AL71" i="1"/>
  <c r="AK71" i="1"/>
  <c r="AH71" i="1"/>
  <c r="AG71" i="1"/>
  <c r="AE71" i="1"/>
  <c r="AD71" i="1"/>
  <c r="AA71" i="1"/>
  <c r="AN70" i="1"/>
  <c r="AL70" i="1"/>
  <c r="AK70" i="1"/>
  <c r="AH70" i="1"/>
  <c r="AG70" i="1"/>
  <c r="AE70" i="1"/>
  <c r="AD70" i="1"/>
  <c r="AA70" i="1"/>
  <c r="AN69" i="1"/>
  <c r="AL69" i="1"/>
  <c r="AK69" i="1"/>
  <c r="AH69" i="1"/>
  <c r="AG69" i="1"/>
  <c r="AE69" i="1"/>
  <c r="AD69" i="1"/>
  <c r="AA69" i="1"/>
  <c r="AN68" i="1"/>
  <c r="AL68" i="1"/>
  <c r="AK68" i="1"/>
  <c r="AH68" i="1"/>
  <c r="AG68" i="1"/>
  <c r="AE68" i="1"/>
  <c r="AD68" i="1"/>
  <c r="AA68" i="1"/>
  <c r="AN67" i="1"/>
  <c r="AL67" i="1"/>
  <c r="AK67" i="1"/>
  <c r="AH67" i="1"/>
  <c r="AG67" i="1"/>
  <c r="AE67" i="1"/>
  <c r="AD67" i="1"/>
  <c r="AA67" i="1"/>
  <c r="AN66" i="1"/>
  <c r="AL66" i="1"/>
  <c r="AK66" i="1"/>
  <c r="AH66" i="1"/>
  <c r="AG66" i="1"/>
  <c r="AE66" i="1"/>
  <c r="AD66" i="1"/>
  <c r="AA66" i="1"/>
  <c r="AN65" i="1"/>
  <c r="AL65" i="1"/>
  <c r="AK65" i="1"/>
  <c r="AH65" i="1"/>
  <c r="AG65" i="1"/>
  <c r="AE65" i="1"/>
  <c r="AD65" i="1"/>
  <c r="AA65" i="1"/>
  <c r="AN64" i="1"/>
  <c r="AL64" i="1"/>
  <c r="AK64" i="1"/>
  <c r="AH64" i="1"/>
  <c r="AG64" i="1"/>
  <c r="AE64" i="1"/>
  <c r="AD64" i="1"/>
  <c r="AA64" i="1"/>
  <c r="AN63" i="1"/>
  <c r="AL63" i="1"/>
  <c r="AK63" i="1"/>
  <c r="AH63" i="1"/>
  <c r="AG63" i="1"/>
  <c r="AE63" i="1"/>
  <c r="AD63" i="1"/>
  <c r="AA63" i="1"/>
  <c r="AN62" i="1"/>
  <c r="AL62" i="1"/>
  <c r="AK62" i="1"/>
  <c r="AH62" i="1"/>
  <c r="AG62" i="1"/>
  <c r="AE62" i="1"/>
  <c r="AD62" i="1"/>
  <c r="AA62" i="1"/>
  <c r="AN61" i="1"/>
  <c r="AL61" i="1"/>
  <c r="AK61" i="1"/>
  <c r="AH61" i="1"/>
  <c r="AG61" i="1"/>
  <c r="AE61" i="1"/>
  <c r="AD61" i="1"/>
  <c r="AA61" i="1"/>
  <c r="AN60" i="1"/>
  <c r="AL60" i="1"/>
  <c r="AK60" i="1"/>
  <c r="AH60" i="1"/>
  <c r="AG60" i="1"/>
  <c r="AE60" i="1"/>
  <c r="AD60" i="1"/>
  <c r="AA60" i="1"/>
  <c r="AN59" i="1"/>
  <c r="AL59" i="1"/>
  <c r="AK59" i="1"/>
  <c r="AH59" i="1"/>
  <c r="AG59" i="1"/>
  <c r="AE59" i="1"/>
  <c r="AD59" i="1"/>
  <c r="AA59" i="1"/>
  <c r="AN58" i="1"/>
  <c r="AL58" i="1"/>
  <c r="AK58" i="1"/>
  <c r="AH58" i="1"/>
  <c r="AG58" i="1"/>
  <c r="AE58" i="1"/>
  <c r="AD58" i="1"/>
  <c r="AA58" i="1"/>
  <c r="AN57" i="1"/>
  <c r="AL57" i="1"/>
  <c r="AK57" i="1"/>
  <c r="AH57" i="1"/>
  <c r="AG57" i="1"/>
  <c r="AE57" i="1"/>
  <c r="AD57" i="1"/>
  <c r="AA57" i="1"/>
  <c r="AN56" i="1"/>
  <c r="AL56" i="1"/>
  <c r="AK56" i="1"/>
  <c r="AH56" i="1"/>
  <c r="AG56" i="1"/>
  <c r="AE56" i="1"/>
  <c r="AD56" i="1"/>
  <c r="AA56" i="1"/>
  <c r="AN55" i="1"/>
  <c r="AL55" i="1"/>
  <c r="AK55" i="1"/>
  <c r="AH55" i="1"/>
  <c r="AG55" i="1"/>
  <c r="AE55" i="1"/>
  <c r="AD55" i="1"/>
  <c r="AA55" i="1"/>
  <c r="AN54" i="1"/>
  <c r="AL54" i="1"/>
  <c r="AK54" i="1"/>
  <c r="AH54" i="1"/>
  <c r="AG54" i="1"/>
  <c r="AE54" i="1"/>
  <c r="AD54" i="1"/>
  <c r="AA54" i="1"/>
  <c r="AN53" i="1"/>
  <c r="AL53" i="1"/>
  <c r="AK53" i="1"/>
  <c r="AH53" i="1"/>
  <c r="AG53" i="1"/>
  <c r="AE53" i="1"/>
  <c r="AD53" i="1"/>
  <c r="AA53" i="1"/>
  <c r="AN52" i="1"/>
  <c r="AL52" i="1"/>
  <c r="AK52" i="1"/>
  <c r="AH52" i="1"/>
  <c r="AG52" i="1"/>
  <c r="AE52" i="1"/>
  <c r="AD52" i="1"/>
  <c r="AA52" i="1"/>
  <c r="AN51" i="1"/>
  <c r="AL51" i="1"/>
  <c r="AK51" i="1"/>
  <c r="AH51" i="1"/>
  <c r="AG51" i="1"/>
  <c r="AE51" i="1"/>
  <c r="AD51" i="1"/>
  <c r="AA51" i="1"/>
  <c r="AN50" i="1"/>
  <c r="AL50" i="1"/>
  <c r="AK50" i="1"/>
  <c r="AH50" i="1"/>
  <c r="AG50" i="1"/>
  <c r="AE50" i="1"/>
  <c r="AD50" i="1"/>
  <c r="AA50" i="1"/>
  <c r="AN49" i="1"/>
  <c r="AL49" i="1"/>
  <c r="AK49" i="1"/>
  <c r="AH49" i="1"/>
  <c r="AG49" i="1"/>
  <c r="AE49" i="1"/>
  <c r="AD49" i="1"/>
  <c r="AA49" i="1"/>
  <c r="AN48" i="1"/>
  <c r="AL48" i="1"/>
  <c r="AK48" i="1"/>
  <c r="AH48" i="1"/>
  <c r="AG48" i="1"/>
  <c r="AE48" i="1"/>
  <c r="AD48" i="1"/>
  <c r="AA48" i="1"/>
  <c r="AN47" i="1"/>
  <c r="AL47" i="1"/>
  <c r="AK47" i="1"/>
  <c r="AH47" i="1"/>
  <c r="AG47" i="1"/>
  <c r="AE47" i="1"/>
  <c r="AD47" i="1"/>
  <c r="AA47" i="1"/>
  <c r="AN46" i="1"/>
  <c r="AL46" i="1"/>
  <c r="AK46" i="1"/>
  <c r="AH46" i="1"/>
  <c r="AG46" i="1"/>
  <c r="AE46" i="1"/>
  <c r="AD46" i="1"/>
  <c r="AA46" i="1"/>
  <c r="AN45" i="1"/>
  <c r="AL45" i="1"/>
  <c r="AK45" i="1"/>
  <c r="AH45" i="1"/>
  <c r="AG45" i="1"/>
  <c r="AE45" i="1"/>
  <c r="AD45" i="1"/>
  <c r="AA45" i="1"/>
  <c r="AN44" i="1"/>
  <c r="AL44" i="1"/>
  <c r="AK44" i="1"/>
  <c r="AH44" i="1"/>
  <c r="AG44" i="1"/>
  <c r="AE44" i="1"/>
  <c r="AD44" i="1"/>
  <c r="AA44" i="1"/>
  <c r="AN43" i="1"/>
  <c r="AL43" i="1"/>
  <c r="AK43" i="1"/>
  <c r="AH43" i="1"/>
  <c r="AG43" i="1"/>
  <c r="AE43" i="1"/>
  <c r="AD43" i="1"/>
  <c r="AA43" i="1"/>
  <c r="AN42" i="1"/>
  <c r="AL42" i="1"/>
  <c r="AK42" i="1"/>
  <c r="AH42" i="1"/>
  <c r="AG42" i="1"/>
  <c r="AE42" i="1"/>
  <c r="AD42" i="1"/>
  <c r="AA42" i="1"/>
  <c r="AN41" i="1"/>
  <c r="AL41" i="1"/>
  <c r="AK41" i="1"/>
  <c r="AH41" i="1"/>
  <c r="AG41" i="1"/>
  <c r="AE41" i="1"/>
  <c r="AD41" i="1"/>
  <c r="AA41" i="1"/>
  <c r="AN40" i="1"/>
  <c r="AL40" i="1"/>
  <c r="AK40" i="1"/>
  <c r="AH40" i="1"/>
  <c r="AG40" i="1"/>
  <c r="AE40" i="1"/>
  <c r="AD40" i="1"/>
  <c r="AA40" i="1"/>
  <c r="AN39" i="1"/>
  <c r="AL39" i="1"/>
  <c r="AK39" i="1"/>
  <c r="AH39" i="1"/>
  <c r="AG39" i="1"/>
  <c r="AE39" i="1"/>
  <c r="AD39" i="1"/>
  <c r="AA39" i="1"/>
  <c r="AN38" i="1"/>
  <c r="AL38" i="1"/>
  <c r="AK38" i="1"/>
  <c r="AH38" i="1"/>
  <c r="AG38" i="1"/>
  <c r="AE38" i="1"/>
  <c r="AD38" i="1"/>
  <c r="AA38" i="1"/>
  <c r="AN37" i="1"/>
  <c r="AL37" i="1"/>
  <c r="AK37" i="1"/>
  <c r="AH37" i="1"/>
  <c r="AG37" i="1"/>
  <c r="AE37" i="1"/>
  <c r="AD37" i="1"/>
  <c r="AA37" i="1"/>
  <c r="AN36" i="1"/>
  <c r="AL36" i="1"/>
  <c r="AK36" i="1"/>
  <c r="AH36" i="1"/>
  <c r="AG36" i="1"/>
  <c r="AE36" i="1"/>
  <c r="AD36" i="1"/>
  <c r="AA36" i="1"/>
  <c r="AN35" i="1"/>
  <c r="AL35" i="1"/>
  <c r="AK35" i="1"/>
  <c r="AH35" i="1"/>
  <c r="AG35" i="1"/>
  <c r="AE35" i="1"/>
  <c r="AD35" i="1"/>
  <c r="AA35" i="1"/>
  <c r="AN34" i="1"/>
  <c r="AL34" i="1"/>
  <c r="AK34" i="1"/>
  <c r="AH34" i="1"/>
  <c r="AG34" i="1"/>
  <c r="AE34" i="1"/>
  <c r="AD34" i="1"/>
  <c r="AA34" i="1"/>
  <c r="AN33" i="1"/>
  <c r="AL33" i="1"/>
  <c r="AK33" i="1"/>
  <c r="AH33" i="1"/>
  <c r="AG33" i="1"/>
  <c r="AE33" i="1"/>
  <c r="AD33" i="1"/>
  <c r="AA33" i="1"/>
  <c r="AN32" i="1"/>
  <c r="AL32" i="1"/>
  <c r="AK32" i="1"/>
  <c r="AH32" i="1"/>
  <c r="AG32" i="1"/>
  <c r="AE32" i="1"/>
  <c r="AD32" i="1"/>
  <c r="AA32" i="1"/>
  <c r="AN31" i="1"/>
  <c r="AL31" i="1"/>
  <c r="AK31" i="1"/>
  <c r="AH31" i="1"/>
  <c r="AG31" i="1"/>
  <c r="AE31" i="1"/>
  <c r="AD31" i="1"/>
  <c r="AA31" i="1"/>
  <c r="AN30" i="1"/>
  <c r="AL30" i="1"/>
  <c r="AK30" i="1"/>
  <c r="AH30" i="1"/>
  <c r="AG30" i="1"/>
  <c r="AE30" i="1"/>
  <c r="AD30" i="1"/>
  <c r="AA30" i="1"/>
  <c r="AN29" i="1"/>
  <c r="AL29" i="1"/>
  <c r="AK29" i="1"/>
  <c r="AH29" i="1"/>
  <c r="AG29" i="1"/>
  <c r="AE29" i="1"/>
  <c r="AD29" i="1"/>
  <c r="AA29" i="1"/>
  <c r="AN28" i="1"/>
  <c r="AL28" i="1"/>
  <c r="AK28" i="1"/>
  <c r="AH28" i="1"/>
  <c r="AG28" i="1"/>
  <c r="AE28" i="1"/>
  <c r="AD28" i="1"/>
  <c r="AA28" i="1"/>
  <c r="AN27" i="1"/>
  <c r="AL27" i="1"/>
  <c r="AK27" i="1"/>
  <c r="AH27" i="1"/>
  <c r="AG27" i="1"/>
  <c r="AE27" i="1"/>
  <c r="AD27" i="1"/>
  <c r="AA27" i="1"/>
  <c r="AN26" i="1"/>
  <c r="AL26" i="1"/>
  <c r="AK26" i="1"/>
  <c r="AH26" i="1"/>
  <c r="AG26" i="1"/>
  <c r="AE26" i="1"/>
  <c r="AD26" i="1"/>
  <c r="AA26" i="1"/>
  <c r="AN25" i="1"/>
  <c r="AL25" i="1"/>
  <c r="AK25" i="1"/>
  <c r="AH25" i="1"/>
  <c r="AG25" i="1"/>
  <c r="AE25" i="1"/>
  <c r="AD25" i="1"/>
  <c r="AA25" i="1"/>
  <c r="AN24" i="1"/>
  <c r="AL24" i="1"/>
  <c r="AK24" i="1"/>
  <c r="AH24" i="1"/>
  <c r="AG24" i="1"/>
  <c r="AE24" i="1"/>
  <c r="AD24" i="1"/>
  <c r="AA24" i="1"/>
  <c r="AN23" i="1"/>
  <c r="AL23" i="1"/>
  <c r="AK23" i="1"/>
  <c r="AH23" i="1"/>
  <c r="AG23" i="1"/>
  <c r="AE23" i="1"/>
  <c r="AD23" i="1"/>
  <c r="AA23" i="1"/>
  <c r="AN22" i="1"/>
  <c r="AL22" i="1"/>
  <c r="AK22" i="1"/>
  <c r="AH22" i="1"/>
  <c r="AG22" i="1"/>
  <c r="AE22" i="1"/>
  <c r="AD22" i="1"/>
  <c r="AA22" i="1"/>
  <c r="AN21" i="1"/>
  <c r="AL21" i="1"/>
  <c r="AK21" i="1"/>
  <c r="AH21" i="1"/>
  <c r="AG21" i="1"/>
  <c r="AE21" i="1"/>
  <c r="AD21" i="1"/>
  <c r="AA21" i="1"/>
  <c r="AN20" i="1"/>
  <c r="AL20" i="1"/>
  <c r="AK20" i="1"/>
  <c r="AH20" i="1"/>
  <c r="AG20" i="1"/>
  <c r="AE20" i="1"/>
  <c r="AD20" i="1"/>
  <c r="AA20" i="1"/>
  <c r="AN19" i="1"/>
  <c r="AL19" i="1"/>
  <c r="AK19" i="1"/>
  <c r="AH19" i="1"/>
  <c r="AG19" i="1"/>
  <c r="AE19" i="1"/>
  <c r="AD19" i="1"/>
  <c r="AN18" i="1"/>
  <c r="AL18" i="1"/>
  <c r="AK18" i="1"/>
  <c r="AH18" i="1"/>
  <c r="AG18" i="1"/>
  <c r="AE18" i="1"/>
  <c r="AD18" i="1"/>
  <c r="AA18" i="1"/>
  <c r="AN17" i="1"/>
  <c r="AL17" i="1"/>
  <c r="AK17" i="1"/>
  <c r="AH17" i="1"/>
  <c r="AG17" i="1"/>
  <c r="AE17" i="1"/>
  <c r="AD17" i="1"/>
  <c r="AA17" i="1"/>
  <c r="AN16" i="1"/>
  <c r="AL16" i="1"/>
  <c r="AK16" i="1"/>
  <c r="AH16" i="1"/>
  <c r="AG16" i="1"/>
  <c r="AE16" i="1"/>
  <c r="AD16" i="1"/>
  <c r="AA16" i="1"/>
  <c r="AN15" i="1"/>
  <c r="AL15" i="1"/>
  <c r="AK15" i="1"/>
  <c r="AH15" i="1"/>
  <c r="AG15" i="1"/>
  <c r="AE15" i="1"/>
  <c r="AD15" i="1"/>
  <c r="AA15" i="1"/>
  <c r="AN14" i="1"/>
  <c r="AL14" i="1"/>
  <c r="AK14" i="1"/>
  <c r="AH14" i="1"/>
  <c r="AG14" i="1"/>
  <c r="AE14" i="1"/>
  <c r="AD14" i="1"/>
  <c r="AA14" i="1"/>
  <c r="AN13" i="1"/>
  <c r="AL13" i="1"/>
  <c r="AK13" i="1"/>
  <c r="AH13" i="1"/>
  <c r="AG13" i="1"/>
  <c r="AE13" i="1"/>
  <c r="AD13" i="1"/>
  <c r="AA13" i="1"/>
  <c r="AN12" i="1"/>
  <c r="AL12" i="1"/>
  <c r="AK12" i="1"/>
  <c r="AH12" i="1"/>
  <c r="AG12" i="1"/>
  <c r="AE12" i="1"/>
  <c r="AD12" i="1"/>
  <c r="AA12" i="1"/>
  <c r="AN11" i="1"/>
  <c r="AL11" i="1"/>
  <c r="AK11" i="1"/>
  <c r="AH11" i="1"/>
  <c r="AG11" i="1"/>
  <c r="AE11" i="1"/>
  <c r="AD11" i="1"/>
  <c r="AA11" i="1"/>
  <c r="AN10" i="1"/>
  <c r="AL10" i="1"/>
  <c r="AK10" i="1"/>
  <c r="AH10" i="1"/>
  <c r="AG10" i="1"/>
  <c r="AE10" i="1"/>
  <c r="AD10" i="1"/>
  <c r="AA10" i="1"/>
  <c r="AN9" i="1"/>
  <c r="AL9" i="1"/>
  <c r="AK9" i="1"/>
  <c r="AH9" i="1"/>
  <c r="AG9" i="1"/>
  <c r="AE9" i="1"/>
  <c r="AD9" i="1"/>
  <c r="AA9" i="1"/>
  <c r="AN8" i="1"/>
  <c r="AL8" i="1"/>
  <c r="AK8" i="1"/>
  <c r="AH8" i="1"/>
  <c r="AG8" i="1"/>
  <c r="AE8" i="1"/>
  <c r="AD8" i="1"/>
  <c r="AA8" i="1"/>
  <c r="AN7" i="1"/>
  <c r="AL7" i="1"/>
  <c r="AK7" i="1"/>
  <c r="AH7" i="1"/>
  <c r="AG7" i="1"/>
  <c r="AE7" i="1"/>
  <c r="AD7" i="1"/>
  <c r="AA7" i="1"/>
  <c r="AN6" i="1"/>
  <c r="AL6" i="1"/>
  <c r="AK6" i="1"/>
  <c r="AH6" i="1"/>
  <c r="AG6" i="1"/>
  <c r="AE6" i="1"/>
  <c r="AD6" i="1"/>
  <c r="AA6" i="1"/>
  <c r="AN5" i="1"/>
  <c r="AL5" i="1"/>
  <c r="AK5" i="1"/>
  <c r="AH5" i="1"/>
  <c r="AG5" i="1"/>
  <c r="AE5" i="1"/>
  <c r="AD5" i="1"/>
  <c r="AA5" i="1"/>
  <c r="AN4" i="1"/>
  <c r="AL4" i="1"/>
  <c r="AK4" i="1"/>
  <c r="AH4" i="1"/>
  <c r="AG4" i="1"/>
  <c r="AE4" i="1"/>
  <c r="AD4" i="1"/>
  <c r="AA4" i="1"/>
  <c r="T693" i="1" l="1"/>
  <c r="T690" i="1"/>
  <c r="T687" i="1"/>
  <c r="T684" i="1"/>
  <c r="T681" i="1"/>
  <c r="T679" i="1"/>
  <c r="AH3" i="1"/>
  <c r="AL3" i="1"/>
  <c r="AG3" i="1"/>
  <c r="AN3" i="1"/>
  <c r="AK3" i="1"/>
  <c r="AE3" i="1"/>
  <c r="AD3" i="1"/>
  <c r="AA3" i="1"/>
  <c r="T682" i="1" l="1"/>
  <c r="T685" i="1"/>
  <c r="T688" i="1"/>
  <c r="T691" i="1"/>
  <c r="T694" i="1"/>
  <c r="F10" i="19"/>
  <c r="F8" i="19"/>
  <c r="F6" i="19"/>
  <c r="F4" i="19"/>
  <c r="E6" i="19"/>
  <c r="E4" i="19"/>
  <c r="T671" i="1" l="1"/>
  <c r="U68" i="1" l="1"/>
  <c r="N879" i="1" l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44" i="1"/>
  <c r="N851" i="1"/>
  <c r="N850" i="1"/>
  <c r="N849" i="1"/>
  <c r="N848" i="1"/>
  <c r="N847" i="1"/>
  <c r="N846" i="1"/>
  <c r="N845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7" i="1"/>
  <c r="N816" i="1"/>
  <c r="N815" i="1"/>
  <c r="N814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39" i="1"/>
  <c r="N748" i="1"/>
  <c r="N747" i="1"/>
  <c r="N746" i="1"/>
  <c r="N745" i="1"/>
  <c r="N744" i="1"/>
  <c r="N743" i="1"/>
  <c r="N742" i="1"/>
  <c r="N741" i="1"/>
  <c r="N740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02" i="1"/>
  <c r="N711" i="1"/>
  <c r="N710" i="1"/>
  <c r="N709" i="1"/>
  <c r="N708" i="1"/>
  <c r="N707" i="1"/>
  <c r="N706" i="1"/>
  <c r="N705" i="1"/>
  <c r="N704" i="1"/>
  <c r="N703" i="1"/>
  <c r="N701" i="1"/>
  <c r="N700" i="1"/>
  <c r="N699" i="1"/>
  <c r="N698" i="1"/>
  <c r="N697" i="1"/>
  <c r="N681" i="1"/>
  <c r="N696" i="1"/>
  <c r="N693" i="1"/>
  <c r="N690" i="1"/>
  <c r="N687" i="1"/>
  <c r="N684" i="1"/>
  <c r="N680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59" i="1"/>
  <c r="N654" i="1"/>
  <c r="N664" i="1"/>
  <c r="N663" i="1"/>
  <c r="N662" i="1"/>
  <c r="N661" i="1"/>
  <c r="N660" i="1"/>
  <c r="N658" i="1"/>
  <c r="N657" i="1"/>
  <c r="N656" i="1"/>
  <c r="N655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3" i="1"/>
  <c r="N502" i="1"/>
  <c r="N501" i="1"/>
  <c r="N505" i="1"/>
  <c r="N504" i="1"/>
  <c r="N500" i="1"/>
  <c r="N499" i="1"/>
  <c r="N498" i="1"/>
  <c r="N497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67" i="1"/>
  <c r="N476" i="1"/>
  <c r="N475" i="1"/>
  <c r="N474" i="1"/>
  <c r="N473" i="1"/>
  <c r="N472" i="1"/>
  <c r="N471" i="1"/>
  <c r="N470" i="1"/>
  <c r="N469" i="1"/>
  <c r="N468" i="1"/>
  <c r="N466" i="1"/>
  <c r="N465" i="1"/>
  <c r="N464" i="1"/>
  <c r="N463" i="1"/>
  <c r="N462" i="1"/>
  <c r="N461" i="1"/>
  <c r="N460" i="1"/>
  <c r="N459" i="1"/>
  <c r="N458" i="1"/>
  <c r="N452" i="1"/>
  <c r="N451" i="1"/>
  <c r="N450" i="1"/>
  <c r="N457" i="1"/>
  <c r="N456" i="1"/>
  <c r="N455" i="1"/>
  <c r="N454" i="1"/>
  <c r="N453" i="1"/>
  <c r="N449" i="1"/>
  <c r="N446" i="1"/>
  <c r="N445" i="1"/>
  <c r="N444" i="1"/>
  <c r="N441" i="1"/>
  <c r="N448" i="1"/>
  <c r="N447" i="1"/>
  <c r="N443" i="1"/>
  <c r="N442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07" i="1"/>
  <c r="N406" i="1"/>
  <c r="N405" i="1"/>
  <c r="N404" i="1"/>
  <c r="N403" i="1"/>
  <c r="N410" i="1"/>
  <c r="N409" i="1"/>
  <c r="N408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7" i="1"/>
  <c r="N299" i="1"/>
  <c r="N298" i="1"/>
  <c r="N319" i="1"/>
  <c r="N286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49" i="1"/>
  <c r="N151" i="1"/>
  <c r="N150" i="1"/>
  <c r="N148" i="1"/>
  <c r="N147" i="1"/>
  <c r="N146" i="1"/>
  <c r="N145" i="1"/>
  <c r="N144" i="1"/>
  <c r="N143" i="1"/>
  <c r="N142" i="1"/>
  <c r="N141" i="1"/>
  <c r="N140" i="1"/>
  <c r="N135" i="1"/>
  <c r="N134" i="1"/>
  <c r="N130" i="1"/>
  <c r="N129" i="1"/>
  <c r="N128" i="1"/>
  <c r="N127" i="1"/>
  <c r="N126" i="1"/>
  <c r="N125" i="1"/>
  <c r="N124" i="1"/>
  <c r="N113" i="1"/>
  <c r="N123" i="1"/>
  <c r="N122" i="1"/>
  <c r="N121" i="1"/>
  <c r="N120" i="1"/>
  <c r="N117" i="1"/>
  <c r="N116" i="1"/>
  <c r="N115" i="1"/>
  <c r="N114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1" i="1"/>
  <c r="N68" i="1"/>
  <c r="N67" i="1"/>
  <c r="N66" i="1"/>
  <c r="N65" i="1"/>
  <c r="N64" i="1"/>
  <c r="N63" i="1"/>
  <c r="N62" i="1"/>
  <c r="N61" i="1"/>
  <c r="N60" i="1"/>
  <c r="N58" i="1"/>
  <c r="N57" i="1"/>
  <c r="N56" i="1"/>
  <c r="N55" i="1"/>
  <c r="N54" i="1"/>
  <c r="N53" i="1"/>
  <c r="N52" i="1"/>
  <c r="N51" i="1"/>
  <c r="N50" i="1"/>
  <c r="N49" i="1"/>
  <c r="N48" i="1"/>
  <c r="N47" i="1"/>
  <c r="N818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1" i="1" s="1"/>
  <c r="I34" i="20"/>
  <c r="I33" i="20"/>
  <c r="M27" i="20"/>
  <c r="L27" i="20"/>
  <c r="K27" i="20"/>
  <c r="I25" i="20"/>
  <c r="I24" i="20"/>
  <c r="I23" i="20"/>
  <c r="I22" i="20"/>
  <c r="I21" i="20"/>
  <c r="I20" i="20"/>
  <c r="I19" i="20"/>
  <c r="I27" i="20" s="1"/>
  <c r="T246" i="1"/>
  <c r="U212" i="1" l="1"/>
  <c r="T210" i="1"/>
  <c r="T859" i="1"/>
  <c r="T858" i="1"/>
  <c r="T648" i="1"/>
  <c r="T647" i="1"/>
  <c r="T635" i="1"/>
  <c r="T634" i="1"/>
  <c r="T618" i="1"/>
  <c r="T617" i="1"/>
  <c r="T280" i="1"/>
  <c r="T278" i="1"/>
  <c r="T273" i="1"/>
  <c r="T271" i="1"/>
  <c r="T698" i="1"/>
  <c r="T135" i="1"/>
  <c r="T129" i="1"/>
  <c r="T737" i="1"/>
  <c r="T874" i="1" l="1"/>
  <c r="T873" i="1"/>
  <c r="T870" i="1"/>
  <c r="T871" i="1"/>
  <c r="T872" i="1"/>
  <c r="T738" i="1"/>
  <c r="T439" i="1"/>
  <c r="T440" i="1"/>
  <c r="T297" i="1"/>
  <c r="T821" i="1"/>
  <c r="T743" i="1"/>
  <c r="T742" i="1"/>
  <c r="T740" i="1"/>
  <c r="T697" i="1"/>
  <c r="T665" i="1"/>
  <c r="T651" i="1"/>
  <c r="T606" i="1"/>
  <c r="T596" i="1"/>
  <c r="T595" i="1"/>
  <c r="T471" i="1"/>
  <c r="T470" i="1"/>
  <c r="T468" i="1"/>
  <c r="T466" i="1"/>
  <c r="T378" i="1"/>
  <c r="T290" i="1"/>
  <c r="T289" i="1"/>
  <c r="T287" i="1"/>
  <c r="T285" i="1"/>
  <c r="T419" i="1"/>
  <c r="T336" i="1" s="1"/>
  <c r="T357" i="1"/>
  <c r="T274" i="1"/>
  <c r="T603" i="1"/>
  <c r="T591" i="1"/>
  <c r="T568" i="1"/>
  <c r="T322" i="1"/>
  <c r="T320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49" i="1"/>
  <c r="K848" i="1"/>
  <c r="K847" i="1"/>
  <c r="K845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7" i="1"/>
  <c r="K816" i="1"/>
  <c r="K815" i="1"/>
  <c r="K814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4" i="1"/>
  <c r="K743" i="1"/>
  <c r="K742" i="1"/>
  <c r="K740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07" i="1"/>
  <c r="K706" i="1"/>
  <c r="K705" i="1"/>
  <c r="K703" i="1"/>
  <c r="K701" i="1"/>
  <c r="K700" i="1"/>
  <c r="K699" i="1"/>
  <c r="K698" i="1"/>
  <c r="K697" i="1"/>
  <c r="K681" i="1"/>
  <c r="K696" i="1"/>
  <c r="K693" i="1"/>
  <c r="K690" i="1"/>
  <c r="K687" i="1"/>
  <c r="K684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59" i="1"/>
  <c r="K658" i="1"/>
  <c r="K657" i="1"/>
  <c r="K655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6" i="1"/>
  <c r="K515" i="1"/>
  <c r="K514" i="1"/>
  <c r="K513" i="1"/>
  <c r="K512" i="1"/>
  <c r="K511" i="1"/>
  <c r="K510" i="1"/>
  <c r="K509" i="1"/>
  <c r="K508" i="1"/>
  <c r="K507" i="1"/>
  <c r="K506" i="1"/>
  <c r="K503" i="1"/>
  <c r="K502" i="1"/>
  <c r="K501" i="1"/>
  <c r="K505" i="1"/>
  <c r="K504" i="1"/>
  <c r="K500" i="1"/>
  <c r="K499" i="1"/>
  <c r="K498" i="1"/>
  <c r="K497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2" i="1"/>
  <c r="K471" i="1"/>
  <c r="K470" i="1"/>
  <c r="K468" i="1"/>
  <c r="K466" i="1"/>
  <c r="K465" i="1"/>
  <c r="K464" i="1"/>
  <c r="K463" i="1"/>
  <c r="K462" i="1"/>
  <c r="K461" i="1"/>
  <c r="K460" i="1"/>
  <c r="K459" i="1"/>
  <c r="K458" i="1"/>
  <c r="K452" i="1"/>
  <c r="K451" i="1"/>
  <c r="K450" i="1"/>
  <c r="K457" i="1"/>
  <c r="K456" i="1"/>
  <c r="K455" i="1"/>
  <c r="K454" i="1"/>
  <c r="K453" i="1"/>
  <c r="K449" i="1"/>
  <c r="K446" i="1"/>
  <c r="K445" i="1"/>
  <c r="K444" i="1"/>
  <c r="K441" i="1"/>
  <c r="K448" i="1"/>
  <c r="K447" i="1"/>
  <c r="K443" i="1"/>
  <c r="K442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07" i="1"/>
  <c r="K406" i="1"/>
  <c r="K405" i="1"/>
  <c r="K404" i="1"/>
  <c r="K403" i="1"/>
  <c r="K410" i="1"/>
  <c r="K409" i="1"/>
  <c r="K408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7" i="1"/>
  <c r="K299" i="1"/>
  <c r="K298" i="1"/>
  <c r="K319" i="1"/>
  <c r="K291" i="1"/>
  <c r="K290" i="1"/>
  <c r="K289" i="1"/>
  <c r="K287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49" i="1"/>
  <c r="K151" i="1"/>
  <c r="K150" i="1"/>
  <c r="K148" i="1"/>
  <c r="K147" i="1"/>
  <c r="K146" i="1"/>
  <c r="K145" i="1"/>
  <c r="K144" i="1"/>
  <c r="K143" i="1"/>
  <c r="K142" i="1"/>
  <c r="K141" i="1"/>
  <c r="K140" i="1"/>
  <c r="K135" i="1"/>
  <c r="K134" i="1"/>
  <c r="K129" i="1"/>
  <c r="K128" i="1"/>
  <c r="K127" i="1"/>
  <c r="K126" i="1"/>
  <c r="K125" i="1"/>
  <c r="K124" i="1"/>
  <c r="K113" i="1"/>
  <c r="K123" i="1"/>
  <c r="K122" i="1"/>
  <c r="K121" i="1"/>
  <c r="K120" i="1"/>
  <c r="K117" i="1"/>
  <c r="K116" i="1"/>
  <c r="K115" i="1"/>
  <c r="K114" i="1"/>
  <c r="K112" i="1"/>
  <c r="K111" i="1"/>
  <c r="K104" i="1"/>
  <c r="K103" i="1"/>
  <c r="K102" i="1"/>
  <c r="K100" i="1"/>
  <c r="K99" i="1"/>
  <c r="K98" i="1"/>
  <c r="K97" i="1"/>
  <c r="K96" i="1"/>
  <c r="K95" i="1"/>
  <c r="K94" i="1"/>
  <c r="K93" i="1"/>
  <c r="K92" i="1"/>
  <c r="K91" i="1"/>
  <c r="K90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1" i="1"/>
  <c r="K68" i="1"/>
  <c r="K67" i="1"/>
  <c r="K66" i="1"/>
  <c r="K65" i="1"/>
  <c r="K64" i="1"/>
  <c r="K63" i="1"/>
  <c r="K62" i="1"/>
  <c r="K61" i="1"/>
  <c r="K60" i="1"/>
  <c r="K58" i="1"/>
  <c r="K57" i="1"/>
  <c r="K56" i="1"/>
  <c r="K55" i="1"/>
  <c r="K54" i="1"/>
  <c r="K53" i="1"/>
  <c r="K52" i="1"/>
  <c r="K51" i="1"/>
  <c r="K50" i="1"/>
  <c r="K49" i="1"/>
  <c r="K48" i="1"/>
  <c r="K47" i="1"/>
  <c r="K818" i="1"/>
  <c r="K45" i="1"/>
  <c r="K43" i="1"/>
  <c r="K46" i="1"/>
  <c r="K44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7" i="1"/>
  <c r="K5" i="1"/>
  <c r="K4" i="1"/>
  <c r="K3" i="1"/>
  <c r="K1" i="1" s="1"/>
  <c r="T840" i="1"/>
  <c r="T594" i="1"/>
  <c r="T584" i="1"/>
  <c r="T590" i="1"/>
  <c r="T589" i="1"/>
  <c r="T583" i="1"/>
  <c r="T582" i="1"/>
  <c r="T581" i="1"/>
  <c r="T570" i="1"/>
  <c r="T571" i="1"/>
  <c r="T574" i="1"/>
  <c r="T567" i="1"/>
  <c r="T564" i="1"/>
  <c r="T563" i="1"/>
  <c r="T556" i="1"/>
  <c r="T550" i="1"/>
  <c r="T545" i="1"/>
  <c r="T539" i="1"/>
  <c r="T542" i="1"/>
  <c r="T523" i="1"/>
  <c r="T524" i="1"/>
  <c r="T525" i="1"/>
  <c r="T501" i="1"/>
  <c r="T502" i="1"/>
  <c r="T503" i="1"/>
  <c r="T508" i="1"/>
  <c r="T509" i="1"/>
  <c r="T510" i="1"/>
  <c r="T516" i="1"/>
  <c r="T518" i="1"/>
  <c r="T495" i="1"/>
  <c r="T497" i="1"/>
  <c r="T494" i="1"/>
  <c r="T488" i="1"/>
  <c r="T487" i="1"/>
  <c r="T486" i="1"/>
  <c r="T484" i="1"/>
  <c r="T483" i="1"/>
  <c r="T482" i="1"/>
  <c r="T481" i="1"/>
  <c r="T477" i="1"/>
  <c r="T461" i="1"/>
  <c r="T459" i="1"/>
  <c r="T452" i="1"/>
  <c r="T450" i="1"/>
  <c r="T445" i="1"/>
  <c r="T442" i="1"/>
  <c r="T438" i="1"/>
  <c r="T436" i="1"/>
  <c r="T428" i="1"/>
  <c r="T426" i="1"/>
  <c r="T417" i="1"/>
  <c r="T418" i="1"/>
  <c r="T413" i="1"/>
  <c r="T412" i="1"/>
  <c r="T411" i="1"/>
  <c r="T407" i="1"/>
  <c r="T405" i="1"/>
  <c r="T404" i="1"/>
  <c r="T403" i="1"/>
  <c r="T402" i="1"/>
  <c r="T399" i="1"/>
  <c r="T388" i="1"/>
  <c r="T396" i="1"/>
  <c r="T367" i="1"/>
  <c r="T375" i="1"/>
  <c r="T339" i="1"/>
  <c r="T355" i="1"/>
  <c r="T358" i="1"/>
  <c r="T346" i="1"/>
  <c r="T334" i="1"/>
  <c r="T306" i="1"/>
  <c r="T327" i="1"/>
  <c r="T300" i="1" l="1"/>
  <c r="T304" i="1"/>
  <c r="T316" i="1"/>
  <c r="T317" i="1"/>
  <c r="T318" i="1"/>
  <c r="T728" i="1"/>
  <c r="T599" i="1"/>
  <c r="T824" i="1" l="1"/>
  <c r="T878" i="1"/>
  <c r="T770" i="1"/>
  <c r="T764" i="1"/>
  <c r="T763" i="1"/>
  <c r="T753" i="1"/>
  <c r="T752" i="1"/>
  <c r="T756" i="1"/>
  <c r="T757" i="1"/>
  <c r="T759" i="1"/>
  <c r="T750" i="1"/>
  <c r="T736" i="1"/>
  <c r="T735" i="1"/>
  <c r="T730" i="1"/>
  <c r="T732" i="1"/>
  <c r="T726" i="1"/>
  <c r="T718" i="1"/>
  <c r="T716" i="1"/>
  <c r="T714" i="1"/>
  <c r="T713" i="1"/>
  <c r="T712" i="1"/>
  <c r="T707" i="1"/>
  <c r="T706" i="1"/>
  <c r="T705" i="1"/>
  <c r="T703" i="1"/>
  <c r="T701" i="1"/>
  <c r="T675" i="1"/>
  <c r="T667" i="1"/>
  <c r="T658" i="1"/>
  <c r="T657" i="1"/>
  <c r="T655" i="1"/>
  <c r="T653" i="1"/>
  <c r="T641" i="1"/>
  <c r="T777" i="1"/>
  <c r="T640" i="1"/>
  <c r="T631" i="1"/>
  <c r="T628" i="1"/>
  <c r="T627" i="1"/>
  <c r="T626" i="1"/>
  <c r="T624" i="1"/>
  <c r="T623" i="1"/>
  <c r="T622" i="1"/>
  <c r="T620" i="1"/>
  <c r="T615" i="1"/>
  <c r="T613" i="1"/>
  <c r="T612" i="1"/>
  <c r="T611" i="1"/>
  <c r="T610" i="1"/>
  <c r="T609" i="1"/>
  <c r="T607" i="1"/>
  <c r="T605" i="1"/>
  <c r="E39" i="3"/>
  <c r="D39" i="3"/>
  <c r="C39" i="3"/>
  <c r="E35" i="3"/>
  <c r="D35" i="3"/>
  <c r="C35" i="3"/>
  <c r="E38" i="3"/>
  <c r="D38" i="3"/>
  <c r="C38" i="3"/>
  <c r="E34" i="3"/>
  <c r="D34" i="3"/>
  <c r="C34" i="3"/>
  <c r="T597" i="1"/>
  <c r="T598" i="1"/>
  <c r="E8" i="3"/>
  <c r="D8" i="3"/>
  <c r="C8" i="3"/>
  <c r="T876" i="1"/>
  <c r="T869" i="1"/>
  <c r="T867" i="1" l="1"/>
  <c r="T866" i="1"/>
  <c r="T865" i="1"/>
  <c r="T864" i="1"/>
  <c r="T862" i="1"/>
  <c r="T861" i="1"/>
  <c r="T856" i="1"/>
  <c r="T857" i="1"/>
  <c r="T849" i="1"/>
  <c r="T848" i="1"/>
  <c r="T847" i="1"/>
  <c r="T845" i="1"/>
  <c r="T843" i="1"/>
  <c r="T855" i="1"/>
  <c r="T841" i="1"/>
  <c r="T833" i="1"/>
  <c r="T831" i="1"/>
  <c r="T830" i="1" l="1"/>
  <c r="T823" i="1"/>
  <c r="T820" i="1"/>
  <c r="T817" i="1"/>
  <c r="T814" i="1"/>
  <c r="T806" i="1"/>
  <c r="T805" i="1"/>
  <c r="T808" i="1"/>
  <c r="T807" i="1"/>
  <c r="T809" i="1"/>
  <c r="T803" i="1"/>
  <c r="T795" i="1"/>
  <c r="T791" i="1"/>
  <c r="T788" i="1"/>
  <c r="T787" i="1"/>
  <c r="T785" i="1" l="1"/>
  <c r="T784" i="1"/>
  <c r="T780" i="1"/>
  <c r="T261" i="1" l="1"/>
  <c r="T258" i="1"/>
  <c r="T268" i="1"/>
  <c r="T266" i="1"/>
  <c r="T263" i="1"/>
  <c r="T262" i="1"/>
  <c r="T256" i="1"/>
  <c r="T243" i="1"/>
  <c r="T222" i="1"/>
  <c r="T218" i="1"/>
  <c r="T200" i="1"/>
  <c r="T197" i="1"/>
  <c r="T191" i="1"/>
  <c r="T194" i="1"/>
  <c r="T192" i="1"/>
  <c r="T195" i="1"/>
  <c r="U195" i="1" l="1"/>
  <c r="U192" i="1"/>
  <c r="T190" i="1"/>
  <c r="T187" i="1"/>
  <c r="T186" i="1"/>
  <c r="T162" i="1"/>
  <c r="T154" i="1"/>
  <c r="T150" i="1"/>
  <c r="T148" i="1"/>
  <c r="T147" i="1"/>
  <c r="T146" i="1"/>
  <c r="T145" i="1"/>
  <c r="T144" i="1"/>
  <c r="T127" i="1"/>
  <c r="T125" i="1"/>
  <c r="T124" i="1"/>
  <c r="T123" i="1"/>
  <c r="T121" i="1"/>
  <c r="U121" i="1" l="1"/>
  <c r="U190" i="1"/>
  <c r="T99" i="1"/>
  <c r="T120" i="1"/>
  <c r="T117" i="1"/>
  <c r="T116" i="1"/>
  <c r="T115" i="1"/>
  <c r="T114" i="1"/>
  <c r="T112" i="1"/>
  <c r="T111" i="1"/>
  <c r="T104" i="1"/>
  <c r="T103" i="1"/>
  <c r="T102" i="1"/>
  <c r="T100" i="1"/>
  <c r="U96" i="1"/>
  <c r="U93" i="1"/>
  <c r="T97" i="1"/>
  <c r="T96" i="1"/>
  <c r="T93" i="1"/>
  <c r="T832" i="1" s="1"/>
  <c r="T88" i="1"/>
  <c r="T87" i="1"/>
  <c r="U87" i="1"/>
  <c r="U127" i="1" s="1"/>
  <c r="T80" i="1"/>
  <c r="U64" i="1"/>
  <c r="U36" i="1"/>
  <c r="U27" i="1"/>
  <c r="U25" i="1"/>
  <c r="U24" i="1"/>
  <c r="U23" i="1"/>
  <c r="U14" i="1"/>
  <c r="U13" i="1"/>
  <c r="T67" i="1"/>
  <c r="T68" i="1"/>
  <c r="T71" i="1"/>
  <c r="T78" i="1"/>
  <c r="T77" i="1"/>
  <c r="E32" i="3" l="1"/>
  <c r="D32" i="3"/>
  <c r="C32" i="3"/>
  <c r="D31" i="3"/>
  <c r="C31" i="3"/>
  <c r="E24" i="3"/>
  <c r="E19" i="3"/>
  <c r="E18" i="3"/>
  <c r="E31" i="3" s="1"/>
  <c r="E7" i="3"/>
  <c r="D7" i="3"/>
  <c r="C7" i="3"/>
  <c r="T797" i="1"/>
  <c r="T835" i="1"/>
  <c r="T183" i="1" l="1"/>
  <c r="T182" i="1"/>
  <c r="T181" i="1"/>
  <c r="T213" i="1" s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7" i="1"/>
  <c r="T166" i="1"/>
  <c r="T165" i="1"/>
  <c r="T163" i="1"/>
  <c r="U182" i="1"/>
  <c r="U177" i="1"/>
  <c r="U176" i="1"/>
  <c r="T82" i="1" l="1"/>
  <c r="T76" i="1"/>
  <c r="U76" i="1" l="1"/>
  <c r="T66" i="1"/>
  <c r="T65" i="1"/>
  <c r="T63" i="1"/>
  <c r="T62" i="1"/>
  <c r="T61" i="1"/>
  <c r="T60" i="1"/>
  <c r="T43" i="1"/>
  <c r="T44" i="1"/>
  <c r="T42" i="1"/>
  <c r="T41" i="1"/>
  <c r="T40" i="1"/>
  <c r="T39" i="1"/>
  <c r="T37" i="1"/>
  <c r="U37" i="1" l="1"/>
  <c r="U39" i="1"/>
  <c r="U40" i="1"/>
  <c r="U41" i="1"/>
  <c r="U42" i="1"/>
  <c r="U44" i="1"/>
  <c r="U43" i="1"/>
  <c r="U60" i="1"/>
  <c r="U61" i="1"/>
  <c r="U62" i="1"/>
  <c r="U63" i="1"/>
  <c r="U65" i="1"/>
  <c r="U66" i="1"/>
  <c r="T17" i="1"/>
  <c r="T35" i="1"/>
  <c r="U35" i="1" l="1"/>
  <c r="U17" i="1"/>
  <c r="T21" i="1"/>
  <c r="T11" i="1"/>
  <c r="T34" i="1"/>
  <c r="T33" i="1"/>
  <c r="T32" i="1"/>
  <c r="T31" i="1"/>
  <c r="T30" i="1"/>
  <c r="T29" i="1"/>
  <c r="T28" i="1"/>
  <c r="T26" i="1"/>
  <c r="T22" i="1"/>
  <c r="T12" i="1"/>
  <c r="T10" i="1"/>
  <c r="T9" i="1"/>
  <c r="T7" i="1"/>
  <c r="T5" i="1"/>
  <c r="T4" i="1"/>
  <c r="T3" i="1"/>
  <c r="T15" i="1"/>
  <c r="T16" i="1"/>
  <c r="T18" i="1"/>
  <c r="T19" i="1"/>
  <c r="T20" i="1"/>
  <c r="T1" i="1" l="1"/>
  <c r="U20" i="1"/>
  <c r="U19" i="1"/>
  <c r="U18" i="1"/>
  <c r="U16" i="1"/>
  <c r="U15" i="1"/>
  <c r="U3" i="1"/>
  <c r="U4" i="1"/>
  <c r="U5" i="1"/>
  <c r="U7" i="1"/>
  <c r="U9" i="1"/>
  <c r="U10" i="1"/>
  <c r="U12" i="1"/>
  <c r="U22" i="1"/>
  <c r="U26" i="1"/>
  <c r="U28" i="1"/>
  <c r="U29" i="1"/>
  <c r="U30" i="1"/>
  <c r="U31" i="1"/>
  <c r="U32" i="1"/>
  <c r="U33" i="1"/>
  <c r="U34" i="1"/>
  <c r="U11" i="1"/>
  <c r="U21" i="1"/>
</calcChain>
</file>

<file path=xl/sharedStrings.xml><?xml version="1.0" encoding="utf-8"?>
<sst xmlns="http://schemas.openxmlformats.org/spreadsheetml/2006/main" count="22920" uniqueCount="2302">
  <si>
    <t>Niveau</t>
  </si>
  <si>
    <t>Classe</t>
  </si>
  <si>
    <t>Nature</t>
  </si>
  <si>
    <t>301</t>
  </si>
  <si>
    <t>22</t>
  </si>
  <si>
    <t>352</t>
  </si>
  <si>
    <t>380</t>
  </si>
  <si>
    <t>10</t>
  </si>
  <si>
    <t>100</t>
  </si>
  <si>
    <t>100.300</t>
  </si>
  <si>
    <t>Conseil Communal - Commissions</t>
  </si>
  <si>
    <t>300</t>
  </si>
  <si>
    <t>100.301</t>
  </si>
  <si>
    <t>Conseil Communal - Secrétariat</t>
  </si>
  <si>
    <t>100.303</t>
  </si>
  <si>
    <t>Conseil Communal - Cotisations AVS/AC/AF</t>
  </si>
  <si>
    <t>303</t>
  </si>
  <si>
    <t>100.305</t>
  </si>
  <si>
    <t>Conseil Communal - Ass. Accidents/Maladie</t>
  </si>
  <si>
    <t>305</t>
  </si>
  <si>
    <t>100.306</t>
  </si>
  <si>
    <t>Conseil Communal - Frais</t>
  </si>
  <si>
    <t>306</t>
  </si>
  <si>
    <t>100.311</t>
  </si>
  <si>
    <t>Conseil Communal -Achats matériel et logiciels</t>
  </si>
  <si>
    <t>311</t>
  </si>
  <si>
    <t>100.390.1</t>
  </si>
  <si>
    <t>Conseil Communal - imputations internes salaires</t>
  </si>
  <si>
    <t>390</t>
  </si>
  <si>
    <t>101</t>
  </si>
  <si>
    <t>101.300</t>
  </si>
  <si>
    <t>Rétributions Municipalité</t>
  </si>
  <si>
    <t>101.301</t>
  </si>
  <si>
    <t>Salaire et vacations</t>
  </si>
  <si>
    <t>101.303</t>
  </si>
  <si>
    <t>Cotisations AVS/AC/AF</t>
  </si>
  <si>
    <t>101.304</t>
  </si>
  <si>
    <t>Prévoyance professionnelle</t>
  </si>
  <si>
    <t>304</t>
  </si>
  <si>
    <t>101.305</t>
  </si>
  <si>
    <t>Assurances Accidents/Maladie</t>
  </si>
  <si>
    <t>101.306</t>
  </si>
  <si>
    <t>Frais du personnel ou représentation ext.</t>
  </si>
  <si>
    <t>101.317</t>
  </si>
  <si>
    <t>Réceptions et manifestations</t>
  </si>
  <si>
    <t>317</t>
  </si>
  <si>
    <t>101.318</t>
  </si>
  <si>
    <t>Prestations de service et avocats</t>
  </si>
  <si>
    <t>318</t>
  </si>
  <si>
    <t>101.318.1</t>
  </si>
  <si>
    <t>Prestations SIR</t>
  </si>
  <si>
    <t>101.331</t>
  </si>
  <si>
    <t>AUTORITES  AMORTISSEMENT</t>
  </si>
  <si>
    <t>330</t>
  </si>
  <si>
    <t>101.390.1</t>
  </si>
  <si>
    <t>Imputations internes salaires</t>
  </si>
  <si>
    <t>101.435</t>
  </si>
  <si>
    <t>Vente Manifestations</t>
  </si>
  <si>
    <t>435</t>
  </si>
  <si>
    <t>101.436</t>
  </si>
  <si>
    <t>Participations de tiers</t>
  </si>
  <si>
    <t>436</t>
  </si>
  <si>
    <t>101.480</t>
  </si>
  <si>
    <t>Prélèvement fonds de réserve</t>
  </si>
  <si>
    <t>480</t>
  </si>
  <si>
    <t>101.490</t>
  </si>
  <si>
    <t>Imputations internes</t>
  </si>
  <si>
    <t>490</t>
  </si>
  <si>
    <t>11</t>
  </si>
  <si>
    <t>110.301</t>
  </si>
  <si>
    <t>Administration salaires</t>
  </si>
  <si>
    <t>110.303</t>
  </si>
  <si>
    <t>Administration Cotisations AVS/AC/AF</t>
  </si>
  <si>
    <t>110.304</t>
  </si>
  <si>
    <t>Administration Caise de prévoyance LPP</t>
  </si>
  <si>
    <t>110.305</t>
  </si>
  <si>
    <t>Administration Ass. Accidents/Maladie</t>
  </si>
  <si>
    <t>110.306</t>
  </si>
  <si>
    <t>Administration Frais du personnel</t>
  </si>
  <si>
    <t>110.309</t>
  </si>
  <si>
    <t>Cours et cadeaux</t>
  </si>
  <si>
    <t>309</t>
  </si>
  <si>
    <t>110.310</t>
  </si>
  <si>
    <t>Achats Livres : NatuRando / B-d-Chêne</t>
  </si>
  <si>
    <t>310</t>
  </si>
  <si>
    <t>110.318</t>
  </si>
  <si>
    <t>Frais de Ports, frais Postfinance et Twint</t>
  </si>
  <si>
    <t>110.318.1</t>
  </si>
  <si>
    <t>Téléphones</t>
  </si>
  <si>
    <t>110.318.2</t>
  </si>
  <si>
    <t>Ass. RC commune</t>
  </si>
  <si>
    <t>110.319</t>
  </si>
  <si>
    <t>Cotisations à inst. Privées</t>
  </si>
  <si>
    <t>319</t>
  </si>
  <si>
    <t>110.332</t>
  </si>
  <si>
    <t>Amortissement suppl admin</t>
  </si>
  <si>
    <t>332</t>
  </si>
  <si>
    <t>110.365</t>
  </si>
  <si>
    <t>Dons et subventions</t>
  </si>
  <si>
    <t>365</t>
  </si>
  <si>
    <t>110.365.1</t>
  </si>
  <si>
    <t>Aides culture et loisirs</t>
  </si>
  <si>
    <t>110.380</t>
  </si>
  <si>
    <t>Attribution au fonds culture (9282.7)</t>
  </si>
  <si>
    <t>110.390.1</t>
  </si>
  <si>
    <t>Imputations internes salaires admin.</t>
  </si>
  <si>
    <t>110.431</t>
  </si>
  <si>
    <t>Autorisations, permis temporaires</t>
  </si>
  <si>
    <t>431</t>
  </si>
  <si>
    <t>110.435</t>
  </si>
  <si>
    <t>Ventes plans et livres Genolier</t>
  </si>
  <si>
    <t>110.436</t>
  </si>
  <si>
    <t>Remboursements de tiers admin.</t>
  </si>
  <si>
    <t>110.480</t>
  </si>
  <si>
    <t>Prélèvement au fonds de réserve</t>
  </si>
  <si>
    <t>110.490</t>
  </si>
  <si>
    <t>Imputations internes admin.</t>
  </si>
  <si>
    <t>12</t>
  </si>
  <si>
    <t>120.310</t>
  </si>
  <si>
    <t>120.311</t>
  </si>
  <si>
    <t>Achats Mobilier et machines de bureau</t>
  </si>
  <si>
    <t>120.315</t>
  </si>
  <si>
    <t>Entretien mobilier et machines de bureau</t>
  </si>
  <si>
    <t>315</t>
  </si>
  <si>
    <t>120.380</t>
  </si>
  <si>
    <t>Attribution au fonds renouvellement (9281.1)</t>
  </si>
  <si>
    <t>120.480</t>
  </si>
  <si>
    <t>Prélèvement au fonds renouvellement (9281.1)</t>
  </si>
  <si>
    <t>16</t>
  </si>
  <si>
    <t>160.314</t>
  </si>
  <si>
    <t>Tourisme entretien</t>
  </si>
  <si>
    <t>314</t>
  </si>
  <si>
    <t>160.352</t>
  </si>
  <si>
    <t>Taxes de séjours Région Nyon</t>
  </si>
  <si>
    <t>160.380</t>
  </si>
  <si>
    <t>Attribution au fonds de réserve (9280.6)</t>
  </si>
  <si>
    <t>160.381</t>
  </si>
  <si>
    <t>Attribution au fonds affecté tourisme (9280.6)</t>
  </si>
  <si>
    <t>381</t>
  </si>
  <si>
    <t>160.406</t>
  </si>
  <si>
    <t>Taxes communales de séjour</t>
  </si>
  <si>
    <t>406</t>
  </si>
  <si>
    <t>160.481</t>
  </si>
  <si>
    <t>Prél. Au fonds affecté tourisme (9280.6)</t>
  </si>
  <si>
    <t>481</t>
  </si>
  <si>
    <t>17</t>
  </si>
  <si>
    <t>170.301</t>
  </si>
  <si>
    <t>Salaires sports</t>
  </si>
  <si>
    <t>170.303</t>
  </si>
  <si>
    <t>170.304</t>
  </si>
  <si>
    <t>Caisse de prévoyance LPP</t>
  </si>
  <si>
    <t>170.305</t>
  </si>
  <si>
    <t>Ass. Accidents/maladie</t>
  </si>
  <si>
    <t>170.306</t>
  </si>
  <si>
    <t>Frais du personnel</t>
  </si>
  <si>
    <t>170.311</t>
  </si>
  <si>
    <t>ACHATS machines et matériel</t>
  </si>
  <si>
    <t>170.312</t>
  </si>
  <si>
    <t>Eclairage terrains de sport</t>
  </si>
  <si>
    <t>312</t>
  </si>
  <si>
    <t>170.314</t>
  </si>
  <si>
    <t>Entretien des terrains de sport</t>
  </si>
  <si>
    <t>170.331</t>
  </si>
  <si>
    <t>Amortissement obligatoire Patr.Administratif sports</t>
  </si>
  <si>
    <t>331</t>
  </si>
  <si>
    <t>170.332</t>
  </si>
  <si>
    <t>Amortissement suppl Patr.Administratif sports</t>
  </si>
  <si>
    <t>170.365</t>
  </si>
  <si>
    <t>Aide sports</t>
  </si>
  <si>
    <t>170.390.1</t>
  </si>
  <si>
    <t>Imputations internes sport</t>
  </si>
  <si>
    <t>170.436</t>
  </si>
  <si>
    <t>Participation de tiers sports</t>
  </si>
  <si>
    <t>170.451</t>
  </si>
  <si>
    <t>Subventions cantonales</t>
  </si>
  <si>
    <t>451</t>
  </si>
  <si>
    <t>170.480</t>
  </si>
  <si>
    <t>Prél. Au fonds renouvellement (9282.1)</t>
  </si>
  <si>
    <t>18</t>
  </si>
  <si>
    <t>180.318</t>
  </si>
  <si>
    <t>Prestations de service ABT CFF</t>
  </si>
  <si>
    <t>180.351</t>
  </si>
  <si>
    <t>Participation transports régionaux</t>
  </si>
  <si>
    <t>351</t>
  </si>
  <si>
    <t>180.351.1</t>
  </si>
  <si>
    <t>Participation Nyon-St-Cergue</t>
  </si>
  <si>
    <t>180.436</t>
  </si>
  <si>
    <t>Participations de tiers cartes CFF</t>
  </si>
  <si>
    <t>19</t>
  </si>
  <si>
    <t>190.310</t>
  </si>
  <si>
    <t>Fournitures de bureau (informatique)</t>
  </si>
  <si>
    <t>190.311</t>
  </si>
  <si>
    <t>Achats matériel et logiciels</t>
  </si>
  <si>
    <t>190.315</t>
  </si>
  <si>
    <t>Entretien du matériel informatique</t>
  </si>
  <si>
    <t>190.318</t>
  </si>
  <si>
    <t>Maintenance et honoraires</t>
  </si>
  <si>
    <t>190.380</t>
  </si>
  <si>
    <t>Attribution au fonds renouvellement (9281.5)</t>
  </si>
  <si>
    <t>190.436</t>
  </si>
  <si>
    <t>Participation de tiers</t>
  </si>
  <si>
    <t>190.451</t>
  </si>
  <si>
    <t>190.480</t>
  </si>
  <si>
    <t>Prélèvement au fonds de renouvellement (9281.5)</t>
  </si>
  <si>
    <t>20</t>
  </si>
  <si>
    <t>200.301</t>
  </si>
  <si>
    <t>Salaires bourse</t>
  </si>
  <si>
    <t>200.303</t>
  </si>
  <si>
    <t>200.304</t>
  </si>
  <si>
    <t>200.305</t>
  </si>
  <si>
    <t>200.306</t>
  </si>
  <si>
    <t>200.309</t>
  </si>
  <si>
    <t>200.318</t>
  </si>
  <si>
    <t>Frais de contentieux (Poursuites)</t>
  </si>
  <si>
    <t>200.390.1</t>
  </si>
  <si>
    <t>Imputations internes salaires bourse</t>
  </si>
  <si>
    <t>200.436</t>
  </si>
  <si>
    <t>Remboursement de tiers DAP Frais de rappel</t>
  </si>
  <si>
    <t>21</t>
  </si>
  <si>
    <t>210.318</t>
  </si>
  <si>
    <t>Frais de perception</t>
  </si>
  <si>
    <t>210.318.1</t>
  </si>
  <si>
    <t>Amende de soustract. d'impôt</t>
  </si>
  <si>
    <t>210.319</t>
  </si>
  <si>
    <t>Défalcations, remises, modifications de taxes antérieures</t>
  </si>
  <si>
    <t>210.329</t>
  </si>
  <si>
    <t>Int. Rémunératoires</t>
  </si>
  <si>
    <t>329</t>
  </si>
  <si>
    <t>210.330</t>
  </si>
  <si>
    <t>Défalcations</t>
  </si>
  <si>
    <t>210.351</t>
  </si>
  <si>
    <t>Participation cantonale (RIE III + RFFA)</t>
  </si>
  <si>
    <t>210.380</t>
  </si>
  <si>
    <t>Attrib. Au fonds Provision sur créances d'impôts (9282.10)</t>
  </si>
  <si>
    <t>210.400</t>
  </si>
  <si>
    <t>Impôt sur le revenu PP</t>
  </si>
  <si>
    <t>400</t>
  </si>
  <si>
    <t>210.400.1</t>
  </si>
  <si>
    <t>Impôt sur la fortune PP</t>
  </si>
  <si>
    <t>210.400.2</t>
  </si>
  <si>
    <t>Impôt à la source</t>
  </si>
  <si>
    <t>210.400.3</t>
  </si>
  <si>
    <t>Impôt sur la dépense (anc. Spécial étranger)</t>
  </si>
  <si>
    <t>210.401.1</t>
  </si>
  <si>
    <t>Impôt sur bénéfice net PM</t>
  </si>
  <si>
    <t>401</t>
  </si>
  <si>
    <t>210.401.2</t>
  </si>
  <si>
    <t>Impôt sur le capital</t>
  </si>
  <si>
    <t>210.401.3</t>
  </si>
  <si>
    <t>Impôt cpl. Sur les immeubles PM</t>
  </si>
  <si>
    <t>210.402</t>
  </si>
  <si>
    <t>Impôt foncier</t>
  </si>
  <si>
    <t>402</t>
  </si>
  <si>
    <t>210.404</t>
  </si>
  <si>
    <t>Impôt sur le droit de mutation</t>
  </si>
  <si>
    <t>404</t>
  </si>
  <si>
    <t>210.405</t>
  </si>
  <si>
    <t>Impôt Successions - donations</t>
  </si>
  <si>
    <t>405</t>
  </si>
  <si>
    <t>210.406</t>
  </si>
  <si>
    <t>Impôt sur les chiens</t>
  </si>
  <si>
    <t>210.409</t>
  </si>
  <si>
    <t>Impôt récupéré après défalcation</t>
  </si>
  <si>
    <t>409</t>
  </si>
  <si>
    <t>210.410</t>
  </si>
  <si>
    <t>Patentes diverses</t>
  </si>
  <si>
    <t>410</t>
  </si>
  <si>
    <t>210.422</t>
  </si>
  <si>
    <t>Majoration int. Moratoires</t>
  </si>
  <si>
    <t>422</t>
  </si>
  <si>
    <t>210.441</t>
  </si>
  <si>
    <t>Impôt sur les gains immobiliers</t>
  </si>
  <si>
    <t>441</t>
  </si>
  <si>
    <t>210.441.1</t>
  </si>
  <si>
    <t>Impôt frontaliers</t>
  </si>
  <si>
    <t>210.451</t>
  </si>
  <si>
    <t>210.480</t>
  </si>
  <si>
    <t>Prél. Au fonds (dissolution de provision sur créances d'impôt)</t>
  </si>
  <si>
    <t>220.318</t>
  </si>
  <si>
    <t>Frais Bancaires</t>
  </si>
  <si>
    <t>220.321</t>
  </si>
  <si>
    <t>Int. s/dettes à court terme</t>
  </si>
  <si>
    <t>321</t>
  </si>
  <si>
    <t>220.322.10</t>
  </si>
  <si>
    <t>Int. Sur emprunt à court terme Caserne</t>
  </si>
  <si>
    <t>322</t>
  </si>
  <si>
    <t>220.322.11</t>
  </si>
  <si>
    <t>Int. Sur emprunt à long terme Immeuble P19 Pharmacie</t>
  </si>
  <si>
    <t>220.322.3</t>
  </si>
  <si>
    <t>Int. sur emprunt Bâtiment 78 réfection Gym "Le Gossan"</t>
  </si>
  <si>
    <t>220.322.4</t>
  </si>
  <si>
    <t>Int. Sur emprunt à long terme routes "Cézille et Duillier" + Caserne</t>
  </si>
  <si>
    <t>220.322.5</t>
  </si>
  <si>
    <t>Int. Sur emprunt à long terme "Fontaine à l'autre"</t>
  </si>
  <si>
    <t>220.322.6</t>
  </si>
  <si>
    <t>Int. Sur emprunt à long terme "Source vive"</t>
  </si>
  <si>
    <t>220.322.7</t>
  </si>
  <si>
    <t>Int. Sur emprunt à long terme Caserne</t>
  </si>
  <si>
    <t>220.322.8</t>
  </si>
  <si>
    <t>Int. Sur emprunt à long terme Routes</t>
  </si>
  <si>
    <t>220.322.9</t>
  </si>
  <si>
    <t>Int. Sur emprunt à long terme routes "Cézille et Duillier"</t>
  </si>
  <si>
    <t>220.329</t>
  </si>
  <si>
    <t>Int moratoires</t>
  </si>
  <si>
    <t>220.330</t>
  </si>
  <si>
    <t>Pertes sur débiteurs</t>
  </si>
  <si>
    <t>220.330.2</t>
  </si>
  <si>
    <t>Amortissement titres et placements</t>
  </si>
  <si>
    <t>220.352</t>
  </si>
  <si>
    <t>Péréquation</t>
  </si>
  <si>
    <t>220.352.1</t>
  </si>
  <si>
    <t>Péréquation année précédente</t>
  </si>
  <si>
    <t>220.365</t>
  </si>
  <si>
    <t>Aides, subventions</t>
  </si>
  <si>
    <t>220.365.1</t>
  </si>
  <si>
    <t>Subvention énergies renouvelables (amort. 9282.13)</t>
  </si>
  <si>
    <t>220.380</t>
  </si>
  <si>
    <t>Attrib. Au fonds de réserve travaux futurs (9282.1)</t>
  </si>
  <si>
    <t>220.380.1</t>
  </si>
  <si>
    <t>Attrib. Au fonds de réserve Energies renouvelables (9282.13)</t>
  </si>
  <si>
    <t>220.380.2</t>
  </si>
  <si>
    <t>Attrib. Au fonds de réserve intérêts publics (9282.14)</t>
  </si>
  <si>
    <t>220.422</t>
  </si>
  <si>
    <t>Revenus du patrimoine financier</t>
  </si>
  <si>
    <t>220.423</t>
  </si>
  <si>
    <t>Revenus des droits de superficie</t>
  </si>
  <si>
    <t>423</t>
  </si>
  <si>
    <t>220.424</t>
  </si>
  <si>
    <t>Gains comptables patrimoine financier</t>
  </si>
  <si>
    <t>424</t>
  </si>
  <si>
    <t>220.425</t>
  </si>
  <si>
    <t>Revenus du patrimoine administratif</t>
  </si>
  <si>
    <t>425</t>
  </si>
  <si>
    <t>220.427</t>
  </si>
  <si>
    <t>Revenus des immeubles du patrimoine administratif</t>
  </si>
  <si>
    <t>427</t>
  </si>
  <si>
    <t>220.434</t>
  </si>
  <si>
    <t>Taxe pour usage du sol Romande Energie</t>
  </si>
  <si>
    <t>434</t>
  </si>
  <si>
    <t>220.441</t>
  </si>
  <si>
    <t>Redistribution  taxe CO2</t>
  </si>
  <si>
    <t>220.451</t>
  </si>
  <si>
    <t>Retour Péréquation directe</t>
  </si>
  <si>
    <t>220.452</t>
  </si>
  <si>
    <t>Péréquation horizontale</t>
  </si>
  <si>
    <t>452</t>
  </si>
  <si>
    <t>220.452.1</t>
  </si>
  <si>
    <t>Solde péréquation année précédente</t>
  </si>
  <si>
    <t>220.452.2</t>
  </si>
  <si>
    <t>Péréquation retour population</t>
  </si>
  <si>
    <t>220.465</t>
  </si>
  <si>
    <t>465</t>
  </si>
  <si>
    <t>220.480</t>
  </si>
  <si>
    <t>Prélèvement au fonds de réserve énergies renouvelables (9282.13)</t>
  </si>
  <si>
    <t>220.490.2</t>
  </si>
  <si>
    <t>Imputations internes intérêts</t>
  </si>
  <si>
    <t>23</t>
  </si>
  <si>
    <t>230.330</t>
  </si>
  <si>
    <t>Amortissement et réserves PF divers</t>
  </si>
  <si>
    <t>230.330.1</t>
  </si>
  <si>
    <t>PF Terrains et bâtiments</t>
  </si>
  <si>
    <t>230.330.2</t>
  </si>
  <si>
    <t>Titres et placement financiers</t>
  </si>
  <si>
    <t>230.331</t>
  </si>
  <si>
    <t>Titres et Placements Administrarif</t>
  </si>
  <si>
    <t>230.332</t>
  </si>
  <si>
    <t>Amortissement supplémentairesTitres</t>
  </si>
  <si>
    <t>230.380</t>
  </si>
  <si>
    <t>Fonds de réserve</t>
  </si>
  <si>
    <t>230.380.8</t>
  </si>
  <si>
    <t>Attrib. Au fonds de réserve Cantonal</t>
  </si>
  <si>
    <t>230.380.9</t>
  </si>
  <si>
    <t>ATTRIB FDS D'EGAL DES RESULT</t>
  </si>
  <si>
    <t>230.424</t>
  </si>
  <si>
    <t>Gains sur vente immobilière</t>
  </si>
  <si>
    <t>230.4361</t>
  </si>
  <si>
    <t>AMORTISSEMENTS et RESERVES non-ventilés</t>
  </si>
  <si>
    <t>230.480</t>
  </si>
  <si>
    <t>AMORTISSEMENTS et RESERVES  PRELEVEMENT RESERVES</t>
  </si>
  <si>
    <t>31</t>
  </si>
  <si>
    <t>310.311</t>
  </si>
  <si>
    <t>TERRAINS  ACHATS MACHINES MATERIEL EXPL</t>
  </si>
  <si>
    <t>310.314</t>
  </si>
  <si>
    <t>TERRAINS  ENTRETIEN</t>
  </si>
  <si>
    <t>310.314.1</t>
  </si>
  <si>
    <t>TERRAINS  REAMENAGEMENT PLACE PETANQUE (inactif)</t>
  </si>
  <si>
    <t>310.314.2</t>
  </si>
  <si>
    <t>TERRAINS  SYNDICATS AF et ARROSAGE SANE (inactif)</t>
  </si>
  <si>
    <t>310.318</t>
  </si>
  <si>
    <t>TERRAINS  Honoraires, Prestations services</t>
  </si>
  <si>
    <t>310.351</t>
  </si>
  <si>
    <t>TERRAINS  FEU BACTERIEN / Parasites / Chenilles pros.</t>
  </si>
  <si>
    <t>310.380</t>
  </si>
  <si>
    <t>TERRAINS  ATTRIBUTION FONDS RESERVE La Chèvrerie</t>
  </si>
  <si>
    <t>310.380.1</t>
  </si>
  <si>
    <t>TERRAINS  ATTRIBUTION FONDS. RESERVE Ventes</t>
  </si>
  <si>
    <t>310.423</t>
  </si>
  <si>
    <t>TERRAINS  LOCATIONS DIVERSES</t>
  </si>
  <si>
    <t>310.424</t>
  </si>
  <si>
    <t>TERRAINS  GAINS COMPTABLE PATR FIN : VENTES</t>
  </si>
  <si>
    <t>310.424.1</t>
  </si>
  <si>
    <t>TERRAINS  GAINS COMPTABLE (Vente - prel fnds res)</t>
  </si>
  <si>
    <t>310.427</t>
  </si>
  <si>
    <t>TERRAINS  LOCATION BOIS-DE-CHENES (inactif)</t>
  </si>
  <si>
    <t>310.435</t>
  </si>
  <si>
    <t>TERRAINS  FACTURATION A DES TIERS</t>
  </si>
  <si>
    <t>310.451</t>
  </si>
  <si>
    <t>TERRAINS  REMB FEU BACTERIEN</t>
  </si>
  <si>
    <t>310.465</t>
  </si>
  <si>
    <t>TERRAINS  Subventions cantonales</t>
  </si>
  <si>
    <t>310.480</t>
  </si>
  <si>
    <t>TERRAINS  PREL RESERVE (9280.6)</t>
  </si>
  <si>
    <t>320</t>
  </si>
  <si>
    <t>320.314</t>
  </si>
  <si>
    <t>FORETS  ENTRETIEN HORS "COLLINE"</t>
  </si>
  <si>
    <t>320.318</t>
  </si>
  <si>
    <t>FORETS  TAXES VHC COTISATIONS ASS. TEL</t>
  </si>
  <si>
    <t>320.319</t>
  </si>
  <si>
    <t>FORÊTS  FRAIS DIVERS TAXES TVA</t>
  </si>
  <si>
    <t>320.331</t>
  </si>
  <si>
    <t>Amortissement desserte forestière</t>
  </si>
  <si>
    <t>320.332</t>
  </si>
  <si>
    <t>Amortissement Forêts</t>
  </si>
  <si>
    <t>320.352</t>
  </si>
  <si>
    <t>FORETS  FRAIS TRIAGE "LA COLLINE"</t>
  </si>
  <si>
    <t>320.352.1</t>
  </si>
  <si>
    <t>FORETS  Participation exploitation Bois-de-Chênes</t>
  </si>
  <si>
    <t>320.380</t>
  </si>
  <si>
    <t>FORETS  ATTRIB FONDS RESERVE BOIS DE CHÊNES</t>
  </si>
  <si>
    <t>320.435</t>
  </si>
  <si>
    <t>FORETS  VENTE BOIS</t>
  </si>
  <si>
    <t>320.465</t>
  </si>
  <si>
    <t>FORETS  PARTICIPATIONS et SUBVENTIONS DE TIERS</t>
  </si>
  <si>
    <t>320.480</t>
  </si>
  <si>
    <t>FORETS Prélèvement fonds de reserve BDC (9282.6)</t>
  </si>
  <si>
    <t>321.311</t>
  </si>
  <si>
    <t>PATURAGES  ACHATS MACHINE MATERIEL</t>
  </si>
  <si>
    <t>321.313</t>
  </si>
  <si>
    <t>PATURAGES  ACHATS MARCHANDISES</t>
  </si>
  <si>
    <t>313</t>
  </si>
  <si>
    <t>321.314</t>
  </si>
  <si>
    <t>PATURAGES  ENT CHALETS CLÔTURES ROUTES ALPAGES MURETS</t>
  </si>
  <si>
    <t>321.314.1</t>
  </si>
  <si>
    <t>PATURAGES  PART AUX AMODIATAIRES P/ENTRETIEN</t>
  </si>
  <si>
    <t>321.318</t>
  </si>
  <si>
    <t>PATURAGES  ASSURANCES RC ECA</t>
  </si>
  <si>
    <t>321.331</t>
  </si>
  <si>
    <t>PATURAGES  AMORTISSEMENT P ADM</t>
  </si>
  <si>
    <t>321.332</t>
  </si>
  <si>
    <t>PATURAGES  AMORTISSEMENT SUPPL P ADM</t>
  </si>
  <si>
    <t>321.380.1</t>
  </si>
  <si>
    <t>PATURAGES  ATTRB. FONDS DE RESERVE CHALETS, PATURAGES</t>
  </si>
  <si>
    <t>321.423</t>
  </si>
  <si>
    <t>PATURAGES  LOCATIONS PATURAGES</t>
  </si>
  <si>
    <t>321.435</t>
  </si>
  <si>
    <t>PATURAGES  VENTE BOIS &amp; Divers</t>
  </si>
  <si>
    <t>321.436</t>
  </si>
  <si>
    <t>PATURAGES  PART AMODIATAIRES ENT ALPAGES, CLÔTURES</t>
  </si>
  <si>
    <t>321.436.1</t>
  </si>
  <si>
    <t>PATURAGES  PART DE TIERS ASSURANCES ECA</t>
  </si>
  <si>
    <t>321.451</t>
  </si>
  <si>
    <t>PATURAGES  PART DU CANTON, SUBVENTION</t>
  </si>
  <si>
    <t>321.465</t>
  </si>
  <si>
    <t>PATURAGES  Subventions et participations de tiers</t>
  </si>
  <si>
    <t>321.480</t>
  </si>
  <si>
    <t>PATURAGES  PRELEVEMENT RESERVE</t>
  </si>
  <si>
    <t>3500</t>
  </si>
  <si>
    <t>3500.301</t>
  </si>
  <si>
    <t>BATI. COMM CONCIERGERIE</t>
  </si>
  <si>
    <t>3500.303</t>
  </si>
  <si>
    <t>BATI. COMM COTISATIONS AVS AC AF</t>
  </si>
  <si>
    <t>3500.304</t>
  </si>
  <si>
    <t>BATI. COMM CAISSE PREVOYANCE LPP</t>
  </si>
  <si>
    <t>3500.305</t>
  </si>
  <si>
    <t>BATI. COMM ASS ACCIDENTS et MALADIE</t>
  </si>
  <si>
    <t>3500.306</t>
  </si>
  <si>
    <t>BATI. COMMUNAUX  FRAIS DU PERSONNEL</t>
  </si>
  <si>
    <t>3500.311</t>
  </si>
  <si>
    <t>BATI. COMM ACHATS MOBILIER MACH. MATERIEL COMMUNAL</t>
  </si>
  <si>
    <t>3500.312</t>
  </si>
  <si>
    <t>BATI. COMM ACHATS ELECTRICITE EAU COMMUNAL</t>
  </si>
  <si>
    <t>3500.312.1</t>
  </si>
  <si>
    <t>BATI. COMM ACHATS COMBUSTIBLE CAD COMMUNAL (inactif)</t>
  </si>
  <si>
    <t>3500.313</t>
  </si>
  <si>
    <t>BATI. COMM ACHATS MARCH PROD ENT COMMUNAL</t>
  </si>
  <si>
    <t>3500.314</t>
  </si>
  <si>
    <t>BATI. COMM ENTRETIEN COMMUNAL</t>
  </si>
  <si>
    <t>3500.314.1</t>
  </si>
  <si>
    <t>BATI. COMM CONTRATS ENTRETIEN BÂT</t>
  </si>
  <si>
    <t>3500.314.2</t>
  </si>
  <si>
    <t>BATI. COMM DECPTE CHARGES REGIE SPG - VALAUR SA</t>
  </si>
  <si>
    <t>3500.314.3</t>
  </si>
  <si>
    <t>3500.314.4</t>
  </si>
  <si>
    <t>3500.315</t>
  </si>
  <si>
    <t>BATI. COMM ENT MOBILIER INST TECH COMMUNAL</t>
  </si>
  <si>
    <t>3500.315.1</t>
  </si>
  <si>
    <t>BATI. COMM CONTRATS ENT INST TECH COMMUNAL</t>
  </si>
  <si>
    <t>3500.318</t>
  </si>
  <si>
    <t>BATI. COMM PREST ASS et HONORAIRES COMMUNAL</t>
  </si>
  <si>
    <t>3500.330</t>
  </si>
  <si>
    <t>AMORT PATR FIN COMMUNAL</t>
  </si>
  <si>
    <t>3500.331</t>
  </si>
  <si>
    <t>BATI. COMM AMORT PATR ADM COMMUNAL</t>
  </si>
  <si>
    <t>3500.332</t>
  </si>
  <si>
    <t>BATI. COMM AMORT PATR ADM SUPPL COMMUNAL</t>
  </si>
  <si>
    <t>3500.380</t>
  </si>
  <si>
    <t>BATI. COMM ATTRIB FONDS RESERVE BOIS-CHENES (9282.6)</t>
  </si>
  <si>
    <t>3500.380.1</t>
  </si>
  <si>
    <t>BATI. COMM ATTRIB FONDS RENOVATION (9281.6)</t>
  </si>
  <si>
    <t>3500.380.2</t>
  </si>
  <si>
    <t>BATI. COMM ATTRIBUT FONDS RESERVE INFRASTRUCTURES (9282.8)</t>
  </si>
  <si>
    <t>3500.390.1</t>
  </si>
  <si>
    <t>BATI. COMM IMPUTATIONS INT SALAIRES</t>
  </si>
  <si>
    <t>3500.427</t>
  </si>
  <si>
    <t>BATI. COMM LOYERS COMMUNAUX</t>
  </si>
  <si>
    <t>3500.427.1</t>
  </si>
  <si>
    <t>BATI. COMM LOYERS BOIS-DE-CHENE PATR ADM</t>
  </si>
  <si>
    <t>3500.427.2</t>
  </si>
  <si>
    <t>BATI. COMM DECPTE LOYERS REGIE SPG - VALAUR SA</t>
  </si>
  <si>
    <t>3500.436</t>
  </si>
  <si>
    <t>BATI. COMM PART DE TIERS</t>
  </si>
  <si>
    <t>3500.452.3</t>
  </si>
  <si>
    <t>Stand de Tir - Refacuration (convention)</t>
  </si>
  <si>
    <t>3500.480</t>
  </si>
  <si>
    <t>BATI. COMM PRELEVEMENT FONDS RESERVE INFRASTRUCTURES (9282.8)</t>
  </si>
  <si>
    <t>3501</t>
  </si>
  <si>
    <t>3501.311</t>
  </si>
  <si>
    <t>ANCIENNE POSTE  ACHATS MOBILIER MACH. MATERIEL COMMUNAL</t>
  </si>
  <si>
    <t>3501.312</t>
  </si>
  <si>
    <t>ANCIENNE POSTE  ACHATS ELECTRICITE COMMUNAL</t>
  </si>
  <si>
    <t>3501.312.1</t>
  </si>
  <si>
    <t>ANCIENNE POSTE  ACHATS COMBUSTIBLE COMMUNAL</t>
  </si>
  <si>
    <t>3501.313</t>
  </si>
  <si>
    <t>ANCIENNE POSTE  ACHATS MARCH PROD ENT</t>
  </si>
  <si>
    <t>3501.314</t>
  </si>
  <si>
    <t>ANCIENNE POSTE  ENTRETIEN COMMUNAL</t>
  </si>
  <si>
    <t>3501.314.1</t>
  </si>
  <si>
    <t>ANCIENNE POSTE  CONTRATS ENTRETIEN BÂT</t>
  </si>
  <si>
    <t>3501.314.2</t>
  </si>
  <si>
    <t>ANCIENNE POSTE  DECPTE CHARGES REGIE SPG - VALAUR SA</t>
  </si>
  <si>
    <t>3501.315</t>
  </si>
  <si>
    <t>ANCIENNE POSTE  ENT MOB et INST TECH COMMUNAL</t>
  </si>
  <si>
    <t>3501.315.1</t>
  </si>
  <si>
    <t>ANCIENNE POSTE  CONTRATS ENT INST TECH COMMUNAL</t>
  </si>
  <si>
    <t>3501.318</t>
  </si>
  <si>
    <t>ANCIENNE POSTE  PREST ASS, HONORAIRES, Frais divers</t>
  </si>
  <si>
    <t>3501.380</t>
  </si>
  <si>
    <t>ANCIENNE POSTE  ATTRIB FONDS RENOV ATION (9281.7)</t>
  </si>
  <si>
    <t>3501.427</t>
  </si>
  <si>
    <t>ANCIENNE POSTE LOYERS COMMUNAUX</t>
  </si>
  <si>
    <t>3501.427.2</t>
  </si>
  <si>
    <t>ANCIENNE POSTE DECPTE LOYERS REGIE SPG - VALAUR SA</t>
  </si>
  <si>
    <t>3501.436</t>
  </si>
  <si>
    <t>ANCIENNE POSTE  PART DE TIERS</t>
  </si>
  <si>
    <t>3501.480</t>
  </si>
  <si>
    <t>ANCIENNE POSTE PRELEVEMENT FONDS DE RESERVE</t>
  </si>
  <si>
    <t>3503</t>
  </si>
  <si>
    <t>3503.311</t>
  </si>
  <si>
    <t>AUBERGE et APPT  ACHATS MOB MACH MATERIEL CNE</t>
  </si>
  <si>
    <t>3503.312</t>
  </si>
  <si>
    <t>AUBERGE et APPT  ACHATS ELECTRICITE</t>
  </si>
  <si>
    <t>3503.312.1</t>
  </si>
  <si>
    <t>AUBERGE et APPT  ACHATS COMBUSTIBLE CAD</t>
  </si>
  <si>
    <t>3503.313</t>
  </si>
  <si>
    <t>AUBERGE et APPT  ACHATS MARCHANDISES PROD ENTRETIEN</t>
  </si>
  <si>
    <t>3503.314</t>
  </si>
  <si>
    <t>AUBERGE et APPT  ENTRETIEN COMMUNAL</t>
  </si>
  <si>
    <t>3503.314.1</t>
  </si>
  <si>
    <t>AUBERGE et APPT  CONTRATS ENTRETIEN BÂT</t>
  </si>
  <si>
    <t>3503.314.2</t>
  </si>
  <si>
    <t>AUBERGE et APPT DECPTE CHARGES REGIE SPG - VALAUR SA</t>
  </si>
  <si>
    <t>3503.315</t>
  </si>
  <si>
    <t>AUBERGE et APPT  ENTRETIEN MOB et INST TECH</t>
  </si>
  <si>
    <t>3503.315.1</t>
  </si>
  <si>
    <t>AUBERGE et APPT  CONTRATS ENT INST TECH</t>
  </si>
  <si>
    <t>3503.318</t>
  </si>
  <si>
    <t>AUBERGE et APPT PREST ASSURANCES et HONORAIRES</t>
  </si>
  <si>
    <t>3503.331</t>
  </si>
  <si>
    <t>AUBERGE  AMORTISSEMENT</t>
  </si>
  <si>
    <t>3503.380</t>
  </si>
  <si>
    <t>AUBERGE et APPT  ATTRIB FONDS RENOVATION (9281.13)</t>
  </si>
  <si>
    <t>3503.427.2</t>
  </si>
  <si>
    <t>AUBERGE et APPT DECPTE LOYERS REGIE SPG - VALAUR SA</t>
  </si>
  <si>
    <t>3503.436</t>
  </si>
  <si>
    <t>AUBERGE et APPT  PART DE TIERS</t>
  </si>
  <si>
    <t>3503.480</t>
  </si>
  <si>
    <t>AUBERGE PRELEVEMENT FONDS DE RESERVE</t>
  </si>
  <si>
    <t>3504</t>
  </si>
  <si>
    <t>3504.313</t>
  </si>
  <si>
    <t>COLLEGES  ACHATS MARCH PROD ENTRETIEN</t>
  </si>
  <si>
    <t>3505</t>
  </si>
  <si>
    <t>3505.311</t>
  </si>
  <si>
    <t>D'UNE FONTAINE ACHATS MOB MACH MATERIEL CNE</t>
  </si>
  <si>
    <t>3505.312</t>
  </si>
  <si>
    <t>D'UNE FONTAINE ACHATS ELECTRICITE COMMUNAL</t>
  </si>
  <si>
    <t>3505.312.1</t>
  </si>
  <si>
    <t>D'UNE FONTAINE ACHATS COMBUSTIBLE CAD COMMUNAL</t>
  </si>
  <si>
    <t>3505.313</t>
  </si>
  <si>
    <t>D'UNE FONTAINE ACHATS MARCH PROD ENT COMMUNAL</t>
  </si>
  <si>
    <t>3505.314</t>
  </si>
  <si>
    <t>D'UNE FONTAINE ENTRETIEN BÂTIMENT COMMUNAL</t>
  </si>
  <si>
    <t>3505.314.1</t>
  </si>
  <si>
    <t>D'UNE FONTAINE CONTRATS ENTRETIEN BÂT</t>
  </si>
  <si>
    <t>3505.314.2</t>
  </si>
  <si>
    <t>D'UNE FONTAINE DECPTE CHARGES REGIE SPG - VALAUR SA</t>
  </si>
  <si>
    <t>3505.315</t>
  </si>
  <si>
    <t>D'UNE FONTAINE ENTRETIEN MOB et INST TECH COMMUNAL</t>
  </si>
  <si>
    <t>3505.315.1</t>
  </si>
  <si>
    <t>D'UNE FONTAINE CONTRAT ENT MOB et INST TECH COMMUNAL</t>
  </si>
  <si>
    <t>3505.318</t>
  </si>
  <si>
    <t>D'UNE FONTAINE PREST ASS et HONORAIRES CNE</t>
  </si>
  <si>
    <t>3505.380</t>
  </si>
  <si>
    <t>D'UNE FONTAINE ATTRIB FONDS RENOVATION (9281.15)</t>
  </si>
  <si>
    <t>3505.390.2</t>
  </si>
  <si>
    <t>D'UNE FONTAINE IMPUTATIONS INTERNES INTERÊTS</t>
  </si>
  <si>
    <t>3505.423.2</t>
  </si>
  <si>
    <t>D'UNE FONTAINE DECPTE LOYERS REGIE SPG - VALAUR SA</t>
  </si>
  <si>
    <t>3505.436</t>
  </si>
  <si>
    <t>D'UNE FONTAINE PART DE TIERS</t>
  </si>
  <si>
    <t>3506</t>
  </si>
  <si>
    <t>3506.311</t>
  </si>
  <si>
    <t>1912 - LE MONTANT  ACHATS MOBILIER MACH. MATERIEL COMMUNAL</t>
  </si>
  <si>
    <t>3506.312</t>
  </si>
  <si>
    <t>1912 - LE MONTANT  ACHATS ELECTRICITE COMMUNAL</t>
  </si>
  <si>
    <t>3506.312.1</t>
  </si>
  <si>
    <t>1912 - LE MONTANT  ACHATS COMBUSTIBLE CAD</t>
  </si>
  <si>
    <t>3506.313</t>
  </si>
  <si>
    <t>1912 - LE MONTANT  ACHATS MARCH PROD ENTRETIEN COMMUNAL</t>
  </si>
  <si>
    <t>3506.314</t>
  </si>
  <si>
    <t>1912 - LE MONTANT  ENTRETIEN BÂTIMENT COMMUNAL</t>
  </si>
  <si>
    <t>3506.314.1</t>
  </si>
  <si>
    <t>1912 - LE MONTANT  CONTRATS ENTRETIEN BÂT</t>
  </si>
  <si>
    <t>3506.314.2</t>
  </si>
  <si>
    <t>1912 - LE MONTANT  DECPTE CHARGES REGIE SPG - VALAUR SA</t>
  </si>
  <si>
    <t>3506.315</t>
  </si>
  <si>
    <t>1912 - LE MONTANT  ENTRETIEN MOB et INST TECH COMMUNAL</t>
  </si>
  <si>
    <t>3506.315.1</t>
  </si>
  <si>
    <t>1912 - LE MONTANT  CONTRATS ENT MOB et INST TECH COMMUNAL</t>
  </si>
  <si>
    <t>3506.318</t>
  </si>
  <si>
    <t>1912 - LE MONTANT  PREST SERVICES ASS et HONORAIRES COMMUNAL</t>
  </si>
  <si>
    <t>3506.331</t>
  </si>
  <si>
    <t>Amortissement Montant</t>
  </si>
  <si>
    <t>3506.380</t>
  </si>
  <si>
    <t>1912 - LE MONTANT  ATTRIB FONDS RENOVATION (9281.16)</t>
  </si>
  <si>
    <t>3506.390.1</t>
  </si>
  <si>
    <t>1912 - LE MONTANT  IMPUTATIONS INT SALAIRES</t>
  </si>
  <si>
    <t>3506.427</t>
  </si>
  <si>
    <t>1912 - LE MONTANT  LOYER CLASSES et BUREAU</t>
  </si>
  <si>
    <t>3506.427.2</t>
  </si>
  <si>
    <t>1912 - LE MONTANT  DECPTE LOYERS REGIE SPG - VALAUR SA</t>
  </si>
  <si>
    <t>3506.436</t>
  </si>
  <si>
    <t>1912 - LE MONTANT  PART DE TIERS</t>
  </si>
  <si>
    <t>3506.480</t>
  </si>
  <si>
    <t>Prél. s/fonds de réserve Le Montant (9282.1)</t>
  </si>
  <si>
    <t>3506.490</t>
  </si>
  <si>
    <t>1912 - LE MONTANT  IMPUTATIONS INTERNES</t>
  </si>
  <si>
    <t>3507</t>
  </si>
  <si>
    <t>3507.311</t>
  </si>
  <si>
    <t>BOUCHERIE  ACHATS MOBILIER MACH. MATERIEL COMMUNAL</t>
  </si>
  <si>
    <t>3507.312</t>
  </si>
  <si>
    <t>BOUCHERIE  ACHATS ELECTRICITE (INACTIF)</t>
  </si>
  <si>
    <t>3507.312.1</t>
  </si>
  <si>
    <t>BOUCHERIE  ACHATS COMBUSTIBLE CAD (INACTIF)</t>
  </si>
  <si>
    <t>3507.313</t>
  </si>
  <si>
    <t>BOUCHERIE  ACHATS MARCHANDISES (INACTIF)</t>
  </si>
  <si>
    <t>3507.314</t>
  </si>
  <si>
    <t>BOUCHERIE  ENTRETIEN BÂTIMENT COMMUNAL</t>
  </si>
  <si>
    <t>3507.314.1</t>
  </si>
  <si>
    <t>BOUCHERIE  CONTRATS ENTRETIEN BÂT</t>
  </si>
  <si>
    <t>3507.314.2</t>
  </si>
  <si>
    <t>BOUCHERIE  DECPT CHARGES REGIE SPG - VALAUR SA</t>
  </si>
  <si>
    <t>3507.315</t>
  </si>
  <si>
    <t>BOUCHERIE  ENT MOB et INST TECH</t>
  </si>
  <si>
    <t>3507.315.1</t>
  </si>
  <si>
    <t>BOUCHERIE  CONTRAT ENT INST TECH (INACTIF)</t>
  </si>
  <si>
    <t>3507.318</t>
  </si>
  <si>
    <t>BOUCHERIE  PREST SERVICES ASS et HONORAIRES</t>
  </si>
  <si>
    <t>3507.380</t>
  </si>
  <si>
    <t>BOUCHERIE  ATTRIB FONDS RENOVATION (9281.17)</t>
  </si>
  <si>
    <t>3507.427.2</t>
  </si>
  <si>
    <t>BOUCHERIE  DECPTE LOYERS REGIE SPG - VALAUR SA</t>
  </si>
  <si>
    <t>3507.436</t>
  </si>
  <si>
    <t>BOUCHERIE PART. TIERS</t>
  </si>
  <si>
    <t>3508</t>
  </si>
  <si>
    <t>3508.301</t>
  </si>
  <si>
    <t>BÂTIMENT EGLISE  SALAIRE</t>
  </si>
  <si>
    <t>3508.303</t>
  </si>
  <si>
    <t>BÂTIMENT EGLISE  COTISATION AVS AC AF</t>
  </si>
  <si>
    <t>3508.304</t>
  </si>
  <si>
    <t>BÂTIMENT EGLISE  CAISSE PREVOYANCE LPP</t>
  </si>
  <si>
    <t>3508.305</t>
  </si>
  <si>
    <t>BÂTIMENT EGLISE  ASS ACCIDENTS et MALADIE</t>
  </si>
  <si>
    <t>3508.306</t>
  </si>
  <si>
    <t>BÂTIMENT EGLISE FRAIS DU PERSONNEL</t>
  </si>
  <si>
    <t>3508.311</t>
  </si>
  <si>
    <t>BÂTIMENT EGLISE  ACHATS MOBILIER MACH. MATERIEL</t>
  </si>
  <si>
    <t>3508.312</t>
  </si>
  <si>
    <t>BÂTIMENT EGLISE  ACHATS ELECTRICITE COMBUSTIBLE</t>
  </si>
  <si>
    <t>3508.313</t>
  </si>
  <si>
    <t>BÂTIMENT EGLISE  ACHATS MARCH  PROD ENT</t>
  </si>
  <si>
    <t>3508.314</t>
  </si>
  <si>
    <t>BÂTIMENT EGLISE  ENTRETIEN BÂTIMENT</t>
  </si>
  <si>
    <t>3508.314.1</t>
  </si>
  <si>
    <t>BÂTIMENT EGLISE  CONTRATS ENTRETIEN</t>
  </si>
  <si>
    <t>3508.315</t>
  </si>
  <si>
    <t>BÂTIMENT EGLISE  ENT MOB et INST TECH</t>
  </si>
  <si>
    <t>3508.315.1</t>
  </si>
  <si>
    <t>BÂTIMENT EGLISE  CONTRAT ENT INST TECH</t>
  </si>
  <si>
    <t>3508.318</t>
  </si>
  <si>
    <t>BÂTIMENT EGLISE  PREST SERVICES ASS et HONORAIRES</t>
  </si>
  <si>
    <t>3508.332</t>
  </si>
  <si>
    <t>BÂTIMENT EGLISE  AMORTISSEMENT SUPPL P ADM</t>
  </si>
  <si>
    <t>3508.380</t>
  </si>
  <si>
    <t>BÂTIMENT EGLISE  ATTRIB FONDS RENOVATION (9281.18 )</t>
  </si>
  <si>
    <t>3508.390.1</t>
  </si>
  <si>
    <t>BÂTIMENT EGLISE  IMPUTATIONS INT SALAIRES</t>
  </si>
  <si>
    <t>3508.436</t>
  </si>
  <si>
    <t>BÂTIMENT EGLISE  PART DE TIERS</t>
  </si>
  <si>
    <t>3509</t>
  </si>
  <si>
    <t>3509.301</t>
  </si>
  <si>
    <t>LE GOSSAN SALAIRES</t>
  </si>
  <si>
    <t>3509.303</t>
  </si>
  <si>
    <t>LE GOSSAN  COTISATIONS AVS AC AF</t>
  </si>
  <si>
    <t>3509.304</t>
  </si>
  <si>
    <t>LE GOSSAN  CAISSE PREVOYANCE LPP</t>
  </si>
  <si>
    <t>3509.305</t>
  </si>
  <si>
    <t>LE GOSSAN  ASS ACCIDENTS et MALADIE</t>
  </si>
  <si>
    <t>3509.306</t>
  </si>
  <si>
    <t>LE GOSSAN FRAIS DU PERSONNEL</t>
  </si>
  <si>
    <t>3509.311</t>
  </si>
  <si>
    <t>LE GOSSAN  ACHATS MOBILIER MACH. MATERIEL</t>
  </si>
  <si>
    <t>3509.312</t>
  </si>
  <si>
    <t>LE GOSSAN  ACHATS ELECTRICITE</t>
  </si>
  <si>
    <t>3509.312.1</t>
  </si>
  <si>
    <t>LE GOSSAN  ACHATS COMBUSTIBLE CAD</t>
  </si>
  <si>
    <t>3509.313</t>
  </si>
  <si>
    <t>LE GOSSAN  ACHATS MARCH PROD ENTRETIEN</t>
  </si>
  <si>
    <t>3509.314</t>
  </si>
  <si>
    <t>LE GOSSAN  ENTRETIEN BÂTIMENT</t>
  </si>
  <si>
    <t>3509.314.1</t>
  </si>
  <si>
    <t>LE GOSSAN  CONTRATS ENTRETIEN BÂT</t>
  </si>
  <si>
    <t>3509.315</t>
  </si>
  <si>
    <t>LE GOSSAN  ENTRETIEN MOB et INST TECH</t>
  </si>
  <si>
    <t>3509.315.1</t>
  </si>
  <si>
    <t>LE GOSSAN  CONTRATS ENT INST TECH</t>
  </si>
  <si>
    <t>3509.318</t>
  </si>
  <si>
    <t>LE GOSSAN  PREST SERVICES ASS et HONORAIRES</t>
  </si>
  <si>
    <t>3509.331</t>
  </si>
  <si>
    <t>LE GOSSAN  AMORT PATR ADM</t>
  </si>
  <si>
    <t>3509.332</t>
  </si>
  <si>
    <t>LE GOSSAN  AMORT PATR. ADMINISTRAT SUPPL</t>
  </si>
  <si>
    <t>3509.380</t>
  </si>
  <si>
    <t>LE GOSSAN  ATTRIB FONDS RENOVATION (9281.9)</t>
  </si>
  <si>
    <t>3509.390.1</t>
  </si>
  <si>
    <t>LE GOSSAN  IMPUTATIONS INT SALAIRES</t>
  </si>
  <si>
    <t>3509.390.2</t>
  </si>
  <si>
    <t>LE GOSSAN  IMPUTATIONS INTERNES INTERÊTS</t>
  </si>
  <si>
    <t>3509.427</t>
  </si>
  <si>
    <t>LE GOSSAN  LOYERS COMMUNAUX : Revenus Imm., Loc. Salle</t>
  </si>
  <si>
    <t>3509.427.1</t>
  </si>
  <si>
    <t>LE GOSSAN  LOYER : Réfectoire scolaire</t>
  </si>
  <si>
    <t>3509.436</t>
  </si>
  <si>
    <t>LE GOSSAN  PART DE TIERS</t>
  </si>
  <si>
    <t>3509.480</t>
  </si>
  <si>
    <t>LE GOSSAN  PRELEVEMENT FONDS DE RESERVE</t>
  </si>
  <si>
    <t>3510</t>
  </si>
  <si>
    <t>3510.311</t>
  </si>
  <si>
    <t>PAVILLON  ACHATS MOBILIER MACH. MATERIEL</t>
  </si>
  <si>
    <t>3510.312</t>
  </si>
  <si>
    <t>PAVILLON  ACHATS ELECTRICITE</t>
  </si>
  <si>
    <t>3510.312.1</t>
  </si>
  <si>
    <t>PAVILLON  ACHATS COMBUSTIBLE CAD</t>
  </si>
  <si>
    <t>3510.313</t>
  </si>
  <si>
    <t>PAVILLON  ACHATS MARCH PROD ENTRETIEN CAFE</t>
  </si>
  <si>
    <t>3510.314</t>
  </si>
  <si>
    <t>PAVILLON  ENTRETIEN BÂTIMENT</t>
  </si>
  <si>
    <t>3510.314.1</t>
  </si>
  <si>
    <t>PAVILLON  CONTRATS D’ENTRETIEN BÂTIMENT</t>
  </si>
  <si>
    <t>3510.315</t>
  </si>
  <si>
    <t>PAVILLON  ENTRETIEN MOB et INST TECH</t>
  </si>
  <si>
    <t>3510.315.1</t>
  </si>
  <si>
    <t>PAVILLON  CONTRATS ENT INST TECH COMMUNAL</t>
  </si>
  <si>
    <t>3510.318</t>
  </si>
  <si>
    <t>PAVILLON  ASSURANCES INTERNET TV</t>
  </si>
  <si>
    <t>3510.331</t>
  </si>
  <si>
    <t>PAVILLON  AMORT PATR. ADMINISTRAT</t>
  </si>
  <si>
    <t>3510.332</t>
  </si>
  <si>
    <t>PAVILLON  AMORT PATR. ADMINISTRAT SUPPL</t>
  </si>
  <si>
    <t>3510.380</t>
  </si>
  <si>
    <t>PAVILLON  ATTRIB FONDS RENOVATION (9281.10)</t>
  </si>
  <si>
    <t>3510.390.1</t>
  </si>
  <si>
    <t>PAVILLON  IMPUTATIONS INT SALAIRES</t>
  </si>
  <si>
    <t>3510.427</t>
  </si>
  <si>
    <t>PAVILLON  LOYERS COMMUNAUX</t>
  </si>
  <si>
    <t>3510.436</t>
  </si>
  <si>
    <t>PAVILLON  PART DE TIERS</t>
  </si>
  <si>
    <t>3510.480</t>
  </si>
  <si>
    <t>PAVILLON  PRELEV FDS RENOVATION (9281.10)</t>
  </si>
  <si>
    <t>3511</t>
  </si>
  <si>
    <t>3511.311</t>
  </si>
  <si>
    <t>SOURCE VIVE ACHATS MOBILIER MACH. MATERIEL</t>
  </si>
  <si>
    <t>3511.312</t>
  </si>
  <si>
    <t>SOURCE VIVE ACHATS ELECTRICITE</t>
  </si>
  <si>
    <t>3511.313</t>
  </si>
  <si>
    <t>SOURCE VIVE ACHATS MARCH PROD ENTRETIEN</t>
  </si>
  <si>
    <t>3511.314</t>
  </si>
  <si>
    <t>SOURCE VIVE  ENTRETIEN BÂTIMENT</t>
  </si>
  <si>
    <t>3511.314.1</t>
  </si>
  <si>
    <t>SOURCE VIVE  CONTRATS D’ENTRETIEN BÂTIMENT</t>
  </si>
  <si>
    <t>3511.314.2</t>
  </si>
  <si>
    <t>SOURCE VIVE DECPTE CHARGES REGIE SPG - VALAUR SA</t>
  </si>
  <si>
    <t>3511.315</t>
  </si>
  <si>
    <t>SOURCE VIVE  ENTRETIEN MOB et INST TECH</t>
  </si>
  <si>
    <t>3511.315.1</t>
  </si>
  <si>
    <t>SOURCE VIVE  CONTRATS ENT INST TECH COMMUNAL</t>
  </si>
  <si>
    <t>3511.318</t>
  </si>
  <si>
    <t>SOURCE VIVE  PRESTATIONS ASSURANCES HONORAIRES</t>
  </si>
  <si>
    <t>3511.330</t>
  </si>
  <si>
    <t>SOURCE VIVE  AMORTISSEMENT PART FINANCIER</t>
  </si>
  <si>
    <t>3511.331</t>
  </si>
  <si>
    <t>SOURCE-VIVE  AMORT PATR ADM COMMUNAL (inactif)</t>
  </si>
  <si>
    <t>3511.380</t>
  </si>
  <si>
    <t>SOURCE VIVE  ATTRIB FONDS RENOVATION (9281.19)</t>
  </si>
  <si>
    <t>3511.427</t>
  </si>
  <si>
    <t>SOURCE VIVE  LOYERS et REVENUS PART FINANCIER</t>
  </si>
  <si>
    <t>3511.427.2</t>
  </si>
  <si>
    <t>SOURCE VIVE  DECPTE LOYERS REGIE SPG - VALAUR SA</t>
  </si>
  <si>
    <t>3511.436</t>
  </si>
  <si>
    <t>SOURCE VIVE  PART DE TIERS</t>
  </si>
  <si>
    <t>3511.480</t>
  </si>
  <si>
    <t>SOURCE-VIVE  PRELEVEMENT FONDS RESERVE (9281.19)</t>
  </si>
  <si>
    <t>3512</t>
  </si>
  <si>
    <t>3512.311.1</t>
  </si>
  <si>
    <t>CASERNE ACHAT MOBILIER, MATERIEL CTC</t>
  </si>
  <si>
    <t>3512.311.2</t>
  </si>
  <si>
    <t>CASERNE ACHAT MOBILIER, MATERIEL (inactif)</t>
  </si>
  <si>
    <t>3512.311.3</t>
  </si>
  <si>
    <t>CASERNE ACHAT MOBILIER, MATERIEL LOGEMENTS (inactif)</t>
  </si>
  <si>
    <t>3512.312.1</t>
  </si>
  <si>
    <t>CASERNE ACHAT EAU, ELECTRICITE, CHAUFFAGE CTC</t>
  </si>
  <si>
    <t>3512.313.1</t>
  </si>
  <si>
    <t>CASERNE ACHAT MARCH. PRODUITS ENTRETIEN CTC</t>
  </si>
  <si>
    <t>3512.313.2</t>
  </si>
  <si>
    <t>CASERNE ACHAT MARCH. PRODUITS ENTRETIEN CASERNE (inactif)</t>
  </si>
  <si>
    <t>3512.313.3</t>
  </si>
  <si>
    <t>CASERNE ACHAT MARCH. PRODUITS ENTRETIEN LOGEMENTS (inactif)</t>
  </si>
  <si>
    <t>3512.314.1</t>
  </si>
  <si>
    <t>CASERNE / CTC ENTRETIEN BATIMENT</t>
  </si>
  <si>
    <t>3512.314.2</t>
  </si>
  <si>
    <t>CASERNE Décompte de charges Rytz (inactif)</t>
  </si>
  <si>
    <t>3512.314.3</t>
  </si>
  <si>
    <t>CASERNE ENTRETIEN BATIMENT LOGEMENTS</t>
  </si>
  <si>
    <t>3512.314.4</t>
  </si>
  <si>
    <t>CASERNE DECOMPTE DE CHARGES SPG - VALAUR SA</t>
  </si>
  <si>
    <t>3512.315</t>
  </si>
  <si>
    <t>CASERNE CONTRAT MAINTENANCE PHOTOVOLTAIQUE</t>
  </si>
  <si>
    <t>3512.315.1</t>
  </si>
  <si>
    <t>CASERNE / CTC ENTRETIEN + CONTRAT MOB. INSTALLATIONS CTC</t>
  </si>
  <si>
    <t>3512.315.2</t>
  </si>
  <si>
    <t>CASERNE ENTRETIEN MOB. INSTALLATIONS CASERNE</t>
  </si>
  <si>
    <t>3512.315.3</t>
  </si>
  <si>
    <t>CASERNE ENTRETIEN MOB. INSTALLATIONS LOGEMENTS</t>
  </si>
  <si>
    <t>3512.318</t>
  </si>
  <si>
    <t>CASERNE  PRESTATIONS ASSURANCES et HONORAIRES</t>
  </si>
  <si>
    <t>3512.331</t>
  </si>
  <si>
    <t>CASERNE AMORTISSEMENTS PATR ADM COMMUNAL</t>
  </si>
  <si>
    <t>3512.380</t>
  </si>
  <si>
    <t>CASERNE ATTRIBUTION FONDS DE RENOVATION</t>
  </si>
  <si>
    <t>3512.423</t>
  </si>
  <si>
    <t>CASERNE LOYERS CASERNE</t>
  </si>
  <si>
    <t>3512.427</t>
  </si>
  <si>
    <t>CASERNE APPART. DECPTE LOYERS SPG - VALAUR SA</t>
  </si>
  <si>
    <t>3512.436</t>
  </si>
  <si>
    <t>CASERNE  PART DE TIERS</t>
  </si>
  <si>
    <t>3513</t>
  </si>
  <si>
    <t>3513.312</t>
  </si>
  <si>
    <t>La Chèvrerie : Eau, Electricité, Chauffage</t>
  </si>
  <si>
    <t>3513.314</t>
  </si>
  <si>
    <t>La Chèvrerie : Entretien Bâti., Déneigement accès, Nettoy.Parcelles</t>
  </si>
  <si>
    <t>3513.318</t>
  </si>
  <si>
    <t>La Chèvrerie : Assurance et Prestations de service</t>
  </si>
  <si>
    <t>3513.331</t>
  </si>
  <si>
    <t>La Chèvrerie : Amort. Patr. Admn.</t>
  </si>
  <si>
    <t>3513.380</t>
  </si>
  <si>
    <t>La Chèvrerie : Attrib. Fonds réser., renouv. (9282.1)</t>
  </si>
  <si>
    <t>3513.423</t>
  </si>
  <si>
    <t>La Chèvrerie : Loyers</t>
  </si>
  <si>
    <t>3513.424</t>
  </si>
  <si>
    <t>La Chèvrerie : Gains immobiliers patrimoine financer</t>
  </si>
  <si>
    <t>3513.480</t>
  </si>
  <si>
    <t>La Chèvrerie :  Prélèvement fonds rés. Travaux futurs (9282.1)</t>
  </si>
  <si>
    <t>3514</t>
  </si>
  <si>
    <t>3514.312</t>
  </si>
  <si>
    <t>Gare 5 Combustible</t>
  </si>
  <si>
    <t>3514.312.2</t>
  </si>
  <si>
    <t>Electricité Rte de la Gare 5</t>
  </si>
  <si>
    <t>3514.314</t>
  </si>
  <si>
    <t>Gare 5 entretien</t>
  </si>
  <si>
    <t>3514.314.2</t>
  </si>
  <si>
    <t>Gare 5 charges Régie SPG - VALAUR SA</t>
  </si>
  <si>
    <t>3514.315</t>
  </si>
  <si>
    <t>Gare 5_Entretien mobilier et installation</t>
  </si>
  <si>
    <t>3514.318</t>
  </si>
  <si>
    <t>Gare 5 Assurances et honoraires</t>
  </si>
  <si>
    <t>3514.330</t>
  </si>
  <si>
    <t>Amortissement Av. de la Gare (PA)</t>
  </si>
  <si>
    <t>3514.380</t>
  </si>
  <si>
    <t>Gare 5 attrib fonds de rénovation</t>
  </si>
  <si>
    <t>3514.423</t>
  </si>
  <si>
    <t>Gare 5 Loyers Rytz</t>
  </si>
  <si>
    <t>3514.427.2</t>
  </si>
  <si>
    <t>Gare 5 décompte loyer, SPG - VALAUR SA</t>
  </si>
  <si>
    <t>3514.480</t>
  </si>
  <si>
    <t>PRELEVEMENT FONDS RESERVE</t>
  </si>
  <si>
    <t>41</t>
  </si>
  <si>
    <t>410.310</t>
  </si>
  <si>
    <t>SERVICE TECHNIQUE  PARUTIONS ENQUÊTES (140.310)</t>
  </si>
  <si>
    <t>410.318</t>
  </si>
  <si>
    <t>SERVICE TECHNIQUE  FRAIS ENQUÊTE STI (140.318.2)</t>
  </si>
  <si>
    <t>410.431</t>
  </si>
  <si>
    <t>SERVICE TECHNIQUE  PERMIS CONSTRUIRE HABITER</t>
  </si>
  <si>
    <t>42</t>
  </si>
  <si>
    <t>420.318</t>
  </si>
  <si>
    <t>URBANISME  CONSEIL REGIONAL</t>
  </si>
  <si>
    <t>420.331</t>
  </si>
  <si>
    <t>URBANISME   AMORT PATR ADMINISTRATIF</t>
  </si>
  <si>
    <t>420.332</t>
  </si>
  <si>
    <t>Amortissement suppl Service Urbanisme</t>
  </si>
  <si>
    <t>420.380</t>
  </si>
  <si>
    <t>URBANISME   ATTRIB FONDS RENOUV.</t>
  </si>
  <si>
    <t>420.436</t>
  </si>
  <si>
    <t>REMBOURSEMENT DE TIERS</t>
  </si>
  <si>
    <t>420.480</t>
  </si>
  <si>
    <t>URBANISME  PRELEVEMENT FONDS DE RESERVE</t>
  </si>
  <si>
    <t>43</t>
  </si>
  <si>
    <t>430.301</t>
  </si>
  <si>
    <t>ROUTES  VOIRIE SALAIRES</t>
  </si>
  <si>
    <t>430.303</t>
  </si>
  <si>
    <t>ROUTES  VOIRIE COTISATIONS AVS AC AF</t>
  </si>
  <si>
    <t>430.304</t>
  </si>
  <si>
    <t>ROUTES  VOIRIE CAISSE PREVOYANCE LPP</t>
  </si>
  <si>
    <t>430.305</t>
  </si>
  <si>
    <t>ROUTES  VOIRIE ASS ACCIDENTS et MALADIE</t>
  </si>
  <si>
    <t>430.306</t>
  </si>
  <si>
    <t>ROUTES  VOIRIE INDEMNISATION et REMBOURSEMENT DE  FRAIS</t>
  </si>
  <si>
    <t>430.309</t>
  </si>
  <si>
    <t>ROUTES  VOIRIE COURS DE FORMATION</t>
  </si>
  <si>
    <t>430.311</t>
  </si>
  <si>
    <t>ROUTES  VOIRIE ACHATS MACHINE MATERIEL HABITS</t>
  </si>
  <si>
    <t>430.311.1</t>
  </si>
  <si>
    <t>ROUTES  VOIRIE ACHATS SIGNALISATION</t>
  </si>
  <si>
    <t>430.312</t>
  </si>
  <si>
    <t>ROUTES  VOIRIE ACHATS ELECTRICITE</t>
  </si>
  <si>
    <t>430.313</t>
  </si>
  <si>
    <t>ROUTES  VOIRIE ACHATS MARCHANDISES PROD ENTRETIEN Consommables</t>
  </si>
  <si>
    <t>430.314</t>
  </si>
  <si>
    <t>ROUTES  ENTRETIEN</t>
  </si>
  <si>
    <t>430.314.0</t>
  </si>
  <si>
    <t>ROUTES  Espaces verts, fleurs (hors dép.thématiques)</t>
  </si>
  <si>
    <t>430.314.1</t>
  </si>
  <si>
    <t>ROUTES  ENTRETIEN CHEMINS FORESTIERS</t>
  </si>
  <si>
    <t>430.314.2</t>
  </si>
  <si>
    <t>ROUTES  ENTRETIEN DENEIGEMENT COMMUNAL</t>
  </si>
  <si>
    <t>430.315</t>
  </si>
  <si>
    <t>ROUTES  VOIRIE ENTRETIEN MACH VHC INST TECH</t>
  </si>
  <si>
    <t>430.318</t>
  </si>
  <si>
    <t>ROUTES  VOIRIE HONORAIRES, ASS. VHC, PREST. SERVICES</t>
  </si>
  <si>
    <t>430.331</t>
  </si>
  <si>
    <t>ROUTES  VOIRIE AMORTISSEMENT ROUTES VEHICULES</t>
  </si>
  <si>
    <t>430.331.0</t>
  </si>
  <si>
    <t>ROUTES  AMORTISSEMENT REFECTION GENERALE 2019</t>
  </si>
  <si>
    <t>430.331.1</t>
  </si>
  <si>
    <t>ROUTES  VOIRIE AMORTISSEMENT ROUTE DE LA GARE</t>
  </si>
  <si>
    <t>430.331.2</t>
  </si>
  <si>
    <t>ROUTES  VOIRIE AMORTISSEMENT ROUTE DE TRELEX</t>
  </si>
  <si>
    <t>430.331.3</t>
  </si>
  <si>
    <t>ROUTES  VOIRIE AMORTISSEMENT ROUTE DE LA CEZILLE</t>
  </si>
  <si>
    <t>430.331.4</t>
  </si>
  <si>
    <t>ROUTES  VOIRIE AMORTISSEMENT ROUTE DE DUILLIER</t>
  </si>
  <si>
    <t>430.331.5</t>
  </si>
  <si>
    <t>ROUTES  VOIRIE AMORTISSEMENT PISTE PIETONNIERE RTE DE DUILLIER</t>
  </si>
  <si>
    <t>430.332</t>
  </si>
  <si>
    <t>ROUTES  VOIRIE AMORTISSEMENT SUPPL P ADM</t>
  </si>
  <si>
    <t>430.351</t>
  </si>
  <si>
    <t>ROUTES  VOIRIE CHARGES CANTONALES S. HIVERNAL</t>
  </si>
  <si>
    <t>430.380</t>
  </si>
  <si>
    <t>ROUTES  ATTRIB FONDS RENOUV. MAT et VHC (9281.3)</t>
  </si>
  <si>
    <t>430.380.1</t>
  </si>
  <si>
    <t>ROUTES  ATTRIB FONDS RENOVATION (9282.1)</t>
  </si>
  <si>
    <t>430.390.1</t>
  </si>
  <si>
    <t>ROUTES  IMPUTATIONS INT SALAIRES</t>
  </si>
  <si>
    <t>430.390.2</t>
  </si>
  <si>
    <t>ROUTES  IMPUTATIONS INTERNES INTERÊTS</t>
  </si>
  <si>
    <t>430.424.1</t>
  </si>
  <si>
    <t>ROUTES  GAINS COMPTABLE PATR FIN</t>
  </si>
  <si>
    <t>430.436</t>
  </si>
  <si>
    <t>ROUTES  PART DE TIERS/ASS/CAD</t>
  </si>
  <si>
    <t>430.436.1</t>
  </si>
  <si>
    <t>ROUTES Remboursement de Tiers</t>
  </si>
  <si>
    <t>430.451.7</t>
  </si>
  <si>
    <t>ROUTES  PARTICIPATION, REMBOURSEMENT CANTONAL</t>
  </si>
  <si>
    <t>430.465</t>
  </si>
  <si>
    <t>ROUTES  Subventions et participations de tiers</t>
  </si>
  <si>
    <t>430.480</t>
  </si>
  <si>
    <t>ROUTES  PREL FONDS RENOUV ROUTES et VHC (9281.3)</t>
  </si>
  <si>
    <t>430.490</t>
  </si>
  <si>
    <t>ROUTES  IMPUTATIONS INTERNES</t>
  </si>
  <si>
    <t>44</t>
  </si>
  <si>
    <t>440.301</t>
  </si>
  <si>
    <t>PARCS  CIMETIERE SALAIRES</t>
  </si>
  <si>
    <t>440.303</t>
  </si>
  <si>
    <t>PARCS  CIMETIERE COTISATIONS AVS AC AF</t>
  </si>
  <si>
    <t>440.304</t>
  </si>
  <si>
    <t>PARCS  CIMETIERE CAISSE PREVOYANCE LPP</t>
  </si>
  <si>
    <t>440.305</t>
  </si>
  <si>
    <t>PARCS  CIMETIERE ASS ACCIDENTS et MALADIE</t>
  </si>
  <si>
    <t>440.306</t>
  </si>
  <si>
    <t>Parcs cimetières, indemnisation remboursement frais</t>
  </si>
  <si>
    <t>440.311</t>
  </si>
  <si>
    <t>PARCS  CIMETIERE  ACHATS MACH et MATERIEL</t>
  </si>
  <si>
    <t>440.313</t>
  </si>
  <si>
    <t>PARCS  CIMETIERE  ACHATS MARCHANDISES</t>
  </si>
  <si>
    <t>440.314</t>
  </si>
  <si>
    <t>PARCS  CIMETIERE  ENTRETIEN</t>
  </si>
  <si>
    <t>440.331</t>
  </si>
  <si>
    <t>PARCS  CIMETIERE  AMORTISSEMENT P ADM</t>
  </si>
  <si>
    <t>440.332</t>
  </si>
  <si>
    <t>PARCS  CIMETIERE  AMORT SUPPL P ADM</t>
  </si>
  <si>
    <t>440.352</t>
  </si>
  <si>
    <t>PARCS  CIMETIERE  CENTRE FUNERAIRE</t>
  </si>
  <si>
    <t>440.390.1</t>
  </si>
  <si>
    <t>PARCS  CIMETIERE  IMPUTATIONS INT SALAIRES</t>
  </si>
  <si>
    <t>440.436</t>
  </si>
  <si>
    <t>PARCS  CIMETIERE  PART TIERS</t>
  </si>
  <si>
    <t>440.451</t>
  </si>
  <si>
    <t>PARCS CIMETIERE, Subventions cantonales</t>
  </si>
  <si>
    <t>440.465</t>
  </si>
  <si>
    <t>PARCS  CIMETIERE  CONCESSIONS, Jardin souvenir</t>
  </si>
  <si>
    <t>440.480</t>
  </si>
  <si>
    <t>PARCS  CIMETIERE  PRELEVEMENT RESERVE</t>
  </si>
  <si>
    <t>450</t>
  </si>
  <si>
    <t>450.318.1</t>
  </si>
  <si>
    <t>ORDURES  INFORMATION et ACTIONS SPECIFIQUES (inactif)</t>
  </si>
  <si>
    <t>450.318.2</t>
  </si>
  <si>
    <t>ORDURES Déchets Incinérables ménager (sacs taxés)</t>
  </si>
  <si>
    <t>450.318.3</t>
  </si>
  <si>
    <t>ORDURES Déchets Carnés</t>
  </si>
  <si>
    <t>450.381</t>
  </si>
  <si>
    <t>DECHETS  ATTRIB FINANC SPECIAUX (9280.5)</t>
  </si>
  <si>
    <t>450.435</t>
  </si>
  <si>
    <t>ORDURES  RETROCESSION SADEC (taxe au sac)</t>
  </si>
  <si>
    <t>450.436.3</t>
  </si>
  <si>
    <t>ORDURES  PART TIERS DECHETS CARNES (inactif)</t>
  </si>
  <si>
    <t>450.481</t>
  </si>
  <si>
    <t>DECHETS  PRELEV FINANC SPECIAUX (9280.5)</t>
  </si>
  <si>
    <t>451.301</t>
  </si>
  <si>
    <t>ORDURES Salaires</t>
  </si>
  <si>
    <t>451.303</t>
  </si>
  <si>
    <t>ORDURES AVS / AC / AF</t>
  </si>
  <si>
    <t>451.304</t>
  </si>
  <si>
    <t>ORDURES  CAISSE PREVOYANCE LPP</t>
  </si>
  <si>
    <t>451.305</t>
  </si>
  <si>
    <t>ORDURES ASS ACCIDENTS et MALADIE</t>
  </si>
  <si>
    <t>451.306</t>
  </si>
  <si>
    <t>ORDURES FRAIS DU PERSONNEL</t>
  </si>
  <si>
    <t>451.309</t>
  </si>
  <si>
    <t>ORDURES COURS DE FORMATION</t>
  </si>
  <si>
    <t>451.311</t>
  </si>
  <si>
    <t>ORDURES Achat matériel déchèterie+éco-points</t>
  </si>
  <si>
    <t>451.312</t>
  </si>
  <si>
    <t>ORDURES Achat énergie et électricité</t>
  </si>
  <si>
    <t>451.314</t>
  </si>
  <si>
    <t>ORDURES Entretien, matériel et produits entretien</t>
  </si>
  <si>
    <t>451.316</t>
  </si>
  <si>
    <t>ORDURES Location Droit de superficie (non somis à TVA)</t>
  </si>
  <si>
    <t>316</t>
  </si>
  <si>
    <t>451.318</t>
  </si>
  <si>
    <t>ORDURES Déchets organiques</t>
  </si>
  <si>
    <t>451.318.0</t>
  </si>
  <si>
    <t>ORDURES Centre de Tri Assurance ECA</t>
  </si>
  <si>
    <t>451.318.1</t>
  </si>
  <si>
    <t>ORDURES Centre de Tri - La Caisserie</t>
  </si>
  <si>
    <t>451.318.2</t>
  </si>
  <si>
    <t>ORDURES Eco-point Sus-Châtel</t>
  </si>
  <si>
    <t>451.318.3</t>
  </si>
  <si>
    <t>ORDURES Eco-point La Cézille</t>
  </si>
  <si>
    <t>451.318.4</t>
  </si>
  <si>
    <t>ORDURES Informations et actions spécifiques</t>
  </si>
  <si>
    <t>451.319</t>
  </si>
  <si>
    <t>ORDURES TVA + REDIP s/TVA Taxe EM</t>
  </si>
  <si>
    <t>451.381</t>
  </si>
  <si>
    <t>Attribution financements spéciaux déchets</t>
  </si>
  <si>
    <t>451.390</t>
  </si>
  <si>
    <t>ORDURES couverture des surcoûts 450</t>
  </si>
  <si>
    <t>451.430</t>
  </si>
  <si>
    <t>ORDURES  CHE-115.611.147 TVA taux normal</t>
  </si>
  <si>
    <t>430</t>
  </si>
  <si>
    <t>451.430.1</t>
  </si>
  <si>
    <t>ORDURES  Aide sociale (interne)</t>
  </si>
  <si>
    <t>451.431</t>
  </si>
  <si>
    <t>CARTES CENTRE DE TRI</t>
  </si>
  <si>
    <t>451.434</t>
  </si>
  <si>
    <t>ORDURES Taxe EM</t>
  </si>
  <si>
    <t>451.435</t>
  </si>
  <si>
    <t>ORDURES Ristourne : verre, papier, ferraille</t>
  </si>
  <si>
    <t>451.435.1</t>
  </si>
  <si>
    <t>ORDURES Vente Containers et divers</t>
  </si>
  <si>
    <t>451.436</t>
  </si>
  <si>
    <t>ORDURES Remboursements de tiers (Ass.)</t>
  </si>
  <si>
    <t>451.437</t>
  </si>
  <si>
    <t>ORDURES  Amende Dépôt sauvage</t>
  </si>
  <si>
    <t>437</t>
  </si>
  <si>
    <t>451.481</t>
  </si>
  <si>
    <t>Prélèvement s/fonds affecté 9280.5</t>
  </si>
  <si>
    <t>451.490</t>
  </si>
  <si>
    <t>ORDURES IMPUTATIONS INTERNES</t>
  </si>
  <si>
    <t>452.318</t>
  </si>
  <si>
    <t>ORDURES Déchets communaux  (sacs non-taxés, cimetiere,)</t>
  </si>
  <si>
    <t>452.318.1</t>
  </si>
  <si>
    <t>ORDURES Déchets carnés (animaux rentes)</t>
  </si>
  <si>
    <t>452.318.2</t>
  </si>
  <si>
    <t>ORDURES Déchets Spéciaux Ménager, Part. animaux compagnie</t>
  </si>
  <si>
    <t>452.436.1</t>
  </si>
  <si>
    <t>ORDURES Part de tiers déchets carnés (animaux rentes)</t>
  </si>
  <si>
    <t>46</t>
  </si>
  <si>
    <t>460.301</t>
  </si>
  <si>
    <t>EGOUTS SALAIRES</t>
  </si>
  <si>
    <t>460.303</t>
  </si>
  <si>
    <t>EGOUTS COTISATIONS AVS AC AF</t>
  </si>
  <si>
    <t>460.304</t>
  </si>
  <si>
    <t>EGOUTS CAISSE PREVOYANCE LPP</t>
  </si>
  <si>
    <t>460.305</t>
  </si>
  <si>
    <t>EGOUTS ASS ACCIDENTS et MALADIE</t>
  </si>
  <si>
    <t>460.306</t>
  </si>
  <si>
    <t>EGOUTS FRAIS DU PERSONNEL</t>
  </si>
  <si>
    <t>460.311</t>
  </si>
  <si>
    <t>EGOUTS  ACHAT MACHINE MATERIEL</t>
  </si>
  <si>
    <t>460.312</t>
  </si>
  <si>
    <t>EGOUTS  ACHATS ELECTRICITE</t>
  </si>
  <si>
    <t>460.313</t>
  </si>
  <si>
    <t>EGOUTS  ACHATS MARCH PROD ENTRETIEN</t>
  </si>
  <si>
    <t>460.314</t>
  </si>
  <si>
    <t>EGOUTS  ENTRETIEN RESEAU</t>
  </si>
  <si>
    <t>460.318</t>
  </si>
  <si>
    <t>EGOUTS  PREST SERVICES HONORAIRES EXPERTISES</t>
  </si>
  <si>
    <t>460.330</t>
  </si>
  <si>
    <t>EGOUTS  AMORTISSEMENT CREANCES et DEBITEURS</t>
  </si>
  <si>
    <t>460.331</t>
  </si>
  <si>
    <t>EGOUTS  Amortissement obligatoire Patr.Administratif</t>
  </si>
  <si>
    <t>460.332</t>
  </si>
  <si>
    <t>EGOUTS  AMORTISSEMENT SUPPL P ADM</t>
  </si>
  <si>
    <t>460.352</t>
  </si>
  <si>
    <t>EGOUTS  Epuration eaux usées par APEC</t>
  </si>
  <si>
    <t>460.352.1</t>
  </si>
  <si>
    <t>EGOUTS  Financement élimination composés organiques, micropolluants (dès 2020 soumis TVA)</t>
  </si>
  <si>
    <t>460.381</t>
  </si>
  <si>
    <t>EGOUTS  ATTRIB FINANC SPECIAUX (9280.2)</t>
  </si>
  <si>
    <t>460.381.1</t>
  </si>
  <si>
    <t>EGOUTS  ATTRIB FINANC SPECIAUX PGEE (9280.4)</t>
  </si>
  <si>
    <t>460.390.1</t>
  </si>
  <si>
    <t>EGOUTS  IMPUTATIONS INT SALAIRES</t>
  </si>
  <si>
    <t>460.434</t>
  </si>
  <si>
    <t>EGOUTS  TAXES EPURATION (TVA CHE 112.556.374 - 8.1 %)</t>
  </si>
  <si>
    <t>460.434.1</t>
  </si>
  <si>
    <t>EGOUTS  TAXES RACCORDEMENTS</t>
  </si>
  <si>
    <t>460.434.3</t>
  </si>
  <si>
    <t>EGOUTS  TAXES PERIODIQUES RESERVE PGEE</t>
  </si>
  <si>
    <t>460.434.4</t>
  </si>
  <si>
    <t>EGOUTS TAXE MICROPOLLUANTS</t>
  </si>
  <si>
    <t>460.436</t>
  </si>
  <si>
    <t>EGOUTS  PART DE TIERS</t>
  </si>
  <si>
    <t>460.452</t>
  </si>
  <si>
    <t>EGOUTS  APEC RISTOURNE</t>
  </si>
  <si>
    <t>460.480</t>
  </si>
  <si>
    <t>Prélèvement au fonds de réserve SP EGOUTS/EPURATION (9280.2)</t>
  </si>
  <si>
    <t>460.481</t>
  </si>
  <si>
    <t>EGOUTS  PRELEV FINANC SPECIAUX (9280.2)</t>
  </si>
  <si>
    <t>47</t>
  </si>
  <si>
    <t>470.314</t>
  </si>
  <si>
    <t>COURS D'EAU  ENTRETIEN</t>
  </si>
  <si>
    <t>470.331</t>
  </si>
  <si>
    <t>COURS D'EAU  Amortissement obligatoire Patr.Administratif</t>
  </si>
  <si>
    <t>470.436</t>
  </si>
  <si>
    <t>COURS D'EAU  PART DE TIERS</t>
  </si>
  <si>
    <t>470.451</t>
  </si>
  <si>
    <t>COURS D'EAU  PART CANTON Subvention</t>
  </si>
  <si>
    <t>470.480</t>
  </si>
  <si>
    <t>COURS D'EAU  PREL FONDS RENOUV (9282.1)</t>
  </si>
  <si>
    <t>50</t>
  </si>
  <si>
    <t>500.352</t>
  </si>
  <si>
    <t>ENSEIGNEMENT FRAIS AMDINISTRATIF PRIMAIRE et SECONDAIRE</t>
  </si>
  <si>
    <t>51</t>
  </si>
  <si>
    <t>510.352</t>
  </si>
  <si>
    <t>ENSEIGNEMENT PRIMAIRE  PART ESGE</t>
  </si>
  <si>
    <t>510.366</t>
  </si>
  <si>
    <t>ENSEIGNEMENT PRIMAIRE Transports scolaires</t>
  </si>
  <si>
    <t>366</t>
  </si>
  <si>
    <t>52</t>
  </si>
  <si>
    <t>520.318</t>
  </si>
  <si>
    <t>ENSEIGNEMENT SECONDAIRE  Prestations / Acomptes</t>
  </si>
  <si>
    <t>520.352</t>
  </si>
  <si>
    <t>ENSEIGNEMENT SECONDAIRE  PART AISGE</t>
  </si>
  <si>
    <t>520.366</t>
  </si>
  <si>
    <t>ENSEIGNEMENT SECONDAIRE  Transports scolaires</t>
  </si>
  <si>
    <t>53</t>
  </si>
  <si>
    <t>530.351</t>
  </si>
  <si>
    <t>ENSEIGNEMENT SPECIALISE  PART AU CANTON</t>
  </si>
  <si>
    <t>530.451</t>
  </si>
  <si>
    <t>ENSEIGNEMENT SPECIALISE  RB DU CANTON</t>
  </si>
  <si>
    <t>54</t>
  </si>
  <si>
    <t>540.352</t>
  </si>
  <si>
    <t>ORIENTATION PROFESSIONNELLE</t>
  </si>
  <si>
    <t>55</t>
  </si>
  <si>
    <t>550.352</t>
  </si>
  <si>
    <t>Centre de Jeunes AISGE</t>
  </si>
  <si>
    <t>56</t>
  </si>
  <si>
    <t>560.352</t>
  </si>
  <si>
    <t>SERVICE MEDICAL  AISGE + DENTAIRE</t>
  </si>
  <si>
    <t>57</t>
  </si>
  <si>
    <t>570.352</t>
  </si>
  <si>
    <t>CAMPS Scolaire AISGE</t>
  </si>
  <si>
    <t>58</t>
  </si>
  <si>
    <t>580.318</t>
  </si>
  <si>
    <t>EGLISE  CULTES  PREST SERVICES, ORGUE, SONO</t>
  </si>
  <si>
    <t>580.331</t>
  </si>
  <si>
    <t>EGLISE  AMORTISSSEMENT P ADMIN</t>
  </si>
  <si>
    <t>580.332</t>
  </si>
  <si>
    <t>EGLISE  AMORTISSSEMENT P ADM SUPPL</t>
  </si>
  <si>
    <t>580.352</t>
  </si>
  <si>
    <t>CULTES PART AUTRE PAROISSE</t>
  </si>
  <si>
    <t>60</t>
  </si>
  <si>
    <t>600.318</t>
  </si>
  <si>
    <t>POLICE  PREST SERVICES</t>
  </si>
  <si>
    <t>600.351</t>
  </si>
  <si>
    <t>POLICE  PART AU CANTON  FRAIS POLICE CANTONALE</t>
  </si>
  <si>
    <t>600.351.1</t>
  </si>
  <si>
    <t>POLICE  PART AU CANTON SOLDE ANNEE PRECEDENTE</t>
  </si>
  <si>
    <t>600.431</t>
  </si>
  <si>
    <t>POLICE  EMOLUMENTS</t>
  </si>
  <si>
    <t>600.437</t>
  </si>
  <si>
    <t>POLICE  AMENDES</t>
  </si>
  <si>
    <t>600.451</t>
  </si>
  <si>
    <t>POLICE  REMB DU CANTON ANNEE PRECEDENTE</t>
  </si>
  <si>
    <t>62</t>
  </si>
  <si>
    <t>620.301</t>
  </si>
  <si>
    <t>CONTRÔLE HABITANTS SALAIRES</t>
  </si>
  <si>
    <t>620.303</t>
  </si>
  <si>
    <t>CONTRÔLE HABITANTS COTISATIONS AVS AC AF</t>
  </si>
  <si>
    <t>620.304</t>
  </si>
  <si>
    <t>CONTROLE HABITANTS CAISSE PREVOYANCE LPP</t>
  </si>
  <si>
    <t>620.305</t>
  </si>
  <si>
    <t>CONTRÔLE HABITANTS ASS ACCIDENTS et MALADIE</t>
  </si>
  <si>
    <t>620.306</t>
  </si>
  <si>
    <t>CDH _ Frais du personnel</t>
  </si>
  <si>
    <t>620.318</t>
  </si>
  <si>
    <t>CONTRÔLE HABITANTS  PREST SERVICES</t>
  </si>
  <si>
    <t>620.390.1</t>
  </si>
  <si>
    <t>CONTRÔLE HABITANTS  IMPUTATIONS INT SALAIRES</t>
  </si>
  <si>
    <t>620.431</t>
  </si>
  <si>
    <t>CONTRÔLE HABITANTS  ACTES MOEURS+ATT DOMICILE+PERMIS HABIT.+ NATURALISATION</t>
  </si>
  <si>
    <t>620.441</t>
  </si>
  <si>
    <t>CONTRÔLE HABITANTS  PART TAXE CANT SEJOUR</t>
  </si>
  <si>
    <t>65</t>
  </si>
  <si>
    <t>650.317</t>
  </si>
  <si>
    <t>SERVICE FEU  RECEPTION et MANIFESTATION</t>
  </si>
  <si>
    <t>650.352</t>
  </si>
  <si>
    <t>SERVICE FEU  FRAIS GROUP SERVICE FEU</t>
  </si>
  <si>
    <t>650.436</t>
  </si>
  <si>
    <t>SERVICE FEU  PART DE TIERS</t>
  </si>
  <si>
    <t>650.452</t>
  </si>
  <si>
    <t>SERVICE FEU  PART DES 3 COMMUNES</t>
  </si>
  <si>
    <t>66</t>
  </si>
  <si>
    <t>660.352</t>
  </si>
  <si>
    <t>PROTECTION CIVILE  PART ORPC DISTRICT NYON</t>
  </si>
  <si>
    <t>660.380</t>
  </si>
  <si>
    <t>PROTECTION CIVILE  ATTRIB FONDS RESERVE (9282.2)</t>
  </si>
  <si>
    <t>660.465</t>
  </si>
  <si>
    <t>PROTECTION CIVILE  DISPENSES ABRIS PC</t>
  </si>
  <si>
    <t>660.480</t>
  </si>
  <si>
    <t>PROTECTION CIVILE  PREL FONDS RESERVE (9282.2)</t>
  </si>
  <si>
    <t>71</t>
  </si>
  <si>
    <t>710.351</t>
  </si>
  <si>
    <t>SERVICE SOCIAL  FONDATION SOCLE COMMUNE</t>
  </si>
  <si>
    <t>710.352</t>
  </si>
  <si>
    <t>SERVICE SOCIAL  CENTRE REGIONAL (CSR)</t>
  </si>
  <si>
    <t>710.365</t>
  </si>
  <si>
    <t>SERVICE SOCIAL  Aides, Subvention à institutions privées</t>
  </si>
  <si>
    <t>710.365.1</t>
  </si>
  <si>
    <t>SERVICE SOCIAL  AIDE PETITE ENFANCE</t>
  </si>
  <si>
    <t>710.366</t>
  </si>
  <si>
    <t>SERVICE SOCIAL  AIDE INDIVIDUELLE</t>
  </si>
  <si>
    <t>710.390</t>
  </si>
  <si>
    <t>SERVICE SOCIAL IMPUTATIONS INTERNES</t>
  </si>
  <si>
    <t>72</t>
  </si>
  <si>
    <t>720.351</t>
  </si>
  <si>
    <t>PREVOYANCE Cohésion Sociale (ex-FactureSociale) PART AU CANTON</t>
  </si>
  <si>
    <t>720.351.1</t>
  </si>
  <si>
    <t>PREVOYANCE Cohésion Sociale (ex-FactureSociale) PART AU CANTON SOLDE ANNEE PRECEDENTE</t>
  </si>
  <si>
    <t>720.352</t>
  </si>
  <si>
    <t>PREVOYANCE SOCIALE  ARAS REG AGENCES</t>
  </si>
  <si>
    <t>720.451</t>
  </si>
  <si>
    <t>PREVOYANCE Cohésion Sociale (ex-FactureSociale)  PART AU CANTON ANNEE PRECEDENTE</t>
  </si>
  <si>
    <t>720.452</t>
  </si>
  <si>
    <t>PREVOYANCE SOCIALE  RB ARAS REG AG</t>
  </si>
  <si>
    <t>81</t>
  </si>
  <si>
    <t>810.301</t>
  </si>
  <si>
    <t>SERVICE EAUX  SALAIRES</t>
  </si>
  <si>
    <t>810.303</t>
  </si>
  <si>
    <t>SERVICE EAUX  COTISATIONS AVS AC AF</t>
  </si>
  <si>
    <t>810.304</t>
  </si>
  <si>
    <t>SERVICE EAUX  CAISSE PREVOYANCE LPP</t>
  </si>
  <si>
    <t>810.305</t>
  </si>
  <si>
    <t>SERVICE EAUX  ASS ACCIDENTS et MALADIE</t>
  </si>
  <si>
    <t>810.306</t>
  </si>
  <si>
    <t>SERVICE EAUX  INDEMNISATION ET REMBOURSEMENT</t>
  </si>
  <si>
    <t>810.309</t>
  </si>
  <si>
    <t>SERVICE EAUX  COURS ET FORMATION</t>
  </si>
  <si>
    <t>810.311</t>
  </si>
  <si>
    <t>SERVICE EAUX  ACHATS MACH et MAT COMPTEURS</t>
  </si>
  <si>
    <t>810.312</t>
  </si>
  <si>
    <t>SERVICE EAUX  ACHATS  ELECTRICITE</t>
  </si>
  <si>
    <t>810.312.1</t>
  </si>
  <si>
    <t>SERVICE EAUX  ACHATS EAU CDG</t>
  </si>
  <si>
    <t>810.314</t>
  </si>
  <si>
    <t>SERVICE EAUX  ENTRETIEN STATIONS</t>
  </si>
  <si>
    <t>810.314.1</t>
  </si>
  <si>
    <t>SERVICE EAUX  ENTRETIEN RESEAU</t>
  </si>
  <si>
    <t>810.314.2</t>
  </si>
  <si>
    <t>SERVICE EAUX  CONTRAT ENTRETIEN STATIONS</t>
  </si>
  <si>
    <t>810.318</t>
  </si>
  <si>
    <t>SERVICE EAUX  PREST SERVICES ANALYSES EAU ASS et TEL</t>
  </si>
  <si>
    <t>810.319</t>
  </si>
  <si>
    <t>SERVICE EAUX  FRAIS DIVERS TAXES TVA (au forfait 0.1 %)</t>
  </si>
  <si>
    <t>810.331</t>
  </si>
  <si>
    <t>SERVICE EAUX  Amortissements Obligatoire : PatrimAdmin - Instal. SI</t>
  </si>
  <si>
    <t>810.332</t>
  </si>
  <si>
    <t>SERVICE EAUX  AMORT SUPPL P ADM</t>
  </si>
  <si>
    <t>810.352</t>
  </si>
  <si>
    <t>SERVICE EAUX  PART SAPAN</t>
  </si>
  <si>
    <t>810.352.1</t>
  </si>
  <si>
    <t>SERVICE EAUX  FRAIS EXPLOITATION MONTANT</t>
  </si>
  <si>
    <t>810.381</t>
  </si>
  <si>
    <t>SERVICE EAUX  ATTRIB FINANC SPECIAUX (9280.3)</t>
  </si>
  <si>
    <t>810.390.1</t>
  </si>
  <si>
    <t>SERVICE EAUX  IMPUTATIONS INT SALAIRES</t>
  </si>
  <si>
    <t>810.427</t>
  </si>
  <si>
    <t>SERVICE EAUX  ABONNEMENTS</t>
  </si>
  <si>
    <t>810.430</t>
  </si>
  <si>
    <t>SERVICE EAUX  TVA N0 CH-112.667.312 (au forfait 2.5 %)</t>
  </si>
  <si>
    <t>810.434</t>
  </si>
  <si>
    <t>SERVICE EAUX  TAXES RACCORDEMENT EAU</t>
  </si>
  <si>
    <t>810.435</t>
  </si>
  <si>
    <t>SERVICE EAUX  VENTE EAU (TVA CHE 112.667.312 / 0.1 %)</t>
  </si>
  <si>
    <t>810.435.1</t>
  </si>
  <si>
    <t>SERVICE EAUX  VENTE EAU CDG (TVA CHE 112.667.312 0.1 %)</t>
  </si>
  <si>
    <t>810.436</t>
  </si>
  <si>
    <t>SERVICE EAUX   PART DE TIERS ASS.</t>
  </si>
  <si>
    <t>810.452</t>
  </si>
  <si>
    <t>SERVICE EAUX  PARTICIPATION DE COMMUNES, ASSOC. + REMBOURSEMENT</t>
  </si>
  <si>
    <t>810.465</t>
  </si>
  <si>
    <t>SERVICE EAUX  SUBSIDES ECA</t>
  </si>
  <si>
    <t>810.480</t>
  </si>
  <si>
    <t>Prélèvement au fonds de réserve SP ALIMENTATION EAU (9280.3)</t>
  </si>
  <si>
    <t>810.481</t>
  </si>
  <si>
    <t>SERVICE EAUX  PREL FINANC SPECIAUX (9280.3)</t>
  </si>
  <si>
    <t>01100</t>
  </si>
  <si>
    <t>3000</t>
  </si>
  <si>
    <t>3050</t>
  </si>
  <si>
    <t>3090</t>
  </si>
  <si>
    <t>Extension</t>
  </si>
  <si>
    <t>.00</t>
  </si>
  <si>
    <t>.01</t>
  </si>
  <si>
    <t>Libellé</t>
  </si>
  <si>
    <t>Salaire des autorités et commissions</t>
  </si>
  <si>
    <t>Salaire des autorités et commissions - scrt.</t>
  </si>
  <si>
    <t>3053</t>
  </si>
  <si>
    <t>3113</t>
  </si>
  <si>
    <t>Commissions</t>
  </si>
  <si>
    <t>Cotisations AVS, AI, APG, AC, frais adm</t>
  </si>
  <si>
    <t>Cotisations patronales aux assurance-accidents</t>
  </si>
  <si>
    <t>3099</t>
  </si>
  <si>
    <t>Autres charges du personnel</t>
  </si>
  <si>
    <t>3049</t>
  </si>
  <si>
    <t>Autres indemnités forfaitaires - natels</t>
  </si>
  <si>
    <t>Matériel informatique</t>
  </si>
  <si>
    <t>01200</t>
  </si>
  <si>
    <t>3052</t>
  </si>
  <si>
    <t>Cotisations patronales aux caisses de pensions</t>
  </si>
  <si>
    <t>Montant 2025</t>
  </si>
  <si>
    <t>Budget 27</t>
  </si>
  <si>
    <t>3130</t>
  </si>
  <si>
    <t>Prestations de services tiers - manif et réceptions</t>
  </si>
  <si>
    <t>Formation et perfectionnement</t>
  </si>
  <si>
    <t>3170</t>
  </si>
  <si>
    <t>Remboursement de frais effectifs km</t>
  </si>
  <si>
    <t>soirée Noel que pour le personnel, repas conseil communal</t>
  </si>
  <si>
    <t>invitation au resto - orgsanisation pour la population (1er aout / Noel)</t>
  </si>
  <si>
    <t>3132</t>
  </si>
  <si>
    <t>3612</t>
  </si>
  <si>
    <t>AISGE, frais avocats qu'on nous refacture</t>
  </si>
  <si>
    <t>Honoraires conseils externes, spécialistes (avocats, archivistes, …)</t>
  </si>
  <si>
    <t>.04</t>
  </si>
  <si>
    <t>Prestations de services tiers - cotisations</t>
  </si>
  <si>
    <t>.03</t>
  </si>
  <si>
    <t>.05</t>
  </si>
  <si>
    <t>.02</t>
  </si>
  <si>
    <t>Prestations de services tiers - frais de port</t>
  </si>
  <si>
    <t>Prestations de services tiers - telecommunication</t>
  </si>
  <si>
    <t>02200</t>
  </si>
  <si>
    <t>02201</t>
  </si>
  <si>
    <t>3010</t>
  </si>
  <si>
    <t>Salaire du personnel administratif</t>
  </si>
  <si>
    <t>.99</t>
  </si>
  <si>
    <t>3054</t>
  </si>
  <si>
    <t>Cotisations CAF</t>
  </si>
  <si>
    <t>96900</t>
  </si>
  <si>
    <t>GFA</t>
  </si>
  <si>
    <t>aireless,  natels, et Swisscom</t>
  </si>
  <si>
    <t>3134</t>
  </si>
  <si>
    <t>UCV UNION DES COMMUNES VAUDOISES</t>
  </si>
  <si>
    <t>59200</t>
  </si>
  <si>
    <t>3636</t>
  </si>
  <si>
    <t>Subventions à des tiers - dons</t>
  </si>
  <si>
    <t>4210</t>
  </si>
  <si>
    <t>Remboursements IJM</t>
  </si>
  <si>
    <t>4601</t>
  </si>
  <si>
    <t>3101</t>
  </si>
  <si>
    <t>Materiel d'exploitation et fournitures</t>
  </si>
  <si>
    <t>Election greg</t>
  </si>
  <si>
    <t>3102</t>
  </si>
  <si>
    <t>Economat, stylos, papier, etc</t>
  </si>
  <si>
    <t>Datarec (papier à broyer)</t>
  </si>
  <si>
    <t>Prestations de services tiers - autres</t>
  </si>
  <si>
    <t>Prestations de services tiers - autres (frais Jean, Salima, DATAREC, archives -&gt; PV mun +archivistes)</t>
  </si>
  <si>
    <t>3420</t>
  </si>
  <si>
    <t>Fournitures de bureau, abonnements et parutions (incl. Archivistes)</t>
  </si>
  <si>
    <t>Imprimés, publications</t>
  </si>
  <si>
    <t>imprimante, table, lampe</t>
  </si>
  <si>
    <t>3162</t>
  </si>
  <si>
    <t>Primes de leasing opérationnel - sharp</t>
  </si>
  <si>
    <t>3150</t>
  </si>
  <si>
    <t>Entretien de meubles et appareils de bureau</t>
  </si>
  <si>
    <t>84000</t>
  </si>
  <si>
    <t>4612</t>
  </si>
  <si>
    <t>79070</t>
  </si>
  <si>
    <t>Association pour faire un pot commun</t>
  </si>
  <si>
    <t>Region Nyon - participation pour utilisation des infrastructures à Nyon (patinoir cinéman à Nyon)</t>
  </si>
  <si>
    <t>Quoi?</t>
  </si>
  <si>
    <t>OUI</t>
  </si>
  <si>
    <t>Resp BUD</t>
  </si>
  <si>
    <t>Péréquation :</t>
  </si>
  <si>
    <t>BUD 2026</t>
  </si>
  <si>
    <t>Police Cant.</t>
  </si>
  <si>
    <t>Cohésion Sociale</t>
  </si>
  <si>
    <t>TOTAL</t>
  </si>
  <si>
    <t>ACI</t>
  </si>
  <si>
    <t>Réel 2025</t>
  </si>
  <si>
    <t>Planifié 2027</t>
  </si>
  <si>
    <t>ADA</t>
  </si>
  <si>
    <t>PCO</t>
  </si>
  <si>
    <t>EFA</t>
  </si>
  <si>
    <t>Doc de la direction générale de la DGMR</t>
  </si>
  <si>
    <t>CMA</t>
  </si>
  <si>
    <t>cf bud 2025 et beaucoup de constructions prévues (pas Bassins et pas NRTV) - SIR 34K / PACOM oppositions imprévisibles</t>
  </si>
  <si>
    <t>3632 si à des communes / 3637 aux habitants sbonnement application voitures -&gt; NRTV 10K (Communyon)</t>
  </si>
  <si>
    <t>Fdtion enseignement musique 19K / Iscine Bassins 10K</t>
  </si>
  <si>
    <t>permis de construire, moyenne 3 ans (abattages arbres)</t>
  </si>
  <si>
    <t>regis par un règlement toursime de Nyon, nous récoltons la taxe et on reverse 85% à Region Nyon, on conserve 15% que l'on met dans un fonds</t>
  </si>
  <si>
    <t>chgt règle en 2024</t>
  </si>
  <si>
    <t>Tout amorti en 2025</t>
  </si>
  <si>
    <t>Aisge, Location bâtiments scolaires (on loue le terrain de sport à l'AISGE)</t>
  </si>
  <si>
    <t>Fichier AISGE</t>
  </si>
  <si>
    <t>Selon décomptes mensuels CFF</t>
  </si>
  <si>
    <t>Vente cartes CFF (par la caisse)</t>
  </si>
  <si>
    <t xml:space="preserve">OFISA maint 13K, Ninja One 1.56, Azur 6.2, Microsoft 365 4.4, Tipee abo 1.4, Rapido 3.7K, HKD maint annuelle 4.8, </t>
  </si>
  <si>
    <t>UCV formation</t>
  </si>
  <si>
    <t>Fichier Perequation</t>
  </si>
  <si>
    <t>concerne perte sur débiteurs non connus</t>
  </si>
  <si>
    <t>TVA decompte Q4</t>
  </si>
  <si>
    <t>Nouveaux emprunts 2026</t>
  </si>
  <si>
    <t>Cohésion sociale 2024 pas payée</t>
  </si>
  <si>
    <t>Fondation du Bois de Chênes, Participation aux frais d'entretien du Bois de Chênes en 2025.,  location terrains agricoles (Baumgartner, Bolay et Wyss)</t>
  </si>
  <si>
    <t>La Colline ( démontage passerelle / sapins Noel / abattage chablis)</t>
  </si>
  <si>
    <t>La Colline selon xxx (3x 31K + solde)</t>
  </si>
  <si>
    <t>Participation frais entretien (règlement)</t>
  </si>
  <si>
    <t>DGE / Subventions parc jura vaudois</t>
  </si>
  <si>
    <t>Utiliser pour les manifestations sur Genolier: Phanee De Pool, flyers</t>
  </si>
  <si>
    <t>4240</t>
  </si>
  <si>
    <t>achat 3101</t>
  </si>
  <si>
    <t>-</t>
  </si>
  <si>
    <t>34100</t>
  </si>
  <si>
    <t>34101</t>
  </si>
  <si>
    <t>que pour le foot</t>
  </si>
  <si>
    <t>3111</t>
  </si>
  <si>
    <t>Machines, appareils et véhicules</t>
  </si>
  <si>
    <t>pas portés à l'actif</t>
  </si>
  <si>
    <t>Taxes d'utilisation et prestations de service</t>
  </si>
  <si>
    <t>3140</t>
  </si>
  <si>
    <t>Entretien des terrains</t>
  </si>
  <si>
    <t>34102</t>
  </si>
  <si>
    <t>3120</t>
  </si>
  <si>
    <t>Frais de chauffage</t>
  </si>
  <si>
    <t>Frais d'électricité</t>
  </si>
  <si>
    <t>Frais d'eau</t>
  </si>
  <si>
    <t>3439</t>
  </si>
  <si>
    <t>.07</t>
  </si>
  <si>
    <t>Frais d'électricité - Pétanque</t>
  </si>
  <si>
    <t>Frais d'électricité - Terrain de sport</t>
  </si>
  <si>
    <t>3300</t>
  </si>
  <si>
    <t>Amortissements planifiés des immobilisations corporelles PA</t>
  </si>
  <si>
    <t>.09</t>
  </si>
  <si>
    <t>21990</t>
  </si>
  <si>
    <t>21991</t>
  </si>
  <si>
    <t>Admin</t>
  </si>
  <si>
    <t>Primaire</t>
  </si>
  <si>
    <t>21992</t>
  </si>
  <si>
    <t>Secondaire</t>
  </si>
  <si>
    <t>21993</t>
  </si>
  <si>
    <t>Enseignement spécialisé</t>
  </si>
  <si>
    <t>21994</t>
  </si>
  <si>
    <t>21995</t>
  </si>
  <si>
    <t>Service médical</t>
  </si>
  <si>
    <t>Camps</t>
  </si>
  <si>
    <t>Fonctions</t>
  </si>
  <si>
    <t>AISGE - Loyers</t>
  </si>
  <si>
    <t>AISGE - Transports</t>
  </si>
  <si>
    <t>AISGE - Coûts scolaires</t>
  </si>
  <si>
    <t>Centre de jeunes</t>
  </si>
  <si>
    <t>43300</t>
  </si>
  <si>
    <t>29900</t>
  </si>
  <si>
    <t xml:space="preserve">Ville de Nyon Office d'orientation scolaire et professsionnelle frais fonctionnement </t>
  </si>
  <si>
    <t>3621</t>
  </si>
  <si>
    <t>35000</t>
  </si>
  <si>
    <t>11100</t>
  </si>
  <si>
    <t>pas de la péréquation - ar fait entre les communes</t>
  </si>
  <si>
    <t>3611</t>
  </si>
  <si>
    <t>ordonnance pénale (amende faite par la commune)</t>
  </si>
  <si>
    <t>4270</t>
  </si>
  <si>
    <t>Amendes (OP)</t>
  </si>
  <si>
    <t>02210</t>
  </si>
  <si>
    <t>3091</t>
  </si>
  <si>
    <t>KDO, fleurs</t>
  </si>
  <si>
    <t>Formation du personnel</t>
  </si>
  <si>
    <t>Recrutement</t>
  </si>
  <si>
    <t>Naturalisations (au greffe)</t>
  </si>
  <si>
    <t>SPOP permis B, C</t>
  </si>
  <si>
    <t>3601</t>
  </si>
  <si>
    <t>Emoluments pour actes administratifs - permis et autres attestations CDH</t>
  </si>
  <si>
    <t>1049.02</t>
  </si>
  <si>
    <t>15000</t>
  </si>
  <si>
    <t>16200</t>
  </si>
  <si>
    <t>54400</t>
  </si>
  <si>
    <t>3632</t>
  </si>
  <si>
    <t>Subventions accordées aux communes et associations - Trav. Social</t>
  </si>
  <si>
    <t>FONDATION DE LA COTE POUR L'AIDE ET LE…</t>
  </si>
  <si>
    <t>54500</t>
  </si>
  <si>
    <t>Non scolarisés = Crèche</t>
  </si>
  <si>
    <t>21800</t>
  </si>
  <si>
    <t>Scolarisés = UAPE</t>
  </si>
  <si>
    <t>AFJ- RAT 50% / 50%</t>
  </si>
  <si>
    <t>Dans préavis du budget : 50% de chaque, sera plus précis en 2027</t>
  </si>
  <si>
    <t>PETROPLAST AG, rouleaux de sacs taxés de 35L</t>
  </si>
  <si>
    <t>3637</t>
  </si>
  <si>
    <t>Subventions accordées aux ménages privés - Petroplast</t>
  </si>
  <si>
    <t>93001</t>
  </si>
  <si>
    <t>4621</t>
  </si>
  <si>
    <t>ARAS ASS REGIONALE POUR L'ACTION SOCIALE DISTRICT DE NYON</t>
  </si>
  <si>
    <t>57900</t>
  </si>
  <si>
    <t>71000</t>
  </si>
  <si>
    <t>GWF compteurs</t>
  </si>
  <si>
    <t>3143</t>
  </si>
  <si>
    <t>Entretien autres travaux de genie civil</t>
  </si>
  <si>
    <t>0.1% de tous les revenus</t>
  </si>
  <si>
    <t>3137</t>
  </si>
  <si>
    <t>Impôts, taxes - TVA</t>
  </si>
  <si>
    <t>Taxes d'utilisation et prestations de service - abonnement</t>
  </si>
  <si>
    <t>Taxes d'utilisation et prestations de service - raccordement</t>
  </si>
  <si>
    <t>Taxes d'utilisation et prestations de service - vente eau</t>
  </si>
  <si>
    <t>Taxes d'utilisation et prestations de service - vente eau CDG</t>
  </si>
  <si>
    <t>Remb ECA BH</t>
  </si>
  <si>
    <t>4260</t>
  </si>
  <si>
    <t>79010</t>
  </si>
  <si>
    <t>Honoraires conseils externes, spécialistes (STI - PAC)</t>
  </si>
  <si>
    <t>STI à notre charge pour les PAC par exemple</t>
  </si>
  <si>
    <t>Publication avis mortiaires (Impact Media pas refacturé)</t>
  </si>
  <si>
    <t>Conjoncturels</t>
  </si>
  <si>
    <t>Solde</t>
  </si>
  <si>
    <t>61500</t>
  </si>
  <si>
    <t>§§</t>
  </si>
  <si>
    <t>cafetière, tracteur ou véhicule à 15K</t>
  </si>
  <si>
    <t>3141</t>
  </si>
  <si>
    <t>Entretien des routes et éclairages publics - travaux EP</t>
  </si>
  <si>
    <t>pas Romande Energie</t>
  </si>
  <si>
    <t>Frais électricité, routes EP (Romande Energie)</t>
  </si>
  <si>
    <t>contrôle borne de recharge = bâtiment 3144</t>
  </si>
  <si>
    <t>34200</t>
  </si>
  <si>
    <t>fleurs, arbre milieu village (entretien tondeuse dans voirie)</t>
  </si>
  <si>
    <t>fosse de plantations</t>
  </si>
  <si>
    <t>82000</t>
  </si>
  <si>
    <t>aussi achat des piquets</t>
  </si>
  <si>
    <t>AVIA, essence</t>
  </si>
  <si>
    <t>3151</t>
  </si>
  <si>
    <t>Entretien de machines, hors véhicules</t>
  </si>
  <si>
    <t>Entretien de machines, véhicules</t>
  </si>
  <si>
    <t>Entretien des routes - divers</t>
  </si>
  <si>
    <t>SAN SERVICE DES AUTOMOBILE ET DE LA NAVIGATION</t>
  </si>
  <si>
    <t>Parts aux cantons et concordats - DGMR</t>
  </si>
  <si>
    <t>3301</t>
  </si>
  <si>
    <t>Amortissements non planifiés des immobilisations corporelles PA</t>
  </si>
  <si>
    <t>SAGEFI service hivernal</t>
  </si>
  <si>
    <t>Remboursements et participations de tiers</t>
  </si>
  <si>
    <t>Remb assurances (jamais au bilan) - Genolier CAD SA , Prestations des employés communaux 2024-2025</t>
  </si>
  <si>
    <t>77100</t>
  </si>
  <si>
    <t>Creuse tombes</t>
  </si>
  <si>
    <t>Entretien autres travaux de genie civil - creuse tombes</t>
  </si>
  <si>
    <t>75000</t>
  </si>
  <si>
    <t>VILLE DE NYON, centre funéraire participation annuelle</t>
  </si>
  <si>
    <t>colombarium</t>
  </si>
  <si>
    <t>4120</t>
  </si>
  <si>
    <t>73000</t>
  </si>
  <si>
    <t>.10</t>
  </si>
  <si>
    <t>Transport</t>
  </si>
  <si>
    <t>.20</t>
  </si>
  <si>
    <t>Incinération</t>
  </si>
  <si>
    <t>Transport papier</t>
  </si>
  <si>
    <t>Transport verre</t>
  </si>
  <si>
    <t>Transport bois</t>
  </si>
  <si>
    <t>Transport carton</t>
  </si>
  <si>
    <t>Transport feraille</t>
  </si>
  <si>
    <t>Transport incinérables</t>
  </si>
  <si>
    <t>Transport balayures</t>
  </si>
  <si>
    <t>Transport encombrants</t>
  </si>
  <si>
    <t>Transport alu</t>
  </si>
  <si>
    <t>Transport inertes</t>
  </si>
  <si>
    <t>.11</t>
  </si>
  <si>
    <t>.12</t>
  </si>
  <si>
    <t>.13</t>
  </si>
  <si>
    <t>.14</t>
  </si>
  <si>
    <t>.15</t>
  </si>
  <si>
    <t>.16</t>
  </si>
  <si>
    <t>.17</t>
  </si>
  <si>
    <t>.18</t>
  </si>
  <si>
    <t>.19</t>
  </si>
  <si>
    <t>.21</t>
  </si>
  <si>
    <t>Transport foot gazon</t>
  </si>
  <si>
    <t>.30</t>
  </si>
  <si>
    <t>.22</t>
  </si>
  <si>
    <t>Transport déchêts communaux - cimetiere, sacs taxés (OM), sac Pet</t>
  </si>
  <si>
    <t>Incinération plastic</t>
  </si>
  <si>
    <t>CHN ou Henny</t>
  </si>
  <si>
    <t>Transport compost - végétaux</t>
  </si>
  <si>
    <t>Incinération encombrants</t>
  </si>
  <si>
    <t>Incinération déchêts communaux</t>
  </si>
  <si>
    <t>Incinération OM (sacs taxés)</t>
  </si>
  <si>
    <t>.31</t>
  </si>
  <si>
    <t>.32</t>
  </si>
  <si>
    <t>.33</t>
  </si>
  <si>
    <t>SADEC</t>
  </si>
  <si>
    <t>Retro SADEC</t>
  </si>
  <si>
    <t>Entretien 2 terrains foot, Gazon  et fertilisation  / divers travaux arrosage, transp benne (plus CHN)</t>
  </si>
  <si>
    <t>.40</t>
  </si>
  <si>
    <t>Taxe taitement sur herbe et branche</t>
  </si>
  <si>
    <t>BGS compost</t>
  </si>
  <si>
    <t>.41</t>
  </si>
  <si>
    <t>Ecorecyclage</t>
  </si>
  <si>
    <t>Remboursements et participations de tiers - autres</t>
  </si>
  <si>
    <t>Remboursements et participations de tiers - SADEC</t>
  </si>
  <si>
    <t>Retro Texaid, Birchler, Rétripa</t>
  </si>
  <si>
    <t>CHN ou Henny ou Rétripa</t>
  </si>
  <si>
    <t xml:space="preserve">Part aux communes et assoc intercomm - Huiles </t>
  </si>
  <si>
    <t>Altola</t>
  </si>
  <si>
    <t>.42</t>
  </si>
  <si>
    <t>Déchêts spéciaux - Prangins</t>
  </si>
  <si>
    <t>Huiles</t>
  </si>
  <si>
    <t>CHN ou Henny ou Sotridec (service forestier - déchêts organiques)</t>
  </si>
  <si>
    <t>compte de bilan - refacturé</t>
  </si>
  <si>
    <t>compte de bilan - refacturé (sinon 7301)</t>
  </si>
  <si>
    <t>Prestations de services tiers - non refacturés</t>
  </si>
  <si>
    <t>3144</t>
  </si>
  <si>
    <t>3160</t>
  </si>
  <si>
    <t>Loyers et baux à ferme des biens-fonds</t>
  </si>
  <si>
    <t>3181</t>
  </si>
  <si>
    <t>Pertes sur créances effectives</t>
  </si>
  <si>
    <t>Débiteurs non solvables à mettre dans les pertes sur créances par fonction (eau, ordures, autres) - si crédit aussi dans ce comtpe</t>
  </si>
  <si>
    <t>Taxes d'utilisation et prestations de service - entreprises</t>
  </si>
  <si>
    <t>Taxes d'utilisation et prestations de service - ménages</t>
  </si>
  <si>
    <t>4510</t>
  </si>
  <si>
    <t>Prélèvements aux fonds et financement spéciaux</t>
  </si>
  <si>
    <t>73010</t>
  </si>
  <si>
    <t>72000</t>
  </si>
  <si>
    <t>APEC-  POUR LEPURATION DES EAUX USEES</t>
  </si>
  <si>
    <t>Taxe épuration avec déduction des sous-compteurs</t>
  </si>
  <si>
    <t>Taxes d'utilisation et prestations de service - épuration</t>
  </si>
  <si>
    <t>02100</t>
  </si>
  <si>
    <t>Emoluments pour actes administratifs - naturalisations</t>
  </si>
  <si>
    <t>Honoraires conseils externes, spécialistes - naturalisations</t>
  </si>
  <si>
    <t>3910</t>
  </si>
  <si>
    <t>4910</t>
  </si>
  <si>
    <t>FL, FR, ANB</t>
  </si>
  <si>
    <t>FL, FR 40%</t>
  </si>
  <si>
    <t>ANB, FR 10%</t>
  </si>
  <si>
    <t>FR 10%</t>
  </si>
  <si>
    <t>4250</t>
  </si>
  <si>
    <t>Recettes sur ventes</t>
  </si>
  <si>
    <t>DGE faune alliée</t>
  </si>
  <si>
    <t>4611</t>
  </si>
  <si>
    <t>4000</t>
  </si>
  <si>
    <t>62990</t>
  </si>
  <si>
    <t>Prestations de services tiers - cartes CFF</t>
  </si>
  <si>
    <t>Recettes sur ventes - cartes CFF</t>
  </si>
  <si>
    <t>99000</t>
  </si>
  <si>
    <t>4894</t>
  </si>
  <si>
    <t>Prélèvement sur la réserve de politique budgétaire</t>
  </si>
  <si>
    <t>Amende de soustraction d'impôts</t>
  </si>
  <si>
    <t>91000</t>
  </si>
  <si>
    <t>4001</t>
  </si>
  <si>
    <t>4002</t>
  </si>
  <si>
    <t>4011</t>
  </si>
  <si>
    <t>Impôt sur la fortune - PP</t>
  </si>
  <si>
    <t>Impôt sur le revenu - PP</t>
  </si>
  <si>
    <t>4009</t>
  </si>
  <si>
    <t>Impôt spécial étrangers</t>
  </si>
  <si>
    <t>Impôt bénéfice PM</t>
  </si>
  <si>
    <t>4010</t>
  </si>
  <si>
    <t>4019</t>
  </si>
  <si>
    <t>Impôt sur les immeubles</t>
  </si>
  <si>
    <t>4021</t>
  </si>
  <si>
    <t>4023</t>
  </si>
  <si>
    <t>Droits de mutation</t>
  </si>
  <si>
    <t>4024</t>
  </si>
  <si>
    <t>Impôt successions et donations</t>
  </si>
  <si>
    <t>4033</t>
  </si>
  <si>
    <t>4401</t>
  </si>
  <si>
    <t>14000</t>
  </si>
  <si>
    <t>Patentes et concessions</t>
  </si>
  <si>
    <t>SPEI - police du commercie - sinon émoluments administratifs 02200.4210</t>
  </si>
  <si>
    <t>96100</t>
  </si>
  <si>
    <t>Intérêts de retard sur factures et sur acomptes</t>
  </si>
  <si>
    <t>95000</t>
  </si>
  <si>
    <t>Impôt sur les frontaliers</t>
  </si>
  <si>
    <t>RFFA</t>
  </si>
  <si>
    <t>3400</t>
  </si>
  <si>
    <t>Intérêts  bonifiés, rémun, compensatoires</t>
  </si>
  <si>
    <t>3499</t>
  </si>
  <si>
    <t>Remises PP et IS</t>
  </si>
  <si>
    <t>3180</t>
  </si>
  <si>
    <t>Debit et crédit</t>
  </si>
  <si>
    <t>Commission perception  - ACI</t>
  </si>
  <si>
    <t xml:space="preserve"> Emoluments</t>
  </si>
  <si>
    <t>Imputation étrangers IIE +</t>
  </si>
  <si>
    <t>Commission perception IS- anciennement 3186</t>
  </si>
  <si>
    <t>3158</t>
  </si>
  <si>
    <t>3401</t>
  </si>
  <si>
    <t>Intérêts passifs sur emprunts</t>
  </si>
  <si>
    <t>3409</t>
  </si>
  <si>
    <t>Autres intérêts passifs</t>
  </si>
  <si>
    <t>93000</t>
  </si>
  <si>
    <t>Péréquation financière - compensation charges aux communes</t>
  </si>
  <si>
    <t>Péréquation financière - compensation charges aux communes N-1</t>
  </si>
  <si>
    <t>3622</t>
  </si>
  <si>
    <t>4622</t>
  </si>
  <si>
    <t>Péréquation - Parts aux Cantons (Réforme)</t>
  </si>
  <si>
    <t>Péréquation - Parts aux Cantons (Réforme) N-1</t>
  </si>
  <si>
    <t>CAD int 0.25%CHF 600'000 du 01.01 au 31.12 = 1625CHF</t>
  </si>
  <si>
    <t>4420</t>
  </si>
  <si>
    <t>Dividendes - actions</t>
  </si>
  <si>
    <t>Intérêts sur créances - CAD</t>
  </si>
  <si>
    <t>4429</t>
  </si>
  <si>
    <t xml:space="preserve"> Revnu brut actions Romande Energie 18K</t>
  </si>
  <si>
    <t>Raiffeisen, remunerations parts sociales</t>
  </si>
  <si>
    <t>Autres revenus de participations - Raiffeisen</t>
  </si>
  <si>
    <t>4400</t>
  </si>
  <si>
    <t>Intérêts des liquidités- comptes courants</t>
  </si>
  <si>
    <t>Romande Ernergie taxe usage du sol / 2025 incl 2024 pour 51K</t>
  </si>
  <si>
    <t>Commandements de payer Chéserex 4.7K et ORR</t>
  </si>
  <si>
    <t>Remboursements frais de poursuite - ACI</t>
  </si>
  <si>
    <t>Autres frais de poursuite - ORR</t>
  </si>
  <si>
    <t>retour de frais de poursuite ORR (débours)</t>
  </si>
  <si>
    <t>Incl TVA si possible (avec détails sur la facture)</t>
  </si>
  <si>
    <t>Debit ici puis crédit vers 71000 4240 .01/.02</t>
  </si>
  <si>
    <t>Soumis TVA</t>
  </si>
  <si>
    <t>Recettes sur ventes - ACP Plaquettes</t>
  </si>
  <si>
    <t>.56</t>
  </si>
  <si>
    <t>Parts aux communes et associations intercommunales - ACP Plaquettes TVA</t>
  </si>
  <si>
    <t>Recettes sur ventes - ACP Plaquettes TVA</t>
  </si>
  <si>
    <t>Remboursement 2024 en 2025</t>
  </si>
  <si>
    <t>Impôts, taxes - TVA Pmt</t>
  </si>
  <si>
    <t>4290</t>
  </si>
  <si>
    <t>MCH1</t>
  </si>
  <si>
    <t>MCH2</t>
  </si>
  <si>
    <t>sinon 81800 en PA</t>
  </si>
  <si>
    <t>PF - Terrains</t>
  </si>
  <si>
    <t>PF - La Chèvrerie</t>
  </si>
  <si>
    <t>PA - Forêts</t>
  </si>
  <si>
    <t>02900</t>
  </si>
  <si>
    <t>02901</t>
  </si>
  <si>
    <t>PA- Stand de tir</t>
  </si>
  <si>
    <t>16100</t>
  </si>
  <si>
    <t>96301</t>
  </si>
  <si>
    <t>96302</t>
  </si>
  <si>
    <t>02902</t>
  </si>
  <si>
    <t>96303</t>
  </si>
  <si>
    <t>96304</t>
  </si>
  <si>
    <t>96305</t>
  </si>
  <si>
    <t>PA - Eglise</t>
  </si>
  <si>
    <t>02903</t>
  </si>
  <si>
    <t>02904</t>
  </si>
  <si>
    <t>PA - Le Pavillon</t>
  </si>
  <si>
    <t>96306</t>
  </si>
  <si>
    <t>02905</t>
  </si>
  <si>
    <t>96307</t>
  </si>
  <si>
    <t>96308</t>
  </si>
  <si>
    <t>3431</t>
  </si>
  <si>
    <t>4430</t>
  </si>
  <si>
    <t>3145</t>
  </si>
  <si>
    <t>Parc Jura Vaudois</t>
  </si>
  <si>
    <t>Subventions accordées aux communes et associations  - Fondation du Bois de Chênes</t>
  </si>
  <si>
    <t>4631</t>
  </si>
  <si>
    <t>Subvention des cantons et concordats</t>
  </si>
  <si>
    <t>4632</t>
  </si>
  <si>
    <t>Subvention des communes et associations intercommunales</t>
  </si>
  <si>
    <t>Parc Jura Vaudois = association 35 communes</t>
  </si>
  <si>
    <t>3430</t>
  </si>
  <si>
    <t>incl. La Colline car pas dans la convention / incl amodiataires</t>
  </si>
  <si>
    <t>Tavaux Ponctuels, biens-fonds PF</t>
  </si>
  <si>
    <t>Entretien courant, biens-fonds PF</t>
  </si>
  <si>
    <t>Loyers et fermages, immeubles du PF</t>
  </si>
  <si>
    <t>loyers aux amodiataires</t>
  </si>
  <si>
    <t>Paulo sous les salaires de la voirie - sinon tout seul dans 1 compte</t>
  </si>
  <si>
    <t>Frais Assurances</t>
  </si>
  <si>
    <t>Matériel d'exploitation, petites fournitures</t>
  </si>
  <si>
    <t>3110</t>
  </si>
  <si>
    <t>Meubles et appareils de bureau</t>
  </si>
  <si>
    <t>&lt; seuil activation</t>
  </si>
  <si>
    <t>dans le réel split selon les bâtiments</t>
  </si>
  <si>
    <t>EDI et Mac -&gt; à transférer chez Valaur ?</t>
  </si>
  <si>
    <t>Genolier CAD SA , Location locaux chauffreie CAD 2025</t>
  </si>
  <si>
    <t>Salt Mobile SA, R. 1900009726 du 31.01.2025</t>
  </si>
  <si>
    <t>Locations annuelles place de parking</t>
  </si>
  <si>
    <t>Swisscom, Loyer 2025, antenne clocher église Parc. 52</t>
  </si>
  <si>
    <t>von Wyl Adrian, Bail à loyer : ancienne station de pompage-Ch de la source</t>
  </si>
  <si>
    <t>oui</t>
  </si>
  <si>
    <t>4470</t>
  </si>
  <si>
    <t>Loyers et fermages des biens-fonds PA</t>
  </si>
  <si>
    <t>61510</t>
  </si>
  <si>
    <t>Loyers et fermages des biens-fonds PA - parkings</t>
  </si>
  <si>
    <t>Loyers et fermages des biens-fonds PA - antenne Swisscom</t>
  </si>
  <si>
    <t>Loyers et fermages des biens-fonds PA - antenne Salt</t>
  </si>
  <si>
    <t>AISGE - Vidéosurveillance</t>
  </si>
  <si>
    <t>4499</t>
  </si>
  <si>
    <t>Autres revenus financiers - locations du générateur</t>
  </si>
  <si>
    <t>4432</t>
  </si>
  <si>
    <t>jetons buanderie</t>
  </si>
  <si>
    <t>Autres charges de biens-fonds PF - Eau</t>
  </si>
  <si>
    <t>Autres charges de biens-fonds PF - Electricité</t>
  </si>
  <si>
    <t>wifi 700e</t>
  </si>
  <si>
    <t>4472</t>
  </si>
  <si>
    <t>Frais de chauffage PA</t>
  </si>
  <si>
    <t>Frais d'électricité PA</t>
  </si>
  <si>
    <t>Frais d'eau PA</t>
  </si>
  <si>
    <t>Frais Assurances PA</t>
  </si>
  <si>
    <t>Matériel d'exploitation, petites fournitures PA</t>
  </si>
  <si>
    <t>Meubles et appareils de bureau PA</t>
  </si>
  <si>
    <t>Machines, appareils PA</t>
  </si>
  <si>
    <t>Véhicules PA</t>
  </si>
  <si>
    <t>Entretien des bâtiments, immeubles PA</t>
  </si>
  <si>
    <t>Indemnités d'utilisation d'infrastructures cuisines Gossan</t>
  </si>
  <si>
    <t>Location tables, bancs, etc</t>
  </si>
  <si>
    <t>four de la caserne</t>
  </si>
  <si>
    <t>Parking, poulets, pizza</t>
  </si>
  <si>
    <t>(vide)</t>
  </si>
  <si>
    <t>-&gt; séparer frais à charge de la commune des frais à charge des appartements</t>
  </si>
  <si>
    <t>Location Bac à sable</t>
  </si>
  <si>
    <t>Location Pavillon</t>
  </si>
  <si>
    <t>SDIS NYON-DOLE, Location local pompiers (intercommunal à Nyon)</t>
  </si>
  <si>
    <t>Réévaluation provision d'impôts</t>
  </si>
  <si>
    <t>Perte sur créances effective</t>
  </si>
  <si>
    <t>Réévaluation provision factures eau</t>
  </si>
  <si>
    <t xml:space="preserve"> </t>
  </si>
  <si>
    <t>Remboursements et participations de tiers - retro SADEC</t>
  </si>
  <si>
    <t>Ext</t>
  </si>
  <si>
    <t>Entretien des forêts - Autres</t>
  </si>
  <si>
    <t>intérêts sur les CC (2025 placements)</t>
  </si>
  <si>
    <t>Selon fichier Péréquation</t>
  </si>
  <si>
    <t>Secrétaire + aide au dépouillement</t>
  </si>
  <si>
    <t>Virginie, Danielle</t>
  </si>
  <si>
    <t>fleurs, cartes vœux, resto Vicrignie avec Greg par exemple</t>
  </si>
  <si>
    <t>On sort tout du 02201</t>
  </si>
  <si>
    <t>cameras,</t>
  </si>
  <si>
    <t>Assurance inventaires et RC</t>
  </si>
  <si>
    <t>Prime assurances - Inventaire et RC</t>
  </si>
  <si>
    <t>Fonction</t>
  </si>
  <si>
    <t>Greffe</t>
  </si>
  <si>
    <t>Bourse</t>
  </si>
  <si>
    <t>Contrôle des habitants</t>
  </si>
  <si>
    <t>Charges</t>
  </si>
  <si>
    <t>3910 / 4910</t>
  </si>
  <si>
    <t>Autres imputations internes</t>
  </si>
  <si>
    <t>RC, Eau, papier, ECA, photocopies, repas avec la préfecture, …</t>
  </si>
  <si>
    <t>Restaurants</t>
  </si>
  <si>
    <t>Participation fuite clinique de Genolier</t>
  </si>
  <si>
    <t>Remb sinitres accurances</t>
  </si>
  <si>
    <t>CHN ou Henny ou Retripa</t>
  </si>
  <si>
    <t>Attribution</t>
  </si>
  <si>
    <t>Prélèvement</t>
  </si>
  <si>
    <t>Patrimoine Administratif</t>
  </si>
  <si>
    <t>Patrimoine Financier</t>
  </si>
  <si>
    <t>PF - Terrains et Pâturages</t>
  </si>
  <si>
    <t>PA- Bâtiments communaux (à séparer quand on recevra les factures)</t>
  </si>
  <si>
    <t>Refacuration écolage (autre commune)</t>
  </si>
  <si>
    <t>Exemple autres:</t>
  </si>
  <si>
    <t>Locations : kiosque, terrains communaux Bolay - Wyss - Tissot - Baugartner (rucher), places parking, bois de Chêne, la Colonie 39K,</t>
  </si>
  <si>
    <t>TERRAIN D'ATHLETISME : 1'200 m2 x CHF 1.00 (dès 1.1.2012)</t>
  </si>
  <si>
    <t>AISGE TERRAIN D'ATHLETISME : 1'200 m2 x CHF 1.00 (dès 1.1.2012)</t>
  </si>
  <si>
    <r>
      <t>TERRAIN DU COMPLEXE SCOLAIRE "CORDEX &amp; OUJON" : 8'360 m</t>
    </r>
    <r>
      <rPr>
        <vertAlign val="superscript"/>
        <sz val="11"/>
        <rFont val="Century Gothic"/>
        <family val="2"/>
      </rPr>
      <t>2</t>
    </r>
    <r>
      <rPr>
        <sz val="11"/>
        <rFont val="Century Gothic"/>
        <family val="2"/>
      </rPr>
      <t xml:space="preserve"> x CHF 1.00 </t>
    </r>
  </si>
  <si>
    <r>
      <t>AISGE TERRAIN DU COMPLEXE SCOLAIRE "CORDEX &amp; OUJON" : 8'360 m</t>
    </r>
    <r>
      <rPr>
        <vertAlign val="superscript"/>
        <sz val="11"/>
        <rFont val="Century Gothic"/>
        <family val="2"/>
      </rPr>
      <t>2</t>
    </r>
    <r>
      <rPr>
        <sz val="11"/>
        <rFont val="Century Gothic"/>
        <family val="2"/>
      </rPr>
      <t xml:space="preserve"> x CHF 1.00 </t>
    </r>
  </si>
  <si>
    <t>C O  M  M  U  N  E    D  E    G E N O L I E R</t>
  </si>
  <si>
    <t>L O C A T I O N   D E S   B Â T I M E N T S   D U   "LE G O S S A N"  E T   "1912 - LE M O N T A N T"</t>
  </si>
  <si>
    <t>LOYERS           2 0 27</t>
  </si>
  <si>
    <t>CHF</t>
  </si>
  <si>
    <t>COÛTS :</t>
  </si>
  <si>
    <t>LOYER ANNUEL "LE GOSSAN" y compris FRAIS ENTRETIEN : REFECTOIRE, CUISINE,</t>
  </si>
  <si>
    <t>IPC Dec 25</t>
  </si>
  <si>
    <t>IPC Dec 24</t>
  </si>
  <si>
    <t>IPC Dec 23</t>
  </si>
  <si>
    <t>IPC Dec 22</t>
  </si>
  <si>
    <t>SALLE GYM et REPOS (forfait) (IPC 109.3 déc. 25)</t>
  </si>
  <si>
    <t>LOYER ANNUEL "LE MONTANT" : COLLEGE 1912 (IPC 109.3 déc. 25)</t>
  </si>
  <si>
    <t>forfait</t>
  </si>
  <si>
    <t>AISGE - Loyers PA - Bât non mentionnés ailleurs - Salle du 700e / Anc. Station pompage che. De la Source / locaux chaufferie du CAD / Cordex-Oujon</t>
  </si>
  <si>
    <t>ENTRETIEN DES TERRAINS DE SPORTS : 9'000 m2 x CHF 0.50/M2 (forfait)</t>
  </si>
  <si>
    <t>LOYER ANNUEL "CENTRE DE JEUNES" (forfait)</t>
  </si>
  <si>
    <t>LOYER ANNUEL "CLASSE S PARKING" (forfait)</t>
  </si>
  <si>
    <t>COÛT ANNUEL, SELON CONTRAT ENTRE LA COMMUNE DE GENOLIER ET AISGE</t>
  </si>
  <si>
    <t>N° Facture</t>
  </si>
  <si>
    <t xml:space="preserve">Les objets suivants font l'objet d'une facture à part </t>
  </si>
  <si>
    <t>IPC dec 24</t>
  </si>
  <si>
    <t>IPC Jun 23</t>
  </si>
  <si>
    <t>LOYER ANNUEL "BUREAU AISGE, LE MONTANT (IPC 107.8 déc. 24 )</t>
  </si>
  <si>
    <t>VIDEOSURVEILLANCE</t>
  </si>
  <si>
    <t>FORFAIT EAU</t>
  </si>
  <si>
    <t>Darmon André</t>
  </si>
  <si>
    <t>Fallet Evelyne</t>
  </si>
  <si>
    <t>Favre Gregory</t>
  </si>
  <si>
    <t>Syndic</t>
  </si>
  <si>
    <t>Municipale des écoles</t>
  </si>
  <si>
    <t>Municipal des finances</t>
  </si>
  <si>
    <t xml:space="preserve">Genolier, le </t>
  </si>
  <si>
    <t>AISGE - loyers terrains de sport</t>
  </si>
  <si>
    <t>Canton, Commune, Association</t>
  </si>
  <si>
    <t>Oui</t>
  </si>
  <si>
    <t>Non</t>
  </si>
  <si>
    <t>36xx</t>
  </si>
  <si>
    <t>Charges de transfert</t>
  </si>
  <si>
    <t>Exploitation</t>
  </si>
  <si>
    <t xml:space="preserve">ou </t>
  </si>
  <si>
    <t>Financier</t>
  </si>
  <si>
    <t>31xx</t>
  </si>
  <si>
    <t>34xx / 44xx</t>
  </si>
  <si>
    <t>Travail physique = entretien</t>
  </si>
  <si>
    <t>314x</t>
  </si>
  <si>
    <t>Travail intellectuel = prestations de services + honoraires</t>
  </si>
  <si>
    <t>313x</t>
  </si>
  <si>
    <t>Demander à Valaur de:</t>
  </si>
  <si>
    <t xml:space="preserve">-&gt; au minima: ligne assurance séparée </t>
  </si>
  <si>
    <t>Répartition à faire</t>
  </si>
  <si>
    <t>ventes livres</t>
  </si>
  <si>
    <t>APG</t>
  </si>
  <si>
    <t>3169</t>
  </si>
  <si>
    <t>Autres loyers et frais d'utilisation - location timbreuse</t>
  </si>
  <si>
    <t>Split du compte</t>
  </si>
  <si>
    <t>location timbreuse Quadient</t>
  </si>
  <si>
    <t>AVDCH - ASSOCIATION VAUDOISE DES CONTROLES DES HA (pas là) 02210</t>
  </si>
  <si>
    <t>Artionet assurance 2.5K, AZ informatique ébergeent eseance 0.8 (achat ordi 3113 / 3153 entretien maintenance informatique ordi à réparer)</t>
  </si>
  <si>
    <t>frais Postfinance et Twint &gt; dans 99xxx</t>
  </si>
  <si>
    <t>Entretien des immobilisations incorporelles - informatique</t>
  </si>
  <si>
    <t>spliter la facture voirie avant de mettre dans le 02201</t>
  </si>
  <si>
    <t xml:space="preserve">au pro-rata des salaires </t>
  </si>
  <si>
    <t>3190/4910</t>
  </si>
  <si>
    <t>-&gt; et à faire en 1 écriture</t>
  </si>
  <si>
    <t>Imputations internes - Bourse</t>
  </si>
  <si>
    <t>Imputations internes  - Contrôle des habitants</t>
  </si>
  <si>
    <t>Imputations internes - Greffe</t>
  </si>
  <si>
    <t>Service technique</t>
  </si>
  <si>
    <t>Debit 2025</t>
  </si>
  <si>
    <t>Credit 2025</t>
  </si>
  <si>
    <t>Total 2025</t>
  </si>
  <si>
    <t>Debit 2026 Budget</t>
  </si>
  <si>
    <t>Credit 2026 Budget</t>
  </si>
  <si>
    <t>Juin 2026</t>
  </si>
  <si>
    <t>Total Budget 2026</t>
  </si>
  <si>
    <t xml:space="preserve">AVDCH - ASSOCIATION VAUDOISE DES CONTROLES DES HA </t>
  </si>
  <si>
    <t>Artionet, AZ Informatique, OFISA, Ninjy One, Azur, M. 365, Tipee, Rapido</t>
  </si>
  <si>
    <t>Attributions aux fonds affectés</t>
  </si>
  <si>
    <t>Autres actifs de régularisation, refacturation SDIS Bilan</t>
  </si>
  <si>
    <t>Autres charges de biens-fonds PF - Assurances</t>
  </si>
  <si>
    <t>Autres charges de biens-fonds PF - Chauffage</t>
  </si>
  <si>
    <t>Autres charges de biens-fonds PF - Frais de gérance</t>
  </si>
  <si>
    <t>Stand de Tir - Frais entretien courants (convention)</t>
  </si>
  <si>
    <t>Stand de tir - Frais entretien ponctuels (convention)</t>
  </si>
  <si>
    <t>PF - Bât Maison Gothique / Village 3</t>
  </si>
  <si>
    <t>PF - Bât Epicerie / Cézille 2</t>
  </si>
  <si>
    <t>PF - Bât Auberge communale / Village 9</t>
  </si>
  <si>
    <t>PF - Bât D'une Fontaine à l'autre / Derrière l'Eglise 1-3</t>
  </si>
  <si>
    <t>PF - Bât Boucherie / Village 9</t>
  </si>
  <si>
    <t>PF - Bât Source Vive / Gare 10</t>
  </si>
  <si>
    <t>PF - Bât Caserne appartements / Bregentenaz 10</t>
  </si>
  <si>
    <t>PF - Bât Pharmacie / Gare 5</t>
  </si>
  <si>
    <t>PA - Bât non mentionnés ailleurs : Salle du 700e / Anc. Station pompage che. De la Source / locaux chaufferie du CAD / Cordex-Oujon</t>
  </si>
  <si>
    <t>PA - Bât 1912, Le Montant, Vieux-Collège / Duillier 9</t>
  </si>
  <si>
    <t>PA - Salles communales : Le Gossan, Le Garage</t>
  </si>
  <si>
    <t>PA - Caserne de pompiers / Bregentenaz 10</t>
  </si>
  <si>
    <t>Concessions - Jardin du souvenir</t>
  </si>
  <si>
    <t>Entretien des routes - chemins forestiers</t>
  </si>
  <si>
    <t>Entretien des routes - déneigement</t>
  </si>
  <si>
    <t>Phanee de Pool</t>
  </si>
  <si>
    <t>Anne-Lise Bariatti</t>
  </si>
  <si>
    <t>Imputation interne FL, FR</t>
  </si>
  <si>
    <t>Imputation intene ANB, FR</t>
  </si>
  <si>
    <t>Bruger, Bindin, Bariatti</t>
  </si>
  <si>
    <t>Blum, Tavel, De Matos, Quentin</t>
  </si>
  <si>
    <t>Regroupement en 61500 et 73000</t>
  </si>
  <si>
    <t>Imputations internes - Service technique</t>
  </si>
  <si>
    <t>CM</t>
  </si>
  <si>
    <t>NRTV</t>
  </si>
  <si>
    <t>Subventions accordées aux communes et associations  - dons</t>
  </si>
  <si>
    <t>Subventions accordées aux ménages privés - dons</t>
  </si>
  <si>
    <t>Entretien des bâtiments, immeubles PA - Bâtiment communaux</t>
  </si>
  <si>
    <t>Entretien des bâtiments, immeubles PA - Déchetterie et Eco-points</t>
  </si>
  <si>
    <t>Dédommagement des communes et associations intercommunales - Chéserex</t>
  </si>
  <si>
    <t>Dédommagement des communes et associations intercommunales  - taxes de séjour</t>
  </si>
  <si>
    <t>Dédommagement des communes et associations intercommunales - AISGE - Vidéosurveillance</t>
  </si>
  <si>
    <t>Dédommagement des communes et associations intercommunales - SDIS</t>
  </si>
  <si>
    <t xml:space="preserve">Dédommagement des communes et associations intercommunales </t>
  </si>
  <si>
    <t>Parts aux communes et assoc intercomm - taxes de séjour</t>
  </si>
  <si>
    <t>Parts aux communes et assoc intercomm - Parutions &amp; autres</t>
  </si>
  <si>
    <t>Parts aux communes et assoc intercomm - DISREN</t>
  </si>
  <si>
    <t>Bariatti, Brugger, Bindin</t>
  </si>
  <si>
    <t>mieux budgéter</t>
  </si>
  <si>
    <t>Attributions aux fonds et financements spéciaux</t>
  </si>
  <si>
    <t>Défalcation et abandon de solde</t>
  </si>
  <si>
    <t>Honoraires conseils externes, spécialistes (frelon, scarabée, moustique …)</t>
  </si>
  <si>
    <t>Matériel d'exploitation, essence</t>
  </si>
  <si>
    <t>Parts aux communes et assoc intercomm</t>
  </si>
  <si>
    <t>Parts aux communes et assoc intercomm - Entretien des forêts - Group. Forest. La Colline (hors contrat)</t>
  </si>
  <si>
    <t>Parts aux communes et assoc intercomm - Entretien des forêts - Frais de triage - Contrat Group. Forest. La Colline</t>
  </si>
  <si>
    <t>Parts aux communes et assoc intercomm - Aménagement du territoire - mobilité régionale</t>
  </si>
  <si>
    <t>Parts aux communes et assoc intercomm - Ville de Nyon - centre funéraire</t>
  </si>
  <si>
    <t>Parts aux communes et assoc intercomm - Huiles (Prangins)</t>
  </si>
  <si>
    <t>Parts aux communes et assoc intercomm - APEC</t>
  </si>
  <si>
    <t>Parts aux communes et assoc intercomm - AISGE - Coûts scolaires</t>
  </si>
  <si>
    <t>Parts aux communes et assoc intercomm - AISGE - Loyers</t>
  </si>
  <si>
    <t>Parts aux communes et assoc intercomm - AISGE - Transports</t>
  </si>
  <si>
    <t>Parts aux communes et assoc intercomm - Ville de Nyon - orientation</t>
  </si>
  <si>
    <t>Parts aux communes et assoc intercomm - Parts aux communes et assoc intercomm</t>
  </si>
  <si>
    <t>Parts aux communes et assoc intercomm - SDIS</t>
  </si>
  <si>
    <t>Parts aux communes et assoc intercomm - ORPC</t>
  </si>
  <si>
    <t>Parts aux communes et assoc intercomm - Crèches</t>
  </si>
  <si>
    <t>Parts aux communes et assoc intercomm - UAPE</t>
  </si>
  <si>
    <t>Parts aux communes et assoc intercomm - ARAS</t>
  </si>
  <si>
    <t>Parts aux communes et assoc intercomm - Ville de Gland</t>
  </si>
  <si>
    <t>Parts aux communes et assoc intercomm - ACP Plaquettes</t>
  </si>
  <si>
    <t>Parts aux communes et assoc intercomm - Region Nyon</t>
  </si>
  <si>
    <t>Péréquations financière  - ligne de trafic régional - DGMR</t>
  </si>
  <si>
    <t>Péréquations financière  cohésion sociale</t>
  </si>
  <si>
    <t>Péréquations financière  cohésion sociale N-1</t>
  </si>
  <si>
    <t>Prestations de services tiers - télécommunications</t>
  </si>
  <si>
    <t>Prestations de services tiers - télécommunications (cameras)</t>
  </si>
  <si>
    <t>Signalisation routière</t>
  </si>
  <si>
    <t>Impôt sur le capital - PM</t>
  </si>
  <si>
    <t>Parts des revenus destinés au canton - SPOP</t>
  </si>
  <si>
    <t>Taxe d'utilisation - Romande Energie</t>
  </si>
  <si>
    <t>Réévaluation sur créances - impôts</t>
  </si>
  <si>
    <t>Remboursements de frais effectifs km</t>
  </si>
  <si>
    <t>Remboursements et participation de tiers</t>
  </si>
  <si>
    <t>Frais bancaires et Twint</t>
  </si>
  <si>
    <t>Dédommagement des communes et associations intercommunales - AISGE - loyers et entretien terrains de sport</t>
  </si>
  <si>
    <t>Parts aux cantons - SAGEFI service hivernal</t>
  </si>
  <si>
    <t>Prestations de services tiers - clinique dentaire</t>
  </si>
  <si>
    <t>Subvention des canton</t>
  </si>
  <si>
    <t>AISGE - Loyers PA  - Bât 1912 / Le Montant / Vieux-Collège - Duillier 9 - Ecole, Bureaux, Centre Jeunes</t>
  </si>
  <si>
    <t>Loyers AISGE</t>
  </si>
  <si>
    <t>Dédommagement des communes et associations intercommunales - AISGE - Loyers Le Gossan</t>
  </si>
  <si>
    <t>parking AISGE</t>
  </si>
  <si>
    <t>Loyers et fermages des biens-fonds PA - AISGE parkings</t>
  </si>
  <si>
    <t>AISGE parkings</t>
  </si>
  <si>
    <t>Le Montant - ecole. Bureau , centre jeunes</t>
  </si>
  <si>
    <t>Matériel d'exploitation, petites fournitures - fleurs</t>
  </si>
  <si>
    <t>Matériel d'exploitation, petites fournitures - compteurs</t>
  </si>
  <si>
    <t>Matériel d'exploitation, petites fournitures - SAPAN</t>
  </si>
  <si>
    <t>Frais assurances - Inventaire et RC</t>
  </si>
  <si>
    <t>Frais assurances</t>
  </si>
  <si>
    <t>Emoluments pour actes administratifs - permis SPOP</t>
  </si>
  <si>
    <t>Loyers et fermages des biens-fonds PA - location du Pavillon</t>
  </si>
  <si>
    <t>3212/3221</t>
  </si>
  <si>
    <t>Dicastere</t>
  </si>
  <si>
    <t>FLA, ABO, FRO, CMO</t>
  </si>
  <si>
    <t>CMO 100%</t>
  </si>
  <si>
    <t>DJA + VBO</t>
  </si>
  <si>
    <t>Salaires / AVS, LPP LAA..</t>
  </si>
  <si>
    <t>Blum, Tavel, De Matos, Quentin, Paulo</t>
  </si>
  <si>
    <t>Bariatti AL</t>
  </si>
  <si>
    <t>ABO 100%</t>
  </si>
  <si>
    <t>FRO 20%</t>
  </si>
  <si>
    <t>FLA, FRO 40% (attention %)</t>
  </si>
  <si>
    <t>% repart</t>
  </si>
  <si>
    <t>ETP (rapport de gestion)</t>
  </si>
  <si>
    <t>Eau DICI</t>
  </si>
  <si>
    <t>Henny</t>
  </si>
  <si>
    <t>= transport à 100%</t>
  </si>
  <si>
    <t>Transport et ???</t>
  </si>
  <si>
    <t>CHN</t>
  </si>
  <si>
    <t>Tranport et elim (taxe elim)</t>
  </si>
  <si>
    <t>Ecoreclclage</t>
  </si>
  <si>
    <t>retrocession ?</t>
  </si>
  <si>
    <t>Compte MCH1</t>
  </si>
  <si>
    <t>Libellé MCH1</t>
  </si>
  <si>
    <t>Fctio MCH2</t>
  </si>
  <si>
    <t>Nat MCH2</t>
  </si>
  <si>
    <t>Ext MCH2</t>
  </si>
  <si>
    <t>Libellé MCH2</t>
  </si>
  <si>
    <t>Autres charges de biens-fonds PF - Achat mobilier</t>
  </si>
  <si>
    <t>anciennement piquets -&gt; dans salaires depuis 1.1.2025</t>
  </si>
  <si>
    <t>DGE assinissemnet but de tir</t>
  </si>
  <si>
    <t>4411</t>
  </si>
  <si>
    <t>4439</t>
  </si>
  <si>
    <t>4309</t>
  </si>
  <si>
    <t>Autres revenus d’exploitation</t>
  </si>
  <si>
    <t>32200</t>
  </si>
  <si>
    <t>Honoraires conseils externes, spécialistes</t>
  </si>
  <si>
    <t>toujour à zéro en fin d'année</t>
  </si>
  <si>
    <t>00</t>
  </si>
  <si>
    <t>01</t>
  </si>
  <si>
    <t>02</t>
  </si>
  <si>
    <t>03</t>
  </si>
  <si>
    <t>04</t>
  </si>
  <si>
    <t>05</t>
  </si>
  <si>
    <t>07</t>
  </si>
  <si>
    <t>99</t>
  </si>
  <si>
    <t>09</t>
  </si>
  <si>
    <t>ADMIN1</t>
  </si>
  <si>
    <t>ADMIN3</t>
  </si>
  <si>
    <t>NAT1</t>
  </si>
  <si>
    <t>ADMIN2</t>
  </si>
  <si>
    <t>NAT2</t>
  </si>
  <si>
    <t>NAT3</t>
  </si>
  <si>
    <t>LIBELLÉ</t>
  </si>
  <si>
    <t>ADMIN1_N</t>
  </si>
  <si>
    <t>ADMIN2_N</t>
  </si>
  <si>
    <t>ADMIN3_N</t>
  </si>
  <si>
    <t>NAT1_N</t>
  </si>
  <si>
    <t>NAT2_N</t>
  </si>
  <si>
    <t>NAT3_N</t>
  </si>
  <si>
    <t>LIBELLÉ_N</t>
  </si>
  <si>
    <t>INVESTISSEMENT</t>
  </si>
  <si>
    <t>LIBELLÉ_SECTION_N</t>
  </si>
  <si>
    <t>SOC</t>
  </si>
  <si>
    <t>2025</t>
  </si>
  <si>
    <t>2026</t>
  </si>
  <si>
    <t>2027</t>
  </si>
  <si>
    <t>A trouver</t>
  </si>
  <si>
    <t>refonte site internet</t>
  </si>
  <si>
    <t>terrain foot</t>
  </si>
  <si>
    <t>terrain et patrimoine financier</t>
  </si>
  <si>
    <t>gare 5</t>
  </si>
  <si>
    <t>Brégent + mensurations cadastrales</t>
  </si>
  <si>
    <t>colleteurs</t>
  </si>
  <si>
    <t>conduites eau / forages</t>
  </si>
  <si>
    <t>machine mortes à réévaluer - voiture qui part à la casse (ici routes)</t>
  </si>
  <si>
    <t>Loyers et fermages, immeubles du PF | Terrains et Pâturages |</t>
  </si>
  <si>
    <t>Gain provenant des ventes des immobilisations PF |Terrains |</t>
  </si>
  <si>
    <t>Entretien courant |Terrains |</t>
  </si>
  <si>
    <t>Loyers et fermages | Terrains |</t>
  </si>
  <si>
    <t>Autres charges de biens-fonds PF | Terrains et Pâturages | Assurances</t>
  </si>
  <si>
    <t>Entretien courant | Terrains et Pâturages |</t>
  </si>
  <si>
    <t>Entretien ponctuel | Terrains et Pâturages |</t>
  </si>
  <si>
    <t>Entretien courant, biens-fonds PF | La Chèvrerie |</t>
  </si>
  <si>
    <t>Autres charges de biens-fonds PF  | Maison Gothique / Village 3 | Assurances</t>
  </si>
  <si>
    <t>Autres charges de biens-fonds PF | Maison Gothique / Village 3 | Electricité</t>
  </si>
  <si>
    <t>Autres charges de biens-fonds PF| Maison Gothique / Village 3 |  Eau</t>
  </si>
  <si>
    <t>Autres charges de biens-fonds PF | Maison Gothique / Village 3 | Chauffage</t>
  </si>
  <si>
    <t>Autres charges de biens-fonds PF | Maison Gothique / Village 3 | Frais de gérance</t>
  </si>
  <si>
    <t>Autres charges de biens-fonds PF | Maison Gothique / Village 3 | Achat mobilier</t>
  </si>
  <si>
    <t>Tavaux Ponctuels, biens-fonds PF | Maison Gothique / Village 3 |</t>
  </si>
  <si>
    <t>Entretien courant, biens-fonds PF | Maison Gothique / Village 3 |</t>
  </si>
  <si>
    <t>Loyers et fermages, immeubles du PF | Maison Gothique / Village 3 |</t>
  </si>
  <si>
    <t>Autres charges de biens-fonds PF  | Bât Epicerie / Cézille 2 | Achat mobilier</t>
  </si>
  <si>
    <t>Tavaux Ponctuels, biens-fonds PF | Bât Epicerie / Cézille 2 |</t>
  </si>
  <si>
    <t>Entretien courant, biens-fonds PF Bât | Bât Epicerie / Cézille 2 |</t>
  </si>
  <si>
    <t>Autres charges de biens-fonds PF | Bât Epicerie / Cézille 2 | Assurances</t>
  </si>
  <si>
    <t>Autres charges de biens-fonds PF | Bât Epicerie / Cézille 2 | Eau</t>
  </si>
  <si>
    <t>Autres charges de biens-fonds PF | Bât Epicerie / Cézille 2 | Electricité</t>
  </si>
  <si>
    <t>Autres charges de biens-fonds PF | Bât Epicerie / Cézille 2 | Chauffage</t>
  </si>
  <si>
    <t>Autres charges de biens-fonds PF | Bât Epicerie / Cézille 2 | Frais de gérance</t>
  </si>
  <si>
    <t>Entretien courant, biens-fonds PF| Bât Epicerie / Cézille 2 |</t>
  </si>
  <si>
    <t>Loyers et fermages, immeubles du PF | Bât Epicerie / Cézille 2 | Frais de gérance</t>
  </si>
  <si>
    <t>Paiement pour utilisation des immeubles PF | Bât Auberge communale / Village 9 |</t>
  </si>
  <si>
    <t>Entretien courant, biens-fonds PF | Bât Auberge communale / Village 9 |</t>
  </si>
  <si>
    <t>Tavaux Ponctuels, biens-fonds PF | Bât Auberge communale / Village 9 |</t>
  </si>
  <si>
    <t>Loyers et fermages, immeubles du PF | Bât Auberge communale / Village 9 |</t>
  </si>
  <si>
    <t>Autres charges de biens-fonds PF | Bât Auberge communale / Village 9 | Electricité</t>
  </si>
  <si>
    <t>Autres charges de biens-fonds PF | Bât Auberge communale / Village 9 | Chauffage</t>
  </si>
  <si>
    <t>Autres charges de biens-fonds PF | Bât Auberge communale / Village 9 | Frais de gérance</t>
  </si>
  <si>
    <t>Autres charges de biens-fonds PF | Bât Auberge communale / Village 9 | Eau</t>
  </si>
  <si>
    <t>Autres charges de biens-fonds PF | Bât Auberge communale / Village 9 |  Assurances</t>
  </si>
  <si>
    <t>Entretien courant, biens-fonds PF | Bât D'une Fontaine à l'autre / Derrière l'Eglise 1-3 |</t>
  </si>
  <si>
    <t>Autres charges de biens-fonds PF | Bât D'une Fontaine à l'autre / Derrière l'Eglise 1-3 | Eau</t>
  </si>
  <si>
    <t>Autres charges de biens-fonds PF | Bât D'une Fontaine à l'autre / Derrière l'Eglise 1-3 | Electricité</t>
  </si>
  <si>
    <t>Autres charges de biens-fonds PF | Bât D'une Fontaine à l'autre / Derrière l'Eglise 1-3 | Chauffage</t>
  </si>
  <si>
    <t>Autres charges de biens-fonds PF | Bât D'une Fontaine à l'autre / Derrière l'Eglise 1-3 | Frais de gérance</t>
  </si>
  <si>
    <t>Tavaux Ponctuels, biens-fonds PF | Bât D'une Fontaine à l'autre / Derrière l'Eglise 1-3 |</t>
  </si>
  <si>
    <t>Autres charges de biens-fonds PF | Bât D'une Fontaine à l'autre / Derrière l'Eglise 1-3 | Assurances</t>
  </si>
  <si>
    <t xml:space="preserve">Attributions aux fonds  PF | Bât D'une Fontaine à l'autre / Derrière l'Eglise 1-3 | </t>
  </si>
  <si>
    <t>Loyers et fermages, immeubles du PF | Bât D'une Fontaine à l'autre / Derrière l'Eglise 1-3 |</t>
  </si>
  <si>
    <t>Entretien courant, biens-fonds PF | Bât Boucherie / Village 9 |</t>
  </si>
  <si>
    <t>Autres charges de biens-fonds PF | Bât Boucherie / Village 9 | Eau</t>
  </si>
  <si>
    <t>Autres charges de biens-fonds PF | Bât Boucherie / Village 9 | Electricité</t>
  </si>
  <si>
    <t>Autres charges de biens-fonds PF | Bât Boucherie / Village 9 | Chauffage</t>
  </si>
  <si>
    <t>Autres charges de biens-fonds PF | Bât Boucherie / Village 9 | Frais de gérance</t>
  </si>
  <si>
    <t>Tavaux Ponctuels, biens-fonds PF | Bât Boucherie / Village 9 |</t>
  </si>
  <si>
    <t>Autres charges de biens-fonds PF | Bât Boucherie / Village 9 | Assurances</t>
  </si>
  <si>
    <t>Loyers et fermages, immeubles du PF | Bât Boucherie / Village 9 |</t>
  </si>
  <si>
    <t>Remboursements et participations de tiers PF | Bât Boucherie / Village 9 |</t>
  </si>
  <si>
    <t>Autres charges de biens-fonds PF | Bât Source Vive / Gare 10 | Achat mobilier</t>
  </si>
  <si>
    <t>Entretien courant, biens-fonds PF | Bât Source Vive / Gare 10 |</t>
  </si>
  <si>
    <t>Tavaux Ponctuels, biens-fonds PF | Bât Source Vive / Gare 10 |</t>
  </si>
  <si>
    <t>Autres charges de biens-fonds PF | Bât Source Vive / Gare 10 |  Assurances</t>
  </si>
  <si>
    <t>Autres charges de biens-fonds PF | Bât Source Vive / Gare 10 | Eau</t>
  </si>
  <si>
    <t>Autres charges de biens-fonds PF | Bât Source Vive / Gare 10 | Electricité</t>
  </si>
  <si>
    <t>Autres charges de biens-fonds PF | Bât Source Vive / Gare 10 |  Chauffage</t>
  </si>
  <si>
    <t>Autres charges de biens-fonds PF | Bât Source Vive / Gare 10 |  Frais de gérance</t>
  </si>
  <si>
    <t>Loyers et fermages, immeubles du PF  | Bât Source Vive / Gare 10 |</t>
  </si>
  <si>
    <t>Autres charges de biens-fonds PF | Bât Caserne appartements / Bregentenaz 10 | Eau</t>
  </si>
  <si>
    <t>Autres charges de biens-fonds PF | Bât Caserne appartements / Bregentenaz 10 | Electricité</t>
  </si>
  <si>
    <t>Autres charges de biens-fonds PF | Bât Caserne appartements / Bregentenaz 10 | Chauffage</t>
  </si>
  <si>
    <t>Autres charges de biens-fonds PF | Bât Caserne appartements / Bregentenaz 10 | Frais de gérance</t>
  </si>
  <si>
    <t>Autres charges de biens-fonds PF | Bât Caserne appartements / Bregentenaz 10 |Assurances</t>
  </si>
  <si>
    <t>Entretien courant, biens-fonds PF | Bât Caserne appartements / Bregentenaz 10 |</t>
  </si>
  <si>
    <t>Tavaux Ponctuels, biens-fonds PF | Bât Caserne appartements / Bregentenaz 10 |</t>
  </si>
  <si>
    <t>Loyers et fermages, immeubles du PF | Bât Caserne appartements / Bregentenaz 10 |</t>
  </si>
  <si>
    <t>Autres charges de biens-fonds PF | Bât Pharmacie / Gare 5 | Electricité</t>
  </si>
  <si>
    <t>Autres charges de biens-fonds PF | Bât Pharmacie / Gare 5 | Eau</t>
  </si>
  <si>
    <t>Autres charges de biens-fonds PF | Bât Pharmacie / Gare 5 | Chauffage</t>
  </si>
  <si>
    <t>Autres charges de biens-fonds PF | Bât Pharmacie / Gare 5 | Frais de gérance</t>
  </si>
  <si>
    <t>Autres charges de biens-fonds PF | Bât Pharmacie / Gare 5 | Assurances</t>
  </si>
  <si>
    <t xml:space="preserve">Entretien courant, biens-fonds PF | Bât Pharmacie / Gare 5 | </t>
  </si>
  <si>
    <t xml:space="preserve">Tavaux Ponctuels, biens-fonds PF | Bât Pharmacie / Gare 5 | </t>
  </si>
  <si>
    <t xml:space="preserve">Loyers et fermages, immeubles du PF | Bât Pharmacie / Gare 5 | </t>
  </si>
  <si>
    <t>Amortissements non planifiés des immobilisations corporelles PF | Terrains |</t>
  </si>
  <si>
    <t>Amortissements non planifiés des immobilisations corporelles PF  | Bât Pharmacie / Gare 5 | Assurances</t>
  </si>
  <si>
    <t>Entretien courant, biens-fonds PF | Sand de tir |</t>
  </si>
  <si>
    <t>Tavaux Ponctuels, biens-fonds PF | Stand de tir |</t>
  </si>
  <si>
    <t>Autres produits des immeubles PF |stand de tir |</t>
  </si>
  <si>
    <t>Machines, appareils PA | Bât 1912 / Le Montant / Vieux-Collège - Duillier 9 |</t>
  </si>
  <si>
    <t>Frais d'électricité PA | Bât 1912 / Le Montant / Vieux-Collège - Duillier 9 |</t>
  </si>
  <si>
    <t>Frais de chauffage  PA | Bât 1912 / Le Montant / Vieux-Collège - Duillier 9 |</t>
  </si>
  <si>
    <t>Matériel d'exploitation, petites fournitures (produits entretien) PA | Bât 1912 / Le Montant / Vieux-Collège - Duillier 9 |</t>
  </si>
  <si>
    <t>Entretien des bâtiments, immeubles  PA | Bât 1912 / Le Montant / Vieux-Collège - Duillier 9 |</t>
  </si>
  <si>
    <t>Frais d'eau PA | Bât 1912 / Le Montant / Vieux-Collège - Duillier 9 |</t>
  </si>
  <si>
    <t>Meubles et appareils de bureau PA | Bât 1912 / Le Montant / Vieux-Collège - Duillier 9 |</t>
  </si>
  <si>
    <t>Frais Assurances PA | Bât 1912 / Le Montant / Vieux-Collège - Duillier 9 |</t>
  </si>
  <si>
    <t>AISGE - Loyers PA  | Bât 1912 / Le Montant / Vieux-Collège - Duillier 9 | - Ecole, Bureaux, Centre Jeunes</t>
  </si>
  <si>
    <t>Loyers et fermages des biens-fonds PA | Bât 1912 / Le Montant / Vieux-Collège - Duillier 9 |</t>
  </si>
  <si>
    <t>Paiement pour utilisation des immeubles - PA | Bât 1912 / Le Montant / Vieux-Collège - Duillier 9 |</t>
  </si>
  <si>
    <t>Frais d'électricité PA | Eglise |</t>
  </si>
  <si>
    <t>Matériel d'exploitation, petites fournitures PA | Eglise |</t>
  </si>
  <si>
    <t>Entretien des bâtiments, immeubles PA | Eglise |</t>
  </si>
  <si>
    <t>Frais de chauffage PA | Eglise |</t>
  </si>
  <si>
    <t>Frais d'eau PA | Eglise |</t>
  </si>
  <si>
    <t>Meubles et appareils de bureau PA | Eglise |</t>
  </si>
  <si>
    <t>Machines, appareils PA | Eglise |</t>
  </si>
  <si>
    <t>Frais Assurances  PA | Eglise |</t>
  </si>
  <si>
    <t>Frais d'eau PA | Salles communales - Le Gossan, Le Garage |</t>
  </si>
  <si>
    <t>Meubles et appareils de bureau PA | Salles communales - Le Gossan, Le Garage |</t>
  </si>
  <si>
    <t>Machines, appareils PA | Salles communales - Le Gossan, Le Garage |</t>
  </si>
  <si>
    <t>Frais d'électricité PA | Salles communales - Le Gossan, Le Garage |</t>
  </si>
  <si>
    <t>Frais de chauffage PA | Salles communales - Le Gossan, Le Garage |</t>
  </si>
  <si>
    <t>Matériel d'exploitation, petites fournitures PA | Salles communales - Le Gossan, Le Garage |</t>
  </si>
  <si>
    <t>Entretien des bâtiments, immeubles PA | Salles communales - Le Gossan, Le Garage |</t>
  </si>
  <si>
    <t>Frais Assurances PA | Salles communales - Le Gossan, Le Garage |</t>
  </si>
  <si>
    <t>Loyers et fermages des biens-fonds PA | Salles communales - Le Gossan, Le Garage |</t>
  </si>
  <si>
    <t>Frais d'eau PA | Le Pavillon |</t>
  </si>
  <si>
    <t>Frais d'électricité PA | Le Pavillon |</t>
  </si>
  <si>
    <t>Frais de chauffage PA | Le Pavillon |</t>
  </si>
  <si>
    <t>Matériel d'exploitation, petites fournitures PA | Le Pavillon |</t>
  </si>
  <si>
    <t>Meubles et appareils de bureau PA | Le Pavillon |</t>
  </si>
  <si>
    <t>Machines, appareils PA | Le Pavillon |</t>
  </si>
  <si>
    <t>Entretien des bâtiments, immeubles PA | Le Pavillon |</t>
  </si>
  <si>
    <t>Frais Assurances PA | Le Pavillon |</t>
  </si>
  <si>
    <t>Prestations de services tiers - télécommunications PA | Le Pavillon |</t>
  </si>
  <si>
    <t>Loyers et fermages des biens-fonds PA | Le Pavillon |</t>
  </si>
  <si>
    <t>Autres revenus financiers PA | Le Pavillon | chaises, tables, bancs</t>
  </si>
  <si>
    <t>Frais de chauffage PA | Caserne de pompiers / Bregentenaz 10 |</t>
  </si>
  <si>
    <t>Frais d'électricité PA | Caserne de pompiers / Bregentenaz 10 |</t>
  </si>
  <si>
    <t>Matériel d'exploitation, petites fournitures PA | Caserne de pompiers / Bregentenaz 10 |</t>
  </si>
  <si>
    <t>Entretien des bâtiments, immeubles PA | Caserne de pompiers / Bregentenaz 10 |</t>
  </si>
  <si>
    <t>Frais d'eau PA | Caserne de pompiers / Bregentenaz 10 |</t>
  </si>
  <si>
    <t>Meubles et appareils de bureau PA | Caserne de pompiers / Bregentenaz 10 |</t>
  </si>
  <si>
    <t>Machines, appareils PA | Caserne de pompiers / Bregentenaz 10 |</t>
  </si>
  <si>
    <t>Frais Assurances PA | Caserne de pompiers / Bregentenaz 10 |</t>
  </si>
  <si>
    <t>Loyers et fermages des biens-fonds PA - Bât non mentionnés ailleurs | Salle du 700e / Anc. Station pompage che. De la Source / locaux chaufferie du CAD |</t>
  </si>
  <si>
    <t>Dédommagement des communes et associations intercommunales - AISGE - Loyers PA - Bât non mentionnés ailleurs | Salle du 700e / Anc. Station pompage che. De la Source / locaux chaufferie du CAD / Cordex-Oujon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</si>
</sst>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3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2"/>
      <color theme="1"/>
      <name val="Aptos"/>
      <family val="2"/>
    </font>
    <font>
      <b/>
      <sz val="10"/>
      <color rgb="FF000000"/>
      <name val="Arial"/>
      <family val="2"/>
    </font>
    <font>
      <b/>
      <u/>
      <sz val="12"/>
      <color theme="1"/>
      <name val="Aptos"/>
      <family val="2"/>
    </font>
    <font>
      <b/>
      <u/>
      <sz val="10"/>
      <color rgb="FF00000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b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11"/>
      <name val="Century Gothic"/>
      <family val="2"/>
    </font>
    <font>
      <vertAlign val="superscript"/>
      <sz val="11"/>
      <name val="Century Gothic"/>
      <family val="2"/>
    </font>
    <font>
      <sz val="12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u/>
      <sz val="12"/>
      <name val="Century Gothic"/>
      <family val="2"/>
    </font>
    <font>
      <b/>
      <sz val="11"/>
      <name val="Century Gothic"/>
      <family val="2"/>
    </font>
    <font>
      <sz val="12"/>
      <name val="Arial"/>
      <family val="2"/>
    </font>
    <font>
      <sz val="11"/>
      <color theme="1"/>
      <name val="Century Gothic"/>
      <family val="2"/>
    </font>
    <font>
      <b/>
      <i/>
      <sz val="12"/>
      <name val="Century Gothic"/>
      <family val="2"/>
    </font>
    <font>
      <i/>
      <sz val="11"/>
      <name val="Century Gothic"/>
      <family val="2"/>
    </font>
    <font>
      <i/>
      <sz val="10"/>
      <name val="Tahoma"/>
      <family val="2"/>
    </font>
    <font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2"/>
        <bgColor indexed="9"/>
      </patternFill>
    </fill>
    <fill>
      <patternFill patternType="solid">
        <fgColor rgb="FFFFC000"/>
        <bgColor indexed="9"/>
      </patternFill>
    </fill>
  </fills>
  <borders count="2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</cellStyleXfs>
  <cellXfs count="250">
    <xf numFmtId="0" fontId="0" fillId="0" borderId="0" xfId="0"/>
    <xf numFmtId="0" fontId="0" fillId="0" borderId="0" xfId="0" quotePrefix="1"/>
    <xf numFmtId="37" fontId="1" fillId="0" borderId="1" xfId="1" applyNumberFormat="1" applyBorder="1" applyAlignment="1">
      <alignment horizontal="right" wrapText="1"/>
    </xf>
    <xf numFmtId="37" fontId="0" fillId="0" borderId="0" xfId="0" applyNumberFormat="1"/>
    <xf numFmtId="0" fontId="1" fillId="0" borderId="0" xfId="1" applyAlignment="1">
      <alignment wrapText="1"/>
    </xf>
    <xf numFmtId="49" fontId="0" fillId="0" borderId="0" xfId="0" applyNumberFormat="1" applyAlignment="1" applyProtection="1">
      <alignment horizontal="left"/>
      <protection locked="0"/>
    </xf>
    <xf numFmtId="37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4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7" fontId="1" fillId="0" borderId="0" xfId="1" applyNumberFormat="1" applyAlignment="1">
      <alignment horizontal="right" wrapText="1"/>
    </xf>
    <xf numFmtId="37" fontId="0" fillId="0" borderId="0" xfId="0" applyNumberFormat="1" applyAlignment="1" applyProtection="1">
      <alignment horizontal="right"/>
      <protection locked="0"/>
    </xf>
    <xf numFmtId="37" fontId="3" fillId="0" borderId="4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indent="6"/>
    </xf>
    <xf numFmtId="9" fontId="0" fillId="0" borderId="0" xfId="2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9" fontId="0" fillId="0" borderId="0" xfId="2" applyFont="1" applyAlignment="1">
      <alignment horizontal="center"/>
    </xf>
    <xf numFmtId="0" fontId="11" fillId="0" borderId="0" xfId="0" applyFont="1"/>
    <xf numFmtId="0" fontId="0" fillId="3" borderId="0" xfId="0" applyFill="1"/>
    <xf numFmtId="37" fontId="1" fillId="4" borderId="0" xfId="1" applyNumberFormat="1" applyFill="1" applyAlignment="1">
      <alignment horizontal="right" wrapText="1"/>
    </xf>
    <xf numFmtId="37" fontId="0" fillId="0" borderId="0" xfId="0" applyNumberFormat="1" applyAlignment="1">
      <alignment horizontal="center"/>
    </xf>
    <xf numFmtId="0" fontId="14" fillId="0" borderId="0" xfId="0" applyFont="1"/>
    <xf numFmtId="49" fontId="0" fillId="5" borderId="2" xfId="0" applyNumberFormat="1" applyFill="1" applyBorder="1" applyAlignment="1" applyProtection="1">
      <alignment horizontal="left"/>
      <protection locked="0"/>
    </xf>
    <xf numFmtId="0" fontId="16" fillId="0" borderId="0" xfId="0" applyFont="1"/>
    <xf numFmtId="0" fontId="13" fillId="0" borderId="0" xfId="0" applyFont="1"/>
    <xf numFmtId="0" fontId="15" fillId="0" borderId="0" xfId="1" applyFont="1" applyAlignment="1">
      <alignment horizontal="left" vertical="top" wrapText="1"/>
    </xf>
    <xf numFmtId="39" fontId="0" fillId="0" borderId="0" xfId="0" applyNumberFormat="1"/>
    <xf numFmtId="0" fontId="3" fillId="0" borderId="0" xfId="0" applyFont="1" applyAlignment="1">
      <alignment horizontal="left"/>
    </xf>
    <xf numFmtId="49" fontId="18" fillId="0" borderId="0" xfId="0" applyNumberFormat="1" applyFont="1" applyAlignment="1" applyProtection="1">
      <alignment horizontal="left" vertical="top"/>
      <protection locked="0"/>
    </xf>
    <xf numFmtId="0" fontId="15" fillId="0" borderId="0" xfId="1" applyFont="1" applyAlignment="1">
      <alignment wrapText="1"/>
    </xf>
    <xf numFmtId="12" fontId="19" fillId="0" borderId="0" xfId="0" applyNumberFormat="1" applyFont="1" applyAlignment="1" applyProtection="1">
      <alignment horizontal="left" vertical="top"/>
      <protection locked="0"/>
    </xf>
    <xf numFmtId="37" fontId="1" fillId="0" borderId="6" xfId="1" applyNumberFormat="1" applyBorder="1" applyAlignment="1">
      <alignment horizontal="right" wrapText="1"/>
    </xf>
    <xf numFmtId="49" fontId="18" fillId="0" borderId="0" xfId="0" applyNumberFormat="1" applyFont="1" applyAlignment="1" applyProtection="1">
      <alignment horizontal="left"/>
      <protection locked="0"/>
    </xf>
    <xf numFmtId="0" fontId="1" fillId="0" borderId="5" xfId="1" applyBorder="1" applyAlignment="1">
      <alignment horizontal="center" wrapText="1"/>
    </xf>
    <xf numFmtId="49" fontId="18" fillId="0" borderId="5" xfId="0" applyNumberFormat="1" applyFont="1" applyBorder="1" applyAlignment="1" applyProtection="1">
      <alignment horizontal="left" vertical="top"/>
      <protection locked="0"/>
    </xf>
    <xf numFmtId="0" fontId="1" fillId="0" borderId="5" xfId="1" applyBorder="1" applyAlignment="1">
      <alignment horizontal="right" wrapText="1"/>
    </xf>
    <xf numFmtId="0" fontId="1" fillId="0" borderId="5" xfId="1" applyBorder="1" applyAlignment="1">
      <alignment wrapText="1"/>
    </xf>
    <xf numFmtId="0" fontId="1" fillId="0" borderId="5" xfId="1" applyBorder="1" applyAlignment="1">
      <alignment vertical="top" wrapText="1"/>
    </xf>
    <xf numFmtId="37" fontId="1" fillId="0" borderId="5" xfId="1" applyNumberFormat="1" applyBorder="1" applyAlignment="1">
      <alignment horizontal="right" wrapText="1"/>
    </xf>
    <xf numFmtId="49" fontId="18" fillId="0" borderId="5" xfId="0" applyNumberFormat="1" applyFont="1" applyBorder="1" applyAlignment="1" applyProtection="1">
      <alignment horizontal="left"/>
      <protection locked="0"/>
    </xf>
    <xf numFmtId="37" fontId="0" fillId="4" borderId="5" xfId="0" applyNumberFormat="1" applyFill="1" applyBorder="1" applyAlignment="1">
      <alignment horizontal="right"/>
    </xf>
    <xf numFmtId="37" fontId="0" fillId="0" borderId="5" xfId="0" applyNumberFormat="1" applyBorder="1" applyAlignment="1">
      <alignment horizontal="right"/>
    </xf>
    <xf numFmtId="0" fontId="15" fillId="0" borderId="5" xfId="1" applyFont="1" applyBorder="1" applyAlignment="1">
      <alignment horizontal="left" vertical="top" wrapText="1"/>
    </xf>
    <xf numFmtId="37" fontId="1" fillId="6" borderId="5" xfId="1" applyNumberFormat="1" applyFill="1" applyBorder="1" applyAlignment="1">
      <alignment horizontal="right" wrapText="1"/>
    </xf>
    <xf numFmtId="0" fontId="1" fillId="0" borderId="5" xfId="1" applyBorder="1" applyAlignment="1">
      <alignment horizontal="left" vertical="top" wrapText="1"/>
    </xf>
    <xf numFmtId="0" fontId="18" fillId="0" borderId="5" xfId="0" applyFont="1" applyBorder="1"/>
    <xf numFmtId="37" fontId="1" fillId="10" borderId="5" xfId="1" applyNumberFormat="1" applyFill="1" applyBorder="1" applyAlignment="1">
      <alignment horizontal="right" wrapText="1"/>
    </xf>
    <xf numFmtId="37" fontId="0" fillId="7" borderId="5" xfId="0" applyNumberFormat="1" applyFill="1" applyBorder="1" applyAlignment="1" applyProtection="1">
      <alignment horizontal="right"/>
      <protection locked="0"/>
    </xf>
    <xf numFmtId="37" fontId="0" fillId="0" borderId="5" xfId="0" applyNumberFormat="1" applyBorder="1" applyAlignment="1" applyProtection="1">
      <alignment horizontal="right"/>
      <protection locked="0"/>
    </xf>
    <xf numFmtId="37" fontId="0" fillId="6" borderId="5" xfId="0" applyNumberFormat="1" applyFill="1" applyBorder="1" applyAlignment="1">
      <alignment horizontal="right"/>
    </xf>
    <xf numFmtId="37" fontId="1" fillId="11" borderId="5" xfId="1" applyNumberFormat="1" applyFill="1" applyBorder="1" applyAlignment="1">
      <alignment horizontal="right" wrapText="1"/>
    </xf>
    <xf numFmtId="37" fontId="0" fillId="11" borderId="5" xfId="0" applyNumberFormat="1" applyFill="1" applyBorder="1" applyAlignment="1">
      <alignment horizontal="right"/>
    </xf>
    <xf numFmtId="37" fontId="1" fillId="4" borderId="5" xfId="1" applyNumberFormat="1" applyFill="1" applyBorder="1" applyAlignment="1">
      <alignment horizontal="right" wrapText="1"/>
    </xf>
    <xf numFmtId="0" fontId="15" fillId="0" borderId="5" xfId="1" applyFont="1" applyBorder="1" applyAlignment="1">
      <alignment wrapText="1"/>
    </xf>
    <xf numFmtId="0" fontId="1" fillId="4" borderId="5" xfId="1" applyFill="1" applyBorder="1" applyAlignment="1">
      <alignment vertical="top" wrapText="1"/>
    </xf>
    <xf numFmtId="0" fontId="18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5" xfId="0" applyBorder="1" applyAlignment="1">
      <alignment vertical="top"/>
    </xf>
    <xf numFmtId="37" fontId="1" fillId="12" borderId="5" xfId="1" applyNumberFormat="1" applyFill="1" applyBorder="1" applyAlignment="1">
      <alignment horizontal="right" wrapText="1"/>
    </xf>
    <xf numFmtId="37" fontId="0" fillId="12" borderId="5" xfId="0" applyNumberFormat="1" applyFill="1" applyBorder="1" applyAlignment="1">
      <alignment horizontal="right"/>
    </xf>
    <xf numFmtId="37" fontId="0" fillId="0" borderId="5" xfId="0" applyNumberFormat="1" applyBorder="1"/>
    <xf numFmtId="0" fontId="1" fillId="4" borderId="5" xfId="1" applyFill="1" applyBorder="1" applyAlignment="1">
      <alignment wrapText="1"/>
    </xf>
    <xf numFmtId="0" fontId="15" fillId="4" borderId="5" xfId="1" applyFont="1" applyFill="1" applyBorder="1" applyAlignment="1">
      <alignment horizontal="left" vertical="top" wrapText="1"/>
    </xf>
    <xf numFmtId="49" fontId="18" fillId="4" borderId="5" xfId="0" applyNumberFormat="1" applyFont="1" applyFill="1" applyBorder="1" applyAlignment="1" applyProtection="1">
      <alignment horizontal="left" vertical="top"/>
      <protection locked="0"/>
    </xf>
    <xf numFmtId="0" fontId="1" fillId="13" borderId="5" xfId="1" applyFill="1" applyBorder="1" applyAlignment="1">
      <alignment wrapText="1"/>
    </xf>
    <xf numFmtId="0" fontId="1" fillId="13" borderId="5" xfId="1" applyFill="1" applyBorder="1" applyAlignment="1">
      <alignment vertical="top" wrapText="1"/>
    </xf>
    <xf numFmtId="0" fontId="1" fillId="14" borderId="5" xfId="1" applyFill="1" applyBorder="1" applyAlignment="1">
      <alignment wrapText="1"/>
    </xf>
    <xf numFmtId="0" fontId="1" fillId="14" borderId="5" xfId="1" applyFill="1" applyBorder="1" applyAlignment="1">
      <alignment vertical="top" wrapText="1"/>
    </xf>
    <xf numFmtId="0" fontId="1" fillId="3" borderId="5" xfId="1" applyFill="1" applyBorder="1" applyAlignment="1">
      <alignment wrapText="1"/>
    </xf>
    <xf numFmtId="0" fontId="1" fillId="3" borderId="5" xfId="1" applyFill="1" applyBorder="1" applyAlignment="1">
      <alignment vertical="top" wrapText="1"/>
    </xf>
    <xf numFmtId="0" fontId="1" fillId="7" borderId="5" xfId="1" applyFill="1" applyBorder="1" applyAlignment="1">
      <alignment wrapText="1"/>
    </xf>
    <xf numFmtId="0" fontId="1" fillId="7" borderId="5" xfId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49" fontId="0" fillId="16" borderId="0" xfId="0" applyNumberFormat="1" applyFill="1" applyAlignment="1" applyProtection="1">
      <alignment horizontal="left"/>
      <protection locked="0"/>
    </xf>
    <xf numFmtId="0" fontId="1" fillId="16" borderId="0" xfId="1" applyFill="1" applyAlignment="1">
      <alignment wrapText="1"/>
    </xf>
    <xf numFmtId="0" fontId="0" fillId="16" borderId="0" xfId="0" applyFill="1"/>
    <xf numFmtId="49" fontId="0" fillId="0" borderId="0" xfId="0" applyNumberFormat="1" applyAlignment="1" applyProtection="1">
      <alignment horizontal="right"/>
      <protection locked="0"/>
    </xf>
    <xf numFmtId="49" fontId="17" fillId="16" borderId="0" xfId="0" applyNumberFormat="1" applyFont="1" applyFill="1" applyAlignment="1" applyProtection="1">
      <alignment horizontal="right"/>
      <protection locked="0"/>
    </xf>
    <xf numFmtId="0" fontId="17" fillId="0" borderId="0" xfId="0" applyFont="1" applyAlignment="1">
      <alignment horizontal="right"/>
    </xf>
    <xf numFmtId="49" fontId="17" fillId="0" borderId="0" xfId="0" applyNumberFormat="1" applyFont="1" applyAlignment="1" applyProtection="1">
      <alignment horizontal="right"/>
      <protection locked="0"/>
    </xf>
    <xf numFmtId="0" fontId="13" fillId="0" borderId="0" xfId="0" applyFont="1" applyAlignment="1">
      <alignment horizontal="left"/>
    </xf>
    <xf numFmtId="0" fontId="1" fillId="0" borderId="0" xfId="1" applyAlignment="1">
      <alignment horizontal="center" wrapText="1"/>
    </xf>
    <xf numFmtId="0" fontId="0" fillId="14" borderId="0" xfId="0" applyFill="1"/>
    <xf numFmtId="0" fontId="20" fillId="0" borderId="8" xfId="0" applyFont="1" applyBorder="1" applyAlignment="1">
      <alignment vertical="center"/>
    </xf>
    <xf numFmtId="0" fontId="23" fillId="0" borderId="0" xfId="3" applyFont="1" applyAlignment="1">
      <alignment vertical="center"/>
    </xf>
    <xf numFmtId="2" fontId="24" fillId="0" borderId="0" xfId="3" applyNumberFormat="1" applyFont="1" applyAlignment="1">
      <alignment vertical="center"/>
    </xf>
    <xf numFmtId="4" fontId="23" fillId="0" borderId="0" xfId="3" applyNumberFormat="1" applyFont="1" applyAlignment="1">
      <alignment vertical="center"/>
    </xf>
    <xf numFmtId="4" fontId="24" fillId="0" borderId="0" xfId="3" applyNumberFormat="1" applyFont="1" applyAlignment="1">
      <alignment vertical="center"/>
    </xf>
    <xf numFmtId="0" fontId="24" fillId="0" borderId="0" xfId="3" applyFont="1" applyAlignment="1">
      <alignment horizontal="right" vertical="center"/>
    </xf>
    <xf numFmtId="0" fontId="24" fillId="0" borderId="0" xfId="3" applyFont="1" applyAlignment="1">
      <alignment horizontal="center" vertical="center"/>
    </xf>
    <xf numFmtId="0" fontId="24" fillId="0" borderId="0" xfId="3" applyFont="1" applyAlignment="1">
      <alignment vertical="center"/>
    </xf>
    <xf numFmtId="2" fontId="23" fillId="0" borderId="0" xfId="3" applyNumberFormat="1" applyFont="1" applyAlignment="1">
      <alignment vertical="center"/>
    </xf>
    <xf numFmtId="0" fontId="23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4" fontId="24" fillId="0" borderId="0" xfId="3" applyNumberFormat="1" applyFont="1" applyAlignment="1">
      <alignment horizontal="left" vertical="center"/>
    </xf>
    <xf numFmtId="0" fontId="25" fillId="0" borderId="9" xfId="3" applyFont="1" applyBorder="1" applyAlignment="1">
      <alignment vertical="center"/>
    </xf>
    <xf numFmtId="0" fontId="26" fillId="0" borderId="10" xfId="3" applyFont="1" applyBorder="1" applyAlignment="1">
      <alignment vertical="center"/>
    </xf>
    <xf numFmtId="0" fontId="25" fillId="0" borderId="10" xfId="3" applyFont="1" applyBorder="1" applyAlignment="1">
      <alignment vertical="center"/>
    </xf>
    <xf numFmtId="0" fontId="26" fillId="0" borderId="10" xfId="3" applyFont="1" applyBorder="1" applyAlignment="1">
      <alignment horizontal="left" vertical="center"/>
    </xf>
    <xf numFmtId="0" fontId="25" fillId="0" borderId="10" xfId="3" applyFont="1" applyBorder="1" applyAlignment="1">
      <alignment horizontal="left" vertical="center"/>
    </xf>
    <xf numFmtId="4" fontId="25" fillId="0" borderId="10" xfId="3" applyNumberFormat="1" applyFont="1" applyBorder="1" applyAlignment="1">
      <alignment horizontal="left" vertical="center"/>
    </xf>
    <xf numFmtId="4" fontId="26" fillId="0" borderId="10" xfId="3" applyNumberFormat="1" applyFont="1" applyBorder="1" applyAlignment="1">
      <alignment horizontal="center" vertical="center"/>
    </xf>
    <xf numFmtId="1" fontId="25" fillId="0" borderId="0" xfId="3" applyNumberFormat="1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5" fillId="0" borderId="0" xfId="3" applyFont="1" applyAlignment="1">
      <alignment vertical="center"/>
    </xf>
    <xf numFmtId="0" fontId="24" fillId="0" borderId="12" xfId="3" applyFont="1" applyBorder="1" applyAlignment="1">
      <alignment vertical="center"/>
    </xf>
    <xf numFmtId="0" fontId="24" fillId="0" borderId="13" xfId="3" applyFont="1" applyBorder="1" applyAlignment="1">
      <alignment vertical="center"/>
    </xf>
    <xf numFmtId="0" fontId="24" fillId="0" borderId="13" xfId="3" applyFont="1" applyBorder="1" applyAlignment="1">
      <alignment horizontal="center" vertical="center"/>
    </xf>
    <xf numFmtId="0" fontId="27" fillId="0" borderId="8" xfId="3" applyFont="1" applyBorder="1" applyAlignment="1">
      <alignment vertical="center"/>
    </xf>
    <xf numFmtId="0" fontId="20" fillId="0" borderId="8" xfId="3" applyFont="1" applyBorder="1" applyAlignment="1">
      <alignment vertical="center"/>
    </xf>
    <xf numFmtId="0" fontId="20" fillId="0" borderId="0" xfId="3" applyFont="1" applyAlignment="1">
      <alignment vertical="center"/>
    </xf>
    <xf numFmtId="0" fontId="20" fillId="0" borderId="0" xfId="3" applyFont="1" applyAlignment="1">
      <alignment horizontal="center" vertical="center"/>
    </xf>
    <xf numFmtId="4" fontId="20" fillId="0" borderId="0" xfId="3" applyNumberFormat="1" applyFont="1" applyAlignment="1">
      <alignment vertical="center"/>
    </xf>
    <xf numFmtId="4" fontId="20" fillId="0" borderId="0" xfId="3" applyNumberFormat="1" applyFont="1" applyAlignment="1">
      <alignment horizontal="right" vertical="center"/>
    </xf>
    <xf numFmtId="164" fontId="20" fillId="0" borderId="0" xfId="4" applyNumberFormat="1" applyFont="1" applyAlignment="1">
      <alignment horizontal="center" vertical="center"/>
    </xf>
    <xf numFmtId="49" fontId="18" fillId="0" borderId="5" xfId="3" applyNumberFormat="1" applyFont="1" applyBorder="1" applyAlignment="1" applyProtection="1">
      <alignment horizontal="center"/>
      <protection locked="0"/>
    </xf>
    <xf numFmtId="49" fontId="18" fillId="0" borderId="5" xfId="3" applyNumberFormat="1" applyFont="1" applyBorder="1" applyAlignment="1" applyProtection="1">
      <alignment horizontal="left"/>
      <protection locked="0"/>
    </xf>
    <xf numFmtId="49" fontId="18" fillId="0" borderId="5" xfId="3" applyNumberFormat="1" applyFont="1" applyBorder="1" applyAlignment="1" applyProtection="1">
      <alignment horizontal="left" vertical="top"/>
      <protection locked="0"/>
    </xf>
    <xf numFmtId="49" fontId="18" fillId="0" borderId="5" xfId="3" applyNumberFormat="1" applyFont="1" applyBorder="1" applyAlignment="1" applyProtection="1">
      <alignment horizontal="center" vertical="top" wrapText="1"/>
      <protection locked="0"/>
    </xf>
    <xf numFmtId="0" fontId="30" fillId="0" borderId="8" xfId="3" applyFont="1" applyBorder="1" applyAlignment="1">
      <alignment vertical="center"/>
    </xf>
    <xf numFmtId="0" fontId="30" fillId="0" borderId="0" xfId="3" applyFont="1" applyAlignment="1">
      <alignment vertical="center"/>
    </xf>
    <xf numFmtId="0" fontId="30" fillId="0" borderId="0" xfId="3" applyFont="1" applyAlignment="1">
      <alignment horizontal="center" vertical="center"/>
    </xf>
    <xf numFmtId="4" fontId="30" fillId="0" borderId="0" xfId="3" applyNumberFormat="1" applyFont="1" applyAlignment="1">
      <alignment vertical="center"/>
    </xf>
    <xf numFmtId="4" fontId="30" fillId="0" borderId="0" xfId="3" applyNumberFormat="1" applyFont="1" applyAlignment="1">
      <alignment horizontal="right" vertical="center"/>
    </xf>
    <xf numFmtId="0" fontId="20" fillId="0" borderId="16" xfId="3" applyFont="1" applyBorder="1" applyAlignment="1">
      <alignment vertical="center"/>
    </xf>
    <xf numFmtId="0" fontId="20" fillId="0" borderId="17" xfId="3" applyFont="1" applyBorder="1" applyAlignment="1">
      <alignment vertical="center"/>
    </xf>
    <xf numFmtId="4" fontId="20" fillId="0" borderId="17" xfId="3" applyNumberFormat="1" applyFont="1" applyBorder="1" applyAlignment="1">
      <alignment vertical="center"/>
    </xf>
    <xf numFmtId="0" fontId="20" fillId="0" borderId="0" xfId="3" applyFont="1" applyAlignment="1">
      <alignment horizontal="right" vertical="center"/>
    </xf>
    <xf numFmtId="0" fontId="28" fillId="0" borderId="8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28" fillId="0" borderId="0" xfId="3" applyFont="1" applyAlignment="1">
      <alignment horizontal="center" vertical="center"/>
    </xf>
    <xf numFmtId="4" fontId="28" fillId="0" borderId="0" xfId="3" applyNumberFormat="1" applyFont="1" applyAlignment="1">
      <alignment horizontal="center" vertical="center"/>
    </xf>
    <xf numFmtId="4" fontId="28" fillId="0" borderId="0" xfId="3" applyNumberFormat="1" applyFont="1" applyAlignment="1">
      <alignment vertical="center"/>
    </xf>
    <xf numFmtId="4" fontId="20" fillId="0" borderId="4" xfId="3" applyNumberFormat="1" applyFont="1" applyBorder="1" applyAlignment="1">
      <alignment horizontal="right" vertical="center"/>
    </xf>
    <xf numFmtId="0" fontId="24" fillId="0" borderId="17" xfId="3" applyFont="1" applyBorder="1" applyAlignment="1">
      <alignment vertical="center"/>
    </xf>
    <xf numFmtId="0" fontId="24" fillId="0" borderId="17" xfId="3" applyFont="1" applyBorder="1" applyAlignment="1">
      <alignment horizontal="center" vertical="center"/>
    </xf>
    <xf numFmtId="0" fontId="31" fillId="0" borderId="0" xfId="3" applyFont="1" applyAlignment="1">
      <alignment vertical="center"/>
    </xf>
    <xf numFmtId="0" fontId="20" fillId="9" borderId="12" xfId="3" applyFont="1" applyFill="1" applyBorder="1" applyAlignment="1">
      <alignment vertical="center"/>
    </xf>
    <xf numFmtId="0" fontId="20" fillId="9" borderId="13" xfId="3" applyFont="1" applyFill="1" applyBorder="1" applyAlignment="1">
      <alignment vertical="center"/>
    </xf>
    <xf numFmtId="0" fontId="20" fillId="9" borderId="13" xfId="3" applyFont="1" applyFill="1" applyBorder="1" applyAlignment="1">
      <alignment horizontal="center" vertical="center"/>
    </xf>
    <xf numFmtId="1" fontId="32" fillId="9" borderId="13" xfId="3" applyNumberFormat="1" applyFont="1" applyFill="1" applyBorder="1" applyAlignment="1">
      <alignment vertical="center"/>
    </xf>
    <xf numFmtId="0" fontId="20" fillId="6" borderId="0" xfId="3" applyFont="1" applyFill="1" applyAlignment="1">
      <alignment horizontal="center" vertical="center"/>
    </xf>
    <xf numFmtId="0" fontId="20" fillId="9" borderId="8" xfId="3" applyFont="1" applyFill="1" applyBorder="1" applyAlignment="1">
      <alignment vertical="center"/>
    </xf>
    <xf numFmtId="0" fontId="20" fillId="9" borderId="0" xfId="3" applyFont="1" applyFill="1" applyAlignment="1">
      <alignment vertical="center"/>
    </xf>
    <xf numFmtId="0" fontId="20" fillId="9" borderId="0" xfId="3" applyFont="1" applyFill="1" applyAlignment="1">
      <alignment horizontal="center" vertical="center"/>
    </xf>
    <xf numFmtId="1" fontId="32" fillId="9" borderId="0" xfId="3" applyNumberFormat="1" applyFont="1" applyFill="1" applyAlignment="1">
      <alignment vertical="center"/>
    </xf>
    <xf numFmtId="0" fontId="24" fillId="0" borderId="0" xfId="3" quotePrefix="1" applyFont="1" applyAlignment="1">
      <alignment horizontal="left" vertical="center"/>
    </xf>
    <xf numFmtId="0" fontId="20" fillId="9" borderId="16" xfId="3" applyFont="1" applyFill="1" applyBorder="1" applyAlignment="1">
      <alignment vertical="center"/>
    </xf>
    <xf numFmtId="0" fontId="20" fillId="9" borderId="17" xfId="3" applyFont="1" applyFill="1" applyBorder="1" applyAlignment="1">
      <alignment vertical="center"/>
    </xf>
    <xf numFmtId="0" fontId="20" fillId="9" borderId="17" xfId="3" applyFont="1" applyFill="1" applyBorder="1" applyAlignment="1">
      <alignment horizontal="center" vertical="center"/>
    </xf>
    <xf numFmtId="1" fontId="32" fillId="9" borderId="17" xfId="3" applyNumberFormat="1" applyFont="1" applyFill="1" applyBorder="1" applyAlignment="1">
      <alignment vertical="center"/>
    </xf>
    <xf numFmtId="2" fontId="24" fillId="0" borderId="0" xfId="3" applyNumberFormat="1" applyFont="1" applyAlignment="1">
      <alignment horizontal="right" vertical="center"/>
    </xf>
    <xf numFmtId="49" fontId="18" fillId="15" borderId="5" xfId="3" applyNumberFormat="1" applyFont="1" applyFill="1" applyBorder="1" applyAlignment="1" applyProtection="1">
      <alignment horizontal="center"/>
      <protection locked="0"/>
    </xf>
    <xf numFmtId="0" fontId="0" fillId="0" borderId="20" xfId="0" applyBorder="1"/>
    <xf numFmtId="0" fontId="0" fillId="4" borderId="20" xfId="0" applyFill="1" applyBorder="1" applyAlignment="1">
      <alignment horizontal="center" wrapText="1"/>
    </xf>
    <xf numFmtId="0" fontId="0" fillId="4" borderId="20" xfId="0" applyFill="1" applyBorder="1"/>
    <xf numFmtId="0" fontId="0" fillId="0" borderId="0" xfId="0" applyAlignment="1">
      <alignment horizontal="right"/>
    </xf>
    <xf numFmtId="0" fontId="0" fillId="14" borderId="20" xfId="0" applyFill="1" applyBorder="1"/>
    <xf numFmtId="0" fontId="0" fillId="14" borderId="9" xfId="0" applyFill="1" applyBorder="1"/>
    <xf numFmtId="0" fontId="0" fillId="14" borderId="10" xfId="0" applyFill="1" applyBorder="1"/>
    <xf numFmtId="0" fontId="0" fillId="14" borderId="11" xfId="0" applyFill="1" applyBorder="1"/>
    <xf numFmtId="49" fontId="18" fillId="0" borderId="3" xfId="0" applyNumberFormat="1" applyFont="1" applyBorder="1" applyAlignment="1" applyProtection="1">
      <alignment horizontal="left" vertical="top"/>
      <protection locked="0"/>
    </xf>
    <xf numFmtId="0" fontId="0" fillId="0" borderId="5" xfId="0" applyBorder="1" applyAlignment="1">
      <alignment horizontal="left" wrapText="1"/>
    </xf>
    <xf numFmtId="49" fontId="18" fillId="0" borderId="21" xfId="0" applyNumberFormat="1" applyFont="1" applyBorder="1" applyAlignment="1" applyProtection="1">
      <alignment horizontal="left"/>
      <protection locked="0"/>
    </xf>
    <xf numFmtId="0" fontId="15" fillId="0" borderId="5" xfId="1" applyFont="1" applyBorder="1" applyAlignment="1">
      <alignment horizontal="center" wrapText="1"/>
    </xf>
    <xf numFmtId="49" fontId="18" fillId="0" borderId="5" xfId="0" applyNumberFormat="1" applyFont="1" applyBorder="1" applyAlignment="1" applyProtection="1">
      <alignment horizontal="center"/>
      <protection locked="0"/>
    </xf>
    <xf numFmtId="12" fontId="19" fillId="0" borderId="2" xfId="0" applyNumberFormat="1" applyFont="1" applyBorder="1" applyAlignment="1" applyProtection="1">
      <alignment horizontal="center"/>
      <protection locked="0"/>
    </xf>
    <xf numFmtId="49" fontId="18" fillId="0" borderId="2" xfId="0" applyNumberFormat="1" applyFont="1" applyBorder="1" applyAlignment="1" applyProtection="1">
      <alignment horizontal="center"/>
      <protection locked="0"/>
    </xf>
    <xf numFmtId="0" fontId="1" fillId="13" borderId="5" xfId="1" applyFill="1" applyBorder="1" applyAlignment="1">
      <alignment horizontal="center" wrapText="1"/>
    </xf>
    <xf numFmtId="0" fontId="1" fillId="3" borderId="5" xfId="1" applyFill="1" applyBorder="1" applyAlignment="1">
      <alignment horizontal="center" wrapText="1"/>
    </xf>
    <xf numFmtId="37" fontId="0" fillId="10" borderId="5" xfId="0" applyNumberFormat="1" applyFill="1" applyBorder="1" applyAlignment="1">
      <alignment horizontal="right"/>
    </xf>
    <xf numFmtId="0" fontId="18" fillId="0" borderId="5" xfId="0" applyFont="1" applyBorder="1" applyAlignment="1">
      <alignment horizontal="center"/>
    </xf>
    <xf numFmtId="49" fontId="18" fillId="13" borderId="5" xfId="0" applyNumberFormat="1" applyFont="1" applyFill="1" applyBorder="1" applyAlignment="1" applyProtection="1">
      <alignment horizontal="left" vertical="top"/>
      <protection locked="0"/>
    </xf>
    <xf numFmtId="0" fontId="1" fillId="14" borderId="5" xfId="1" applyFill="1" applyBorder="1" applyAlignment="1">
      <alignment horizontal="center" wrapText="1"/>
    </xf>
    <xf numFmtId="0" fontId="1" fillId="4" borderId="5" xfId="1" applyFill="1" applyBorder="1" applyAlignment="1">
      <alignment horizontal="center" wrapText="1"/>
    </xf>
    <xf numFmtId="0" fontId="1" fillId="7" borderId="5" xfId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49" fontId="18" fillId="4" borderId="5" xfId="0" applyNumberFormat="1" applyFont="1" applyFill="1" applyBorder="1" applyAlignment="1" applyProtection="1">
      <alignment horizontal="center"/>
      <protection locked="0"/>
    </xf>
    <xf numFmtId="49" fontId="18" fillId="13" borderId="5" xfId="0" applyNumberFormat="1" applyFont="1" applyFill="1" applyBorder="1" applyAlignment="1" applyProtection="1">
      <alignment horizontal="center"/>
      <protection locked="0"/>
    </xf>
    <xf numFmtId="49" fontId="18" fillId="0" borderId="7" xfId="0" applyNumberFormat="1" applyFont="1" applyBorder="1" applyAlignment="1" applyProtection="1">
      <alignment horizontal="center"/>
      <protection locked="0"/>
    </xf>
    <xf numFmtId="165" fontId="1" fillId="4" borderId="5" xfId="1" applyNumberFormat="1" applyFill="1" applyBorder="1" applyAlignment="1">
      <alignment horizontal="left" wrapText="1"/>
    </xf>
    <xf numFmtId="0" fontId="1" fillId="4" borderId="5" xfId="1" applyFill="1" applyBorder="1" applyAlignment="1">
      <alignment horizontal="left" vertical="top" wrapText="1"/>
    </xf>
    <xf numFmtId="0" fontId="15" fillId="4" borderId="5" xfId="1" applyFont="1" applyFill="1" applyBorder="1" applyAlignment="1">
      <alignment horizontal="center" wrapText="1"/>
    </xf>
    <xf numFmtId="0" fontId="1" fillId="8" borderId="5" xfId="1" applyFill="1" applyBorder="1" applyAlignment="1">
      <alignment wrapText="1"/>
    </xf>
    <xf numFmtId="0" fontId="1" fillId="8" borderId="5" xfId="1" applyFill="1" applyBorder="1" applyAlignment="1">
      <alignment vertical="top" wrapText="1"/>
    </xf>
    <xf numFmtId="0" fontId="1" fillId="8" borderId="5" xfId="1" applyFill="1" applyBorder="1" applyAlignment="1">
      <alignment horizontal="center" wrapText="1"/>
    </xf>
    <xf numFmtId="49" fontId="18" fillId="0" borderId="0" xfId="0" applyNumberFormat="1" applyFont="1" applyAlignment="1" applyProtection="1">
      <alignment horizontal="center"/>
      <protection locked="0"/>
    </xf>
    <xf numFmtId="37" fontId="1" fillId="13" borderId="5" xfId="1" applyNumberFormat="1" applyFill="1" applyBorder="1" applyAlignment="1">
      <alignment horizontal="right" wrapText="1"/>
    </xf>
    <xf numFmtId="4" fontId="28" fillId="4" borderId="15" xfId="3" applyNumberFormat="1" applyFont="1" applyFill="1" applyBorder="1" applyAlignment="1">
      <alignment vertical="center"/>
    </xf>
    <xf numFmtId="1" fontId="26" fillId="0" borderId="11" xfId="3" applyNumberFormat="1" applyFont="1" applyBorder="1" applyAlignment="1">
      <alignment horizontal="center" vertical="center"/>
    </xf>
    <xf numFmtId="0" fontId="23" fillId="0" borderId="14" xfId="3" applyFont="1" applyBorder="1" applyAlignment="1">
      <alignment horizontal="center" vertical="center"/>
    </xf>
    <xf numFmtId="4" fontId="24" fillId="0" borderId="15" xfId="3" applyNumberFormat="1" applyFont="1" applyBorder="1" applyAlignment="1">
      <alignment vertical="center"/>
    </xf>
    <xf numFmtId="4" fontId="28" fillId="0" borderId="15" xfId="3" applyNumberFormat="1" applyFont="1" applyBorder="1" applyAlignment="1">
      <alignment vertical="center"/>
    </xf>
    <xf numFmtId="4" fontId="28" fillId="0" borderId="18" xfId="3" applyNumberFormat="1" applyFont="1" applyBorder="1" applyAlignment="1">
      <alignment vertical="center"/>
    </xf>
    <xf numFmtId="4" fontId="28" fillId="0" borderId="19" xfId="3" applyNumberFormat="1" applyFont="1" applyBorder="1" applyAlignment="1">
      <alignment vertical="center"/>
    </xf>
    <xf numFmtId="0" fontId="24" fillId="0" borderId="18" xfId="3" applyFont="1" applyBorder="1" applyAlignment="1">
      <alignment vertical="center"/>
    </xf>
    <xf numFmtId="4" fontId="28" fillId="13" borderId="15" xfId="3" applyNumberFormat="1" applyFont="1" applyFill="1" applyBorder="1" applyAlignment="1">
      <alignment vertical="center"/>
    </xf>
    <xf numFmtId="4" fontId="28" fillId="13" borderId="14" xfId="0" applyNumberFormat="1" applyFont="1" applyFill="1" applyBorder="1" applyAlignment="1">
      <alignment horizontal="right" vertical="center"/>
    </xf>
    <xf numFmtId="37" fontId="0" fillId="14" borderId="5" xfId="0" applyNumberFormat="1" applyFill="1" applyBorder="1" applyAlignment="1">
      <alignment horizontal="right"/>
    </xf>
    <xf numFmtId="4" fontId="28" fillId="14" borderId="15" xfId="3" applyNumberFormat="1" applyFont="1" applyFill="1" applyBorder="1" applyAlignment="1">
      <alignment vertical="center"/>
    </xf>
    <xf numFmtId="4" fontId="28" fillId="17" borderId="15" xfId="3" applyNumberFormat="1" applyFont="1" applyFill="1" applyBorder="1" applyAlignment="1">
      <alignment vertical="center"/>
    </xf>
    <xf numFmtId="4" fontId="28" fillId="18" borderId="15" xfId="3" applyNumberFormat="1" applyFont="1" applyFill="1" applyBorder="1" applyAlignment="1">
      <alignment vertical="center"/>
    </xf>
    <xf numFmtId="37" fontId="0" fillId="19" borderId="5" xfId="0" applyNumberFormat="1" applyFill="1" applyBorder="1" applyAlignment="1" applyProtection="1">
      <alignment horizontal="right"/>
      <protection locked="0"/>
    </xf>
    <xf numFmtId="49" fontId="18" fillId="19" borderId="5" xfId="0" applyNumberFormat="1" applyFont="1" applyFill="1" applyBorder="1" applyAlignment="1" applyProtection="1">
      <alignment horizontal="left" vertical="top"/>
      <protection locked="0"/>
    </xf>
    <xf numFmtId="37" fontId="0" fillId="19" borderId="5" xfId="0" applyNumberFormat="1" applyFill="1" applyBorder="1" applyAlignment="1">
      <alignment horizontal="right"/>
    </xf>
    <xf numFmtId="49" fontId="0" fillId="0" borderId="0" xfId="0" applyNumberFormat="1"/>
    <xf numFmtId="0" fontId="3" fillId="0" borderId="0" xfId="0" applyFont="1" applyAlignment="1">
      <alignment wrapText="1"/>
    </xf>
    <xf numFmtId="9" fontId="0" fillId="0" borderId="0" xfId="2" applyFont="1"/>
    <xf numFmtId="37" fontId="1" fillId="2" borderId="5" xfId="1" applyNumberFormat="1" applyFill="1" applyBorder="1" applyAlignment="1">
      <alignment horizontal="center" vertical="center" wrapText="1"/>
    </xf>
    <xf numFmtId="37" fontId="1" fillId="2" borderId="5" xfId="1" quotePrefix="1" applyNumberFormat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2" borderId="5" xfId="1" applyFill="1" applyBorder="1" applyAlignment="1">
      <alignment vertical="center" wrapText="1"/>
    </xf>
    <xf numFmtId="49" fontId="18" fillId="0" borderId="5" xfId="0" applyNumberFormat="1" applyFont="1" applyBorder="1" applyAlignment="1" applyProtection="1">
      <alignment horizontal="left" vertical="center"/>
      <protection locked="0"/>
    </xf>
    <xf numFmtId="37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37" fontId="0" fillId="3" borderId="0" xfId="0" applyNumberFormat="1" applyFill="1" applyAlignment="1">
      <alignment horizontal="right" vertical="center"/>
    </xf>
    <xf numFmtId="0" fontId="0" fillId="19" borderId="0" xfId="0" applyFill="1" applyAlignment="1">
      <alignment vertical="center" wrapText="1"/>
    </xf>
    <xf numFmtId="37" fontId="0" fillId="20" borderId="5" xfId="0" applyNumberFormat="1" applyFill="1" applyBorder="1" applyAlignment="1">
      <alignment horizontal="right"/>
    </xf>
    <xf numFmtId="0" fontId="33" fillId="21" borderId="13" xfId="0" applyFont="1" applyFill="1" applyBorder="1" applyAlignment="1">
      <alignment horizontal="left" vertical="center" wrapText="1"/>
    </xf>
    <xf numFmtId="0" fontId="34" fillId="22" borderId="0" xfId="0" applyFont="1" applyFill="1" applyAlignment="1">
      <alignment horizontal="right"/>
    </xf>
    <xf numFmtId="0" fontId="1" fillId="22" borderId="0" xfId="0" applyFont="1" applyFill="1"/>
    <xf numFmtId="0" fontId="34" fillId="22" borderId="0" xfId="0" applyFont="1" applyFill="1"/>
    <xf numFmtId="0" fontId="34" fillId="23" borderId="0" xfId="0" applyFont="1" applyFill="1"/>
    <xf numFmtId="49" fontId="34" fillId="22" borderId="0" xfId="0" applyNumberFormat="1" applyFont="1" applyFill="1"/>
    <xf numFmtId="0" fontId="1" fillId="23" borderId="0" xfId="0" applyFont="1" applyFill="1"/>
    <xf numFmtId="49" fontId="34" fillId="22" borderId="0" xfId="0" applyNumberFormat="1" applyFont="1" applyFill="1" applyAlignment="1">
      <alignment horizontal="right"/>
    </xf>
    <xf numFmtId="0" fontId="1" fillId="23" borderId="0" xfId="0" applyFont="1" applyFill="1" applyAlignment="1">
      <alignment horizontal="center"/>
    </xf>
    <xf numFmtId="0" fontId="34" fillId="22" borderId="0" xfId="0" applyFont="1" applyFill="1" applyAlignment="1">
      <alignment horizontal="center"/>
    </xf>
    <xf numFmtId="49" fontId="1" fillId="0" borderId="5" xfId="1" applyNumberFormat="1" applyBorder="1" applyAlignment="1">
      <alignment vertical="top" wrapText="1"/>
    </xf>
    <xf numFmtId="49" fontId="18" fillId="13" borderId="0" xfId="0" applyNumberFormat="1" applyFont="1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13" borderId="0" xfId="0" applyFill="1"/>
  </cellXfs>
  <cellStyles count="5">
    <cellStyle name="Normal" xfId="0" builtinId="0"/>
    <cellStyle name="Normal 2" xfId="3" xr:uid="{DBDDA7FC-63AD-4919-8F89-DE55C8CFB2F5}"/>
    <cellStyle name="Normal_Feuil1" xfId="1" xr:uid="{DA9D35B3-6F54-44CF-869C-00FB4451E7A0}"/>
    <cellStyle name="Pourcentage" xfId="2" builtinId="5"/>
    <cellStyle name="Pourcentage 2" xfId="4" xr:uid="{1009D043-8463-4824-A51D-AFB5E9662128}"/>
  </cellStyles>
  <dxfs count="21690"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5" formatCode="#,##0;\-#,##0"/>
    </dxf>
    <dxf>
      <numFmt numFmtId="5" formatCode="#,##0;\-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5" formatCode="#,##0;\-#,##0"/>
    </dxf>
    <dxf>
      <numFmt numFmtId="5" formatCode="#,##0;\-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2</xdr:row>
      <xdr:rowOff>45720</xdr:rowOff>
    </xdr:from>
    <xdr:to>
      <xdr:col>3</xdr:col>
      <xdr:colOff>91440</xdr:colOff>
      <xdr:row>4</xdr:row>
      <xdr:rowOff>83820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FB4886CA-93F4-4238-B1AC-2C9D852A6281}"/>
            </a:ext>
          </a:extLst>
        </xdr:cNvPr>
        <xdr:cNvCxnSpPr/>
      </xdr:nvCxnSpPr>
      <xdr:spPr>
        <a:xfrm flipH="1">
          <a:off x="1722120" y="609600"/>
          <a:ext cx="1394460" cy="403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1234440</xdr:colOff>
      <xdr:row>2</xdr:row>
      <xdr:rowOff>22860</xdr:rowOff>
    </xdr:from>
    <xdr:to>
      <xdr:col>4</xdr:col>
      <xdr:colOff>723900</xdr:colOff>
      <xdr:row>4</xdr:row>
      <xdr:rowOff>106680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31FB41CF-CCCD-AE71-B1AA-BEFEEBA7926F}"/>
            </a:ext>
          </a:extLst>
        </xdr:cNvPr>
        <xdr:cNvCxnSpPr/>
      </xdr:nvCxnSpPr>
      <xdr:spPr>
        <a:xfrm>
          <a:off x="4259580" y="586740"/>
          <a:ext cx="868680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655320</xdr:colOff>
      <xdr:row>5</xdr:row>
      <xdr:rowOff>30480</xdr:rowOff>
    </xdr:from>
    <xdr:to>
      <xdr:col>7</xdr:col>
      <xdr:colOff>198120</xdr:colOff>
      <xdr:row>7</xdr:row>
      <xdr:rowOff>114300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3BE45FCB-1EE9-D92C-A31E-2ED0004971F5}"/>
            </a:ext>
          </a:extLst>
        </xdr:cNvPr>
        <xdr:cNvCxnSpPr/>
      </xdr:nvCxnSpPr>
      <xdr:spPr>
        <a:xfrm>
          <a:off x="5852160" y="1158240"/>
          <a:ext cx="1127760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518160</xdr:colOff>
      <xdr:row>5</xdr:row>
      <xdr:rowOff>30480</xdr:rowOff>
    </xdr:from>
    <xdr:to>
      <xdr:col>5</xdr:col>
      <xdr:colOff>655320</xdr:colOff>
      <xdr:row>7</xdr:row>
      <xdr:rowOff>152400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F4ABBE66-B56A-0EBA-A611-991F026A7840}"/>
            </a:ext>
          </a:extLst>
        </xdr:cNvPr>
        <xdr:cNvCxnSpPr/>
      </xdr:nvCxnSpPr>
      <xdr:spPr>
        <a:xfrm flipH="1">
          <a:off x="5082540" y="1158240"/>
          <a:ext cx="929640" cy="487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1188720</xdr:colOff>
      <xdr:row>10</xdr:row>
      <xdr:rowOff>114300</xdr:rowOff>
    </xdr:from>
    <xdr:to>
      <xdr:col>4</xdr:col>
      <xdr:colOff>236220</xdr:colOff>
      <xdr:row>12</xdr:row>
      <xdr:rowOff>121920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EB569C2C-FE84-3890-6C57-9480154365BE}"/>
            </a:ext>
          </a:extLst>
        </xdr:cNvPr>
        <xdr:cNvCxnSpPr/>
      </xdr:nvCxnSpPr>
      <xdr:spPr>
        <a:xfrm flipH="1">
          <a:off x="4213860" y="2171700"/>
          <a:ext cx="586740" cy="373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358140</xdr:colOff>
      <xdr:row>10</xdr:row>
      <xdr:rowOff>106680</xdr:rowOff>
    </xdr:from>
    <xdr:to>
      <xdr:col>5</xdr:col>
      <xdr:colOff>114300</xdr:colOff>
      <xdr:row>12</xdr:row>
      <xdr:rowOff>152400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CC7908A3-5746-A527-F434-F6C3269CB4CA}"/>
            </a:ext>
          </a:extLst>
        </xdr:cNvPr>
        <xdr:cNvCxnSpPr/>
      </xdr:nvCxnSpPr>
      <xdr:spPr>
        <a:xfrm>
          <a:off x="4762500" y="2164080"/>
          <a:ext cx="548640" cy="411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0</xdr:row>
      <xdr:rowOff>45720</xdr:rowOff>
    </xdr:from>
    <xdr:to>
      <xdr:col>2</xdr:col>
      <xdr:colOff>274320</xdr:colOff>
      <xdr:row>7</xdr:row>
      <xdr:rowOff>182880</xdr:rowOff>
    </xdr:to>
    <xdr:pic>
      <xdr:nvPicPr>
        <xdr:cNvPr id="2" name="Image 1" descr="Visitez notre site...">
          <a:extLst>
            <a:ext uri="{FF2B5EF4-FFF2-40B4-BE49-F238E27FC236}">
              <a16:creationId xmlns:a16="http://schemas.microsoft.com/office/drawing/2014/main" id="{3B43E76B-4E21-4392-BBCE-96C1EC597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45720"/>
          <a:ext cx="1097280" cy="1424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rence Lambiel" refreshedDate="46252.99138738426" createdVersion="8" refreshedVersion="8" minRefreshableVersion="3" recordCount="879" xr:uid="{4007B72C-11B9-4AAF-B034-3FA9D62DC18C}">
  <cacheSource type="worksheet">
    <worksheetSource ref="A2:AQ881" sheet="BASE"/>
  </cacheSource>
  <cacheFields count="43">
    <cacheField name="Niveau" numFmtId="0">
      <sharedItems containsBlank="1" containsMixedTypes="1" containsNumber="1" containsInteger="1" minValue="0" maxValue="0"/>
    </cacheField>
    <cacheField name="Compte MCH1" numFmtId="0">
      <sharedItems containsBlank="1" containsMixedTypes="1" containsNumber="1" minValue="120.31" maxValue="120.31"/>
    </cacheField>
    <cacheField name="Libellé MCH1" numFmtId="0">
      <sharedItems containsBlank="1"/>
    </cacheField>
    <cacheField name="Resp BUD" numFmtId="0">
      <sharedItems containsBlank="1"/>
    </cacheField>
    <cacheField name="Classe" numFmtId="0">
      <sharedItems containsBlank="1" containsMixedTypes="1" containsNumber="1" containsInteger="1" minValue="460" maxValue="460"/>
    </cacheField>
    <cacheField name="Dicastere" numFmtId="0">
      <sharedItems containsString="0" containsBlank="1" containsNumber="1" containsInteger="1" minValue="100" maxValue="3514"/>
    </cacheField>
    <cacheField name="Nature" numFmtId="0">
      <sharedItems containsBlank="1" containsMixedTypes="1" containsNumber="1" containsInteger="1" minValue="306" maxValue="306"/>
    </cacheField>
    <cacheField name="Ext" numFmtId="0">
      <sharedItems containsString="0" containsBlank="1" containsNumber="1" containsInteger="1" minValue="0" maxValue="11"/>
    </cacheField>
    <cacheField name="Debit 2025" numFmtId="37">
      <sharedItems containsString="0" containsBlank="1" containsNumber="1" minValue="0" maxValue="7604308"/>
    </cacheField>
    <cacheField name="Credit 2025" numFmtId="37">
      <sharedItems containsString="0" containsBlank="1" containsNumber="1" minValue="-7719194.3499999996" maxValue="0"/>
    </cacheField>
    <cacheField name="Total 2025" numFmtId="37">
      <sharedItems containsString="0" containsBlank="1" containsNumber="1" minValue="-7719194.3499999996" maxValue="7604308"/>
    </cacheField>
    <cacheField name="Debit 2026 Budget" numFmtId="37">
      <sharedItems containsString="0" containsBlank="1" containsNumber="1" minValue="0" maxValue="6032000"/>
    </cacheField>
    <cacheField name="Credit 2026 Budget" numFmtId="37">
      <sharedItems containsString="0" containsBlank="1" containsNumber="1" minValue="-6850000" maxValue="110000"/>
    </cacheField>
    <cacheField name="Total Budget 2026" numFmtId="37">
      <sharedItems containsString="0" containsBlank="1" containsNumber="1" minValue="-6850000" maxValue="6032000"/>
    </cacheField>
    <cacheField name="Juin 2026" numFmtId="37">
      <sharedItems containsString="0" containsBlank="1" containsNumber="1" minValue="-49500" maxValue="3015999.5"/>
    </cacheField>
    <cacheField name="Fctio MCH2" numFmtId="0">
      <sharedItems containsMixedTypes="1" containsNumber="1" containsInteger="1" minValue="82000" maxValue="96903"/>
    </cacheField>
    <cacheField name="Nat MCH2" numFmtId="0">
      <sharedItems containsBlank="1" containsMixedTypes="1" containsNumber="1" containsInteger="1" minValue="3130" maxValue="4612"/>
    </cacheField>
    <cacheField name="Ext MCH2" numFmtId="49">
      <sharedItems/>
    </cacheField>
    <cacheField name="Libellé MCH2" numFmtId="0">
      <sharedItems containsBlank="1"/>
    </cacheField>
    <cacheField name="Montant 2025" numFmtId="0">
      <sharedItems containsString="0" containsBlank="1" containsNumber="1" minValue="-7719194.3499999996" maxValue="7604308"/>
    </cacheField>
    <cacheField name="Budget 27" numFmtId="37">
      <sharedItems containsString="0" containsBlank="1" containsNumber="1" minValue="-7700594.3499999996" maxValue="7254113"/>
    </cacheField>
    <cacheField name="Split du compte" numFmtId="0">
      <sharedItems containsBlank="1" containsMixedTypes="1" containsNumber="1" containsInteger="1" minValue="3301" maxValue="4198"/>
    </cacheField>
    <cacheField name="Quoi?" numFmtId="0">
      <sharedItems containsBlank="1"/>
    </cacheField>
    <cacheField name="Fichier AISGE" numFmtId="0">
      <sharedItems containsBlank="1"/>
    </cacheField>
    <cacheField name="Fichier Perequation" numFmtId="0">
      <sharedItems containsBlank="1"/>
    </cacheField>
    <cacheField name="SOC" numFmtId="0">
      <sharedItems containsNonDate="0" containsString="0" containsBlank="1" count="1">
        <m/>
      </sharedItems>
    </cacheField>
    <cacheField name="ADMIN1" numFmtId="0">
      <sharedItems containsSemiMixedTypes="0" containsString="0" containsNumber="1" containsInteger="1" minValue="0" maxValue="3514" count="55">
        <n v="100"/>
        <n v="0"/>
        <n v="101"/>
        <n v="110"/>
        <n v="120"/>
        <n v="160"/>
        <n v="170"/>
        <n v="180"/>
        <n v="190"/>
        <n v="200"/>
        <n v="210"/>
        <n v="220"/>
        <n v="230"/>
        <n v="310"/>
        <n v="320"/>
        <n v="321"/>
        <n v="3500"/>
        <n v="3501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410"/>
        <n v="420"/>
        <n v="430"/>
        <n v="440"/>
        <n v="450"/>
        <n v="452"/>
        <n v="451"/>
        <n v="460"/>
        <n v="470"/>
        <n v="500"/>
        <n v="510"/>
        <n v="520"/>
        <n v="530"/>
        <n v="540"/>
        <n v="550"/>
        <n v="560"/>
        <n v="570"/>
        <n v="580"/>
        <n v="600"/>
        <n v="620"/>
        <n v="650"/>
        <n v="660"/>
        <n v="710"/>
        <n v="720"/>
        <n v="810"/>
      </sharedItems>
    </cacheField>
    <cacheField name="ADMIN2" numFmtId="0">
      <sharedItems containsNonDate="0" containsString="0" containsBlank="1" count="1">
        <m/>
      </sharedItems>
    </cacheField>
    <cacheField name="ADMIN3" numFmtId="0">
      <sharedItems containsNonDate="0" containsString="0" containsBlank="1" count="1">
        <m/>
      </sharedItems>
    </cacheField>
    <cacheField name="NAT1" numFmtId="0">
      <sharedItems containsMixedTypes="1" containsNumber="1" containsInteger="1" minValue="0" maxValue="306" count="58">
        <s v="300"/>
        <s v="301"/>
        <s v="303"/>
        <s v="305"/>
        <n v="0"/>
        <s v="306"/>
        <s v="311"/>
        <s v="390"/>
        <s v="304"/>
        <s v="317"/>
        <s v="318"/>
        <s v="330"/>
        <s v="435"/>
        <s v="436"/>
        <s v="480"/>
        <s v="490"/>
        <s v="309"/>
        <n v="306"/>
        <s v="310"/>
        <s v="319"/>
        <s v="332"/>
        <s v="365"/>
        <s v="380"/>
        <s v="431"/>
        <s v="315"/>
        <s v="314"/>
        <s v="352"/>
        <s v="381"/>
        <s v="406"/>
        <s v="481"/>
        <s v="312"/>
        <s v="331"/>
        <s v="451"/>
        <s v="351"/>
        <s v="329"/>
        <s v="400"/>
        <s v="401"/>
        <s v="402"/>
        <s v="404"/>
        <s v="405"/>
        <s v="409"/>
        <s v="410"/>
        <s v="422"/>
        <s v="441"/>
        <s v="321"/>
        <s v="322"/>
        <s v="423"/>
        <s v="424"/>
        <s v="425"/>
        <s v="427"/>
        <s v="434"/>
        <s v="452"/>
        <s v="465"/>
        <s v="313"/>
        <s v="316"/>
        <s v="430"/>
        <s v="437"/>
        <s v="366"/>
      </sharedItems>
    </cacheField>
    <cacheField name="NAT2" numFmtId="0">
      <sharedItems containsSemiMixedTypes="0" containsString="0" containsNumber="1" containsInteger="1" minValue="0" maxValue="11" count="12">
        <n v="0"/>
        <n v="1"/>
        <n v="2"/>
        <n v="3"/>
        <n v="10"/>
        <n v="11"/>
        <n v="4"/>
        <n v="5"/>
        <n v="6"/>
        <n v="7"/>
        <n v="8"/>
        <n v="9"/>
      </sharedItems>
    </cacheField>
    <cacheField name="NAT3" numFmtId="0">
      <sharedItems containsNonDate="0" containsString="0" containsBlank="1" count="1">
        <m/>
      </sharedItems>
    </cacheField>
    <cacheField name="LIBELLÉ" numFmtId="0">
      <sharedItems containsMixedTypes="1" containsNumber="1" containsInteger="1" minValue="0" maxValue="0" count="625">
        <s v="Conseil Communal - Commissions"/>
        <s v="Conseil Communal - Secrétariat"/>
        <s v="Conseil Communal - Cotisations AVS/AC/AF"/>
        <s v="Conseil Communal - Ass. Accidents/Maladie"/>
        <n v="0"/>
        <s v="Conseil Communal - Frais"/>
        <s v="Conseil Communal -Achats matériel et logiciels"/>
        <s v="Conseil Communal - imputations internes salaires"/>
        <s v="Rétributions Municipalité"/>
        <s v="Salaire et vacations"/>
        <s v="Cotisations AVS/AC/AF"/>
        <s v="Prévoyance professionnelle"/>
        <s v="Assurances Accidents/Maladie"/>
        <s v="Frais du personnel ou représentation ext."/>
        <s v="Réceptions et manifestations"/>
        <s v="Prestations de service et avocats"/>
        <s v="Prestations SIR"/>
        <s v="AUTORITES  AMORTISSEMENT"/>
        <s v="Imputations internes salaires"/>
        <s v="Vente Manifestations"/>
        <s v="Participations de tiers"/>
        <s v="Prélèvement fonds de réserve"/>
        <s v="Imputations internes"/>
        <s v="Administration salaires"/>
        <s v="Administration Cotisations AVS/AC/AF"/>
        <s v="Administration Caise de prévoyance LPP"/>
        <s v="Administration Ass. Accidents/Maladie"/>
        <s v="Administration Frais du personnel"/>
        <s v="Cours et cadeaux"/>
        <s v="Achats Livres : NatuRando / B-d-Chêne"/>
        <s v="Frais de Ports, frais Postfinance et Twint"/>
        <s v="Téléphones"/>
        <s v="Ass. RC commune"/>
        <s v="Cotisations à inst. Privées"/>
        <s v="Amortissement suppl admin"/>
        <s v="Dons et subventions"/>
        <s v="Aides culture et loisirs"/>
        <s v="Attribution au fonds culture (9282.7)"/>
        <s v="Imputations internes salaires admin."/>
        <s v="Autorisations, permis temporaires"/>
        <s v="Ventes plans et livres Genolier"/>
        <s v="Remboursements de tiers admin."/>
        <s v="Prélèvement au fonds de réserve"/>
        <s v="Imputations internes admin."/>
        <s v="Fournitures de bureau, abonnements et parutions (incl. Archivistes)"/>
        <s v="Achats Mobilier et machines de bureau"/>
        <s v="Entretien mobilier et machines de bureau"/>
        <s v="Attribution au fonds renouvellement (9281.1)"/>
        <s v="Prélèvement au fonds renouvellement (9281.1)"/>
        <s v="Tourisme entretien"/>
        <s v="Taxes de séjours Région Nyon"/>
        <s v="Attribution au fonds de réserve (9280.6)"/>
        <s v="Attribution au fonds affecté tourisme (9280.6)"/>
        <s v="Taxes communales de séjour"/>
        <s v="Prél. Au fonds affecté tourisme (9280.6)"/>
        <s v="Salaires sports"/>
        <s v="Caisse de prévoyance LPP"/>
        <s v="Ass. Accidents/maladie"/>
        <s v="Frais du personnel"/>
        <s v="ACHATS machines et matériel"/>
        <s v="Eclairage terrains de sport"/>
        <s v="Entretien des terrains de sport"/>
        <s v="Amortissement obligatoire Patr.Administratif sports"/>
        <s v="Amortissement suppl Patr.Administratif sports"/>
        <s v="Aide sports"/>
        <s v="Imputations internes sport"/>
        <s v="Participation de tiers sports"/>
        <s v="Subventions cantonales"/>
        <s v="Prél. Au fonds renouvellement (9282.1)"/>
        <s v="Prestations de service ABT CFF"/>
        <s v="Participation transports régionaux"/>
        <s v="Participation Nyon-St-Cergue"/>
        <s v="Participations de tiers cartes CFF"/>
        <s v="Fournitures de bureau (informatique)"/>
        <s v="Achats matériel et logiciels"/>
        <s v="Entretien du matériel informatique"/>
        <s v="Maintenance et honoraires"/>
        <s v="Attribution au fonds renouvellement (9281.5)"/>
        <s v="Participation de tiers"/>
        <s v="Prélèvement au fonds de renouvellement (9281.5)"/>
        <s v="Salaires bourse"/>
        <s v="Frais de contentieux (Poursuites)"/>
        <s v="Imputations internes salaires bourse"/>
        <s v="Remboursement de tiers DAP Frais de rappel"/>
        <s v="Frais de perception"/>
        <s v="Amende de soustract. d'impôt"/>
        <s v="Défalcations, remises, modifications de taxes antérieures"/>
        <s v="Int. Rémunératoires"/>
        <s v="Défalcations"/>
        <s v="Participation cantonale (RIE III + RFFA)"/>
        <s v="Attrib. Au fonds Provision sur créances d'impôts (9282.10)"/>
        <s v="Impôt sur le revenu PP"/>
        <s v="Impôt sur la fortune PP"/>
        <s v="Impôt à la source"/>
        <s v="Impôt sur la dépense (anc. Spécial étranger)"/>
        <s v="Impôt sur bénéfice net PM"/>
        <s v="Impôt sur le capital"/>
        <s v="Impôt cpl. Sur les immeubles PM"/>
        <s v="Impôt foncier"/>
        <s v="Impôt sur le droit de mutation"/>
        <s v="Impôt Successions - donations"/>
        <s v="Impôt sur les chiens"/>
        <s v="Impôt récupéré après défalcation"/>
        <s v="Patentes diverses"/>
        <s v="Majoration int. Moratoires"/>
        <s v="Impôt sur les gains immobiliers"/>
        <s v="Impôt frontaliers"/>
        <s v="Prél. Au fonds (dissolution de provision sur créances d'impôt)"/>
        <s v="Frais Bancaires"/>
        <s v="Int. s/dettes à court terme"/>
        <s v="Int. Sur emprunt à court terme Caserne"/>
        <s v="Int. Sur emprunt à long terme Immeuble P19 Pharmacie"/>
        <s v="Int. sur emprunt Bâtiment 78 réfection Gym &quot;Le Gossan&quot;"/>
        <s v="Int. Sur emprunt à long terme routes &quot;Cézille et Duillier&quot; + Caserne"/>
        <s v="Int. Sur emprunt à long terme &quot;Fontaine à l'autre&quot;"/>
        <s v="Int. Sur emprunt à long terme &quot;Source vive&quot;"/>
        <s v="Int. Sur emprunt à long terme Caserne"/>
        <s v="Int. Sur emprunt à long terme Routes"/>
        <s v="Int. Sur emprunt à long terme routes &quot;Cézille et Duillier&quot;"/>
        <s v="Int moratoires"/>
        <s v="Pertes sur débiteurs"/>
        <s v="Amortissement titres et placements"/>
        <s v="Péréquation"/>
        <s v="Péréquation année précédente"/>
        <s v="Aides, subventions"/>
        <s v="Subvention énergies renouvelables (amort. 9282.13)"/>
        <s v="Attrib. Au fonds de réserve travaux futurs (9282.1)"/>
        <s v="Attrib. Au fonds de réserve Energies renouvelables (9282.13)"/>
        <s v="Attrib. Au fonds de réserve intérêts publics (9282.14)"/>
        <s v="Revenus du patrimoine financier"/>
        <s v="Revenus des droits de superficie"/>
        <s v="Gains comptables patrimoine financier"/>
        <s v="Revenus du patrimoine administratif"/>
        <s v="Revenus des immeubles du patrimoine administratif"/>
        <s v="Taxe pour usage du sol Romande Energie"/>
        <s v="Redistribution  taxe CO2"/>
        <s v="Retour Péréquation directe"/>
        <s v="Péréquation horizontale"/>
        <s v="Solde péréquation année précédente"/>
        <s v="Péréquation retour population"/>
        <s v="Prélèvement au fonds de réserve énergies renouvelables (9282.13)"/>
        <s v="Imputations internes intérêts"/>
        <s v="Amortissement et réserves PF divers"/>
        <s v="PF Terrains et bâtiments"/>
        <s v="Titres et placement financiers"/>
        <s v="Titres et Placements Administrarif"/>
        <s v="Amortissement supplémentairesTitres"/>
        <s v="Fonds de réserve"/>
        <s v="Attrib. Au fonds de réserve Cantonal"/>
        <s v="ATTRIB FDS D'EGAL DES RESULT"/>
        <s v="Gains sur vente immobilière"/>
        <s v="AMORTISSEMENTS et RESERVES non-ventilés"/>
        <s v="AMORTISSEMENTS et RESERVES  PRELEVEMENT RESERVES"/>
        <s v="TERRAINS  ACHATS MACHINES MATERIEL EXPL"/>
        <s v="TERRAINS  ENTRETIEN"/>
        <s v="TERRAINS  REAMENAGEMENT PLACE PETANQUE (inactif)"/>
        <s v="TERRAINS  SYNDICATS AF et ARROSAGE SANE (inactif)"/>
        <s v="TERRAINS  Honoraires, Prestations services"/>
        <s v="TERRAINS  FEU BACTERIEN / Parasites / Chenilles pros."/>
        <s v="TERRAINS  ATTRIBUTION FONDS RESERVE La Chèvrerie"/>
        <s v="TERRAINS  ATTRIBUTION FONDS. RESERVE Ventes"/>
        <s v="TERRAINS  LOCATIONS DIVERSES"/>
        <s v="TERRAINS  GAINS COMPTABLE PATR FIN : VENTES"/>
        <s v="TERRAINS  GAINS COMPTABLE (Vente - prel fnds res)"/>
        <s v="TERRAINS  LOCATION BOIS-DE-CHENES (inactif)"/>
        <s v="TERRAINS  FACTURATION A DES TIERS"/>
        <s v="TERRAINS  REMB FEU BACTERIEN"/>
        <s v="TERRAINS  Subventions cantonales"/>
        <s v="TERRAINS  PREL RESERVE (9280.6)"/>
        <s v="FORETS  ENTRETIEN HORS &quot;COLLINE&quot;"/>
        <s v="FORETS  TAXES VHC COTISATIONS ASS. TEL"/>
        <s v="FORÊTS  FRAIS DIVERS TAXES TVA"/>
        <s v="Amortissement desserte forestière"/>
        <s v="Amortissement Forêts"/>
        <s v="FORETS  FRAIS TRIAGE &quot;LA COLLINE&quot;"/>
        <s v="FORETS  Participation exploitation Bois-de-Chênes"/>
        <s v="FORETS  ATTRIB FONDS RESERVE BOIS DE CHÊNES"/>
        <s v="FORETS  VENTE BOIS"/>
        <s v="FORETS  PARTICIPATIONS et SUBVENTIONS DE TIERS"/>
        <s v="FORETS Prélèvement fonds de reserve BDC (9282.6)"/>
        <s v="PATURAGES  ACHATS MACHINE MATERIEL"/>
        <s v="PATURAGES  ACHATS MARCHANDISES"/>
        <s v="PATURAGES  ENT CHALETS CLÔTURES ROUTES ALPAGES MURETS"/>
        <s v="PATURAGES  PART AUX AMODIATAIRES P/ENTRETIEN"/>
        <s v="PATURAGES  ASSURANCES RC ECA"/>
        <s v="PATURAGES  AMORTISSEMENT P ADM"/>
        <s v="PATURAGES  AMORTISSEMENT SUPPL P ADM"/>
        <s v="PATURAGES  ATTRB. FONDS DE RESERVE CHALETS, PATURAGES"/>
        <s v="PATURAGES  LOCATIONS PATURAGES"/>
        <s v="PATURAGES  VENTE BOIS &amp; Divers"/>
        <s v="PATURAGES  PART AMODIATAIRES ENT ALPAGES, CLÔTURES"/>
        <s v="PATURAGES  PART DE TIERS ASSURANCES ECA"/>
        <s v="PATURAGES  PART DU CANTON, SUBVENTION"/>
        <s v="PATURAGES  Subventions et participations de tiers"/>
        <s v="PATURAGES  PRELEVEMENT RESERVE"/>
        <s v="BATI. COMM CONCIERGERIE"/>
        <s v="BATI. COMM COTISATIONS AVS AC AF"/>
        <s v="BATI. COMM CAISSE PREVOYANCE LPP"/>
        <s v="BATI. COMM ASS ACCIDENTS et MALADIE"/>
        <s v="BATI. COMMUNAUX  FRAIS DU PERSONNEL"/>
        <s v="BATI. COMM ACHATS MOBILIER MACH. MATERIEL COMMUNAL"/>
        <s v="BATI. COMM ACHATS ELECTRICITE EAU COMMUNAL"/>
        <s v="BATI. COMM ACHATS COMBUSTIBLE CAD COMMUNAL (inactif)"/>
        <s v="BATI. COMM ACHATS MARCH PROD ENT COMMUNAL"/>
        <s v="BATI. COMM ENTRETIEN COMMUNAL"/>
        <s v="BATI. COMM CONTRATS ENTRETIEN BÂT"/>
        <s v="BATI. COMM DECPTE CHARGES REGIE SPG - VALAUR SA"/>
        <s v="Stand de Tir - Frais entretien courants (convention)"/>
        <s v="Stand de tir - Frais entretien ponctuels (convention)"/>
        <s v="BATI. COMM ENT MOBILIER INST TECH COMMUNAL"/>
        <s v="BATI. COMM CONTRATS ENT INST TECH COMMUNAL"/>
        <s v="BATI. COMM PREST ASS et HONORAIRES COMMUNAL"/>
        <s v="AMORT PATR FIN COMMUNAL"/>
        <s v="BATI. COMM AMORT PATR ADM COMMUNAL"/>
        <s v="BATI. COMM AMORT PATR ADM SUPPL COMMUNAL"/>
        <s v="BATI. COMM ATTRIB FONDS RESERVE BOIS-CHENES (9282.6)"/>
        <s v="BATI. COMM ATTRIB FONDS RENOVATION (9281.6)"/>
        <s v="BATI. COMM ATTRIBUT FONDS RESERVE INFRASTRUCTURES (9282.8)"/>
        <s v="BATI. COMM IMPUTATIONS INT SALAIRES"/>
        <s v="BATI. COMM LOYERS COMMUNAUX"/>
        <s v="BATI. COMM LOYERS BOIS-DE-CHENE PATR ADM"/>
        <s v="BATI. COMM DECPTE LOYERS REGIE SPG - VALAUR SA"/>
        <s v="BATI. COMM PART DE TIERS"/>
        <s v="Stand de Tir - Refacuration (convention)"/>
        <s v="BATI. COMM PRELEVEMENT FONDS RESERVE INFRASTRUCTURES (9282.8)"/>
        <s v="ANCIENNE POSTE  ACHATS MOBILIER MACH. MATERIEL COMMUNAL"/>
        <s v="ANCIENNE POSTE  ACHATS ELECTRICITE COMMUNAL"/>
        <s v="ANCIENNE POSTE  ACHATS COMBUSTIBLE COMMUNAL"/>
        <s v="ANCIENNE POSTE  ACHATS MARCH PROD ENT"/>
        <s v="ANCIENNE POSTE  ENTRETIEN COMMUNAL"/>
        <s v="ANCIENNE POSTE  CONTRATS ENTRETIEN BÂT"/>
        <s v="ANCIENNE POSTE  DECPTE CHARGES REGIE SPG - VALAUR SA"/>
        <s v="ANCIENNE POSTE  ENT MOB et INST TECH COMMUNAL"/>
        <s v="ANCIENNE POSTE  CONTRATS ENT INST TECH COMMUNAL"/>
        <s v="ANCIENNE POSTE  PREST ASS, HONORAIRES, Frais divers"/>
        <s v="ANCIENNE POSTE  ATTRIB FONDS RENOV ATION (9281.7)"/>
        <s v="ANCIENNE POSTE LOYERS COMMUNAUX"/>
        <s v="ANCIENNE POSTE DECPTE LOYERS REGIE SPG - VALAUR SA"/>
        <s v="ANCIENNE POSTE  PART DE TIERS"/>
        <s v="ANCIENNE POSTE PRELEVEMENT FONDS DE RESERVE"/>
        <s v="AUBERGE et APPT  ACHATS MOB MACH MATERIEL CNE"/>
        <s v="AUBERGE et APPT  ACHATS ELECTRICITE"/>
        <s v="AUBERGE et APPT  ACHATS COMBUSTIBLE CAD"/>
        <s v="AUBERGE et APPT  ACHATS MARCHANDISES PROD ENTRETIEN"/>
        <s v="AUBERGE et APPT  ENTRETIEN COMMUNAL"/>
        <s v="AUBERGE et APPT  CONTRATS ENTRETIEN BÂT"/>
        <s v="AUBERGE et APPT DECPTE CHARGES REGIE SPG - VALAUR SA"/>
        <s v="AUBERGE et APPT  ENTRETIEN MOB et INST TECH"/>
        <s v="AUBERGE et APPT  CONTRATS ENT INST TECH"/>
        <s v="AUBERGE et APPT PREST ASSURANCES et HONORAIRES"/>
        <s v="AUBERGE  AMORTISSEMENT"/>
        <s v="AUBERGE et APPT  ATTRIB FONDS RENOVATION (9281.13)"/>
        <s v="AUBERGE et APPT DECPTE LOYERS REGIE SPG - VALAUR SA"/>
        <s v="AUBERGE et APPT  PART DE TIERS"/>
        <s v="AUBERGE PRELEVEMENT FONDS DE RESERVE"/>
        <s v="COLLEGES  ACHATS MARCH PROD ENTRETIEN"/>
        <s v="D'UNE FONTAINE ACHATS MOB MACH MATERIEL CNE"/>
        <s v="D'UNE FONTAINE ACHATS ELECTRICITE COMMUNAL"/>
        <s v="D'UNE FONTAINE ACHATS COMBUSTIBLE CAD COMMUNAL"/>
        <s v="D'UNE FONTAINE ACHATS MARCH PROD ENT COMMUNAL"/>
        <s v="D'UNE FONTAINE ENTRETIEN BÂTIMENT COMMUNAL"/>
        <s v="D'UNE FONTAINE CONTRATS ENTRETIEN BÂT"/>
        <s v="D'UNE FONTAINE DECPTE CHARGES REGIE SPG - VALAUR SA"/>
        <s v="D'UNE FONTAINE ENTRETIEN MOB et INST TECH COMMUNAL"/>
        <s v="D'UNE FONTAINE CONTRAT ENT MOB et INST TECH COMMUNAL"/>
        <s v="D'UNE FONTAINE PREST ASS et HONORAIRES CNE"/>
        <s v="D'UNE FONTAINE ATTRIB FONDS RENOVATION (9281.15)"/>
        <s v="D'UNE FONTAINE IMPUTATIONS INTERNES INTERÊTS"/>
        <s v="D'UNE FONTAINE DECPTE LOYERS REGIE SPG - VALAUR SA"/>
        <s v="D'UNE FONTAINE PART DE TIERS"/>
        <s v="1912 - LE MONTANT  ACHATS MOBILIER MACH. MATERIEL COMMUNAL"/>
        <s v="1912 - LE MONTANT  ACHATS ELECTRICITE COMMUNAL"/>
        <s v="1912 - LE MONTANT  ACHATS COMBUSTIBLE CAD"/>
        <s v="1912 - LE MONTANT  ACHATS MARCH PROD ENTRETIEN COMMUNAL"/>
        <s v="1912 - LE MONTANT  ENTRETIEN BÂTIMENT COMMUNAL"/>
        <s v="1912 - LE MONTANT  CONTRATS ENTRETIEN BÂT"/>
        <s v="1912 - LE MONTANT  DECPTE CHARGES REGIE SPG - VALAUR SA"/>
        <s v="1912 - LE MONTANT  ENTRETIEN MOB et INST TECH COMMUNAL"/>
        <s v="1912 - LE MONTANT  CONTRATS ENT MOB et INST TECH COMMUNAL"/>
        <s v="1912 - LE MONTANT  PREST SERVICES ASS et HONORAIRES COMMUNAL"/>
        <s v="Amortissement Montant"/>
        <s v="1912 - LE MONTANT  ATTRIB FONDS RENOVATION (9281.16)"/>
        <s v="1912 - LE MONTANT  IMPUTATIONS INT SALAIRES"/>
        <s v="1912 - LE MONTANT  LOYER CLASSES et BUREAU"/>
        <s v="1912 - LE MONTANT  DECPTE LOYERS REGIE SPG - VALAUR SA"/>
        <s v="1912 - LE MONTANT  PART DE TIERS"/>
        <s v="Prél. s/fonds de réserve Le Montant (9282.1)"/>
        <s v="1912 - LE MONTANT  IMPUTATIONS INTERNES"/>
        <s v="BOUCHERIE  ACHATS MOBILIER MACH. MATERIEL COMMUNAL"/>
        <s v="BOUCHERIE  ACHATS ELECTRICITE (INACTIF)"/>
        <s v="BOUCHERIE  ACHATS COMBUSTIBLE CAD (INACTIF)"/>
        <s v="BOUCHERIE  ACHATS MARCHANDISES (INACTIF)"/>
        <s v="BOUCHERIE  ENTRETIEN BÂTIMENT COMMUNAL"/>
        <s v="BOUCHERIE  CONTRATS ENTRETIEN BÂT"/>
        <s v="BOUCHERIE  DECPT CHARGES REGIE SPG - VALAUR SA"/>
        <s v="BOUCHERIE  ENT MOB et INST TECH"/>
        <s v="BOUCHERIE  CONTRAT ENT INST TECH (INACTIF)"/>
        <s v="BOUCHERIE  PREST SERVICES ASS et HONORAIRES"/>
        <s v="BOUCHERIE  ATTRIB FONDS RENOVATION (9281.17)"/>
        <s v="BOUCHERIE  DECPTE LOYERS REGIE SPG - VALAUR SA"/>
        <s v="BOUCHERIE PART. TIERS"/>
        <s v="BÂTIMENT EGLISE  SALAIRE"/>
        <s v="BÂTIMENT EGLISE  COTISATION AVS AC AF"/>
        <s v="BÂTIMENT EGLISE  CAISSE PREVOYANCE LPP"/>
        <s v="BÂTIMENT EGLISE  ASS ACCIDENTS et MALADIE"/>
        <s v="BÂTIMENT EGLISE FRAIS DU PERSONNEL"/>
        <s v="BÂTIMENT EGLISE  ACHATS MOBILIER MACH. MATERIEL"/>
        <s v="BÂTIMENT EGLISE  ACHATS ELECTRICITE COMBUSTIBLE"/>
        <s v="BÂTIMENT EGLISE  ACHATS MARCH  PROD ENT"/>
        <s v="BÂTIMENT EGLISE  ENTRETIEN BÂTIMENT"/>
        <s v="BÂTIMENT EGLISE  CONTRATS ENTRETIEN"/>
        <s v="BÂTIMENT EGLISE  ENT MOB et INST TECH"/>
        <s v="BÂTIMENT EGLISE  CONTRAT ENT INST TECH"/>
        <s v="BÂTIMENT EGLISE  PREST SERVICES ASS et HONORAIRES"/>
        <s v="BÂTIMENT EGLISE  AMORTISSEMENT SUPPL P ADM"/>
        <s v="BÂTIMENT EGLISE  ATTRIB FONDS RENOVATION (9281.18 )"/>
        <s v="BÂTIMENT EGLISE  IMPUTATIONS INT SALAIRES"/>
        <s v="BÂTIMENT EGLISE  PART DE TIERS"/>
        <s v="LE GOSSAN SALAIRES"/>
        <s v="LE GOSSAN  COTISATIONS AVS AC AF"/>
        <s v="LE GOSSAN  CAISSE PREVOYANCE LPP"/>
        <s v="LE GOSSAN  ASS ACCIDENTS et MALADIE"/>
        <s v="LE GOSSAN FRAIS DU PERSONNEL"/>
        <s v="LE GOSSAN  ACHATS MOBILIER MACH. MATERIEL"/>
        <s v="LE GOSSAN  ACHATS ELECTRICITE"/>
        <s v="LE GOSSAN  ACHATS COMBUSTIBLE CAD"/>
        <s v="LE GOSSAN  ACHATS MARCH PROD ENTRETIEN"/>
        <s v="LE GOSSAN  ENTRETIEN BÂTIMENT"/>
        <s v="LE GOSSAN  CONTRATS ENTRETIEN BÂT"/>
        <s v="LE GOSSAN  ENTRETIEN MOB et INST TECH"/>
        <s v="LE GOSSAN  CONTRATS ENT INST TECH"/>
        <s v="LE GOSSAN  PREST SERVICES ASS et HONORAIRES"/>
        <s v="LE GOSSAN  AMORT PATR ADM"/>
        <s v="LE GOSSAN  AMORT PATR. ADMINISTRAT SUPPL"/>
        <s v="LE GOSSAN  ATTRIB FONDS RENOVATION (9281.9)"/>
        <s v="LE GOSSAN  IMPUTATIONS INT SALAIRES"/>
        <s v="LE GOSSAN  IMPUTATIONS INTERNES INTERÊTS"/>
        <s v="LE GOSSAN  LOYERS COMMUNAUX : Revenus Imm., Loc. Salle"/>
        <s v="LE GOSSAN  LOYER : Réfectoire scolaire"/>
        <s v="LE GOSSAN  PART DE TIERS"/>
        <s v="LE GOSSAN  PRELEVEMENT FONDS DE RESERVE"/>
        <s v="PAVILLON  ACHATS MOBILIER MACH. MATERIEL"/>
        <s v="PAVILLON  ACHATS ELECTRICITE"/>
        <s v="PAVILLON  ACHATS COMBUSTIBLE CAD"/>
        <s v="PAVILLON  ACHATS MARCH PROD ENTRETIEN CAFE"/>
        <s v="PAVILLON  ENTRETIEN BÂTIMENT"/>
        <s v="PAVILLON  CONTRATS D’ENTRETIEN BÂTIMENT"/>
        <s v="PAVILLON  ENTRETIEN MOB et INST TECH"/>
        <s v="PAVILLON  CONTRATS ENT INST TECH COMMUNAL"/>
        <s v="PAVILLON  ASSURANCES INTERNET TV"/>
        <s v="PAVILLON  AMORT PATR. ADMINISTRAT"/>
        <s v="PAVILLON  AMORT PATR. ADMINISTRAT SUPPL"/>
        <s v="PAVILLON  ATTRIB FONDS RENOVATION (9281.10)"/>
        <s v="PAVILLON  IMPUTATIONS INT SALAIRES"/>
        <s v="PAVILLON  LOYERS COMMUNAUX"/>
        <s v="PAVILLON  PART DE TIERS"/>
        <s v="PAVILLON  PRELEV FDS RENOVATION (9281.10)"/>
        <s v="SOURCE VIVE ACHATS MOBILIER MACH. MATERIEL"/>
        <s v="SOURCE VIVE ACHATS ELECTRICITE"/>
        <s v="SOURCE VIVE ACHATS MARCH PROD ENTRETIEN"/>
        <s v="SOURCE VIVE  ENTRETIEN BÂTIMENT"/>
        <s v="SOURCE VIVE  CONTRATS D’ENTRETIEN BÂTIMENT"/>
        <s v="SOURCE VIVE DECPTE CHARGES REGIE SPG - VALAUR SA"/>
        <s v="SOURCE VIVE  ENTRETIEN MOB et INST TECH"/>
        <s v="SOURCE VIVE  CONTRATS ENT INST TECH COMMUNAL"/>
        <s v="SOURCE VIVE  PRESTATIONS ASSURANCES HONORAIRES"/>
        <s v="SOURCE VIVE  AMORTISSEMENT PART FINANCIER"/>
        <s v="SOURCE-VIVE  AMORT PATR ADM COMMUNAL (inactif)"/>
        <s v="SOURCE VIVE  ATTRIB FONDS RENOVATION (9281.19)"/>
        <s v="SOURCE VIVE  LOYERS et REVENUS PART FINANCIER"/>
        <s v="SOURCE VIVE  DECPTE LOYERS REGIE SPG - VALAUR SA"/>
        <s v="SOURCE VIVE  PART DE TIERS"/>
        <s v="SOURCE-VIVE  PRELEVEMENT FONDS RESERVE (9281.19)"/>
        <s v="CASERNE ACHAT MOBILIER, MATERIEL CTC"/>
        <s v="CASERNE ACHAT MOBILIER, MATERIEL (inactif)"/>
        <s v="CASERNE ACHAT MOBILIER, MATERIEL LOGEMENTS (inactif)"/>
        <s v="CASERNE ACHAT EAU, ELECTRICITE, CHAUFFAGE CTC"/>
        <s v="CASERNE ACHAT MARCH. PRODUITS ENTRETIEN CTC"/>
        <s v="CASERNE ACHAT MARCH. PRODUITS ENTRETIEN CASERNE (inactif)"/>
        <s v="CASERNE ACHAT MARCH. PRODUITS ENTRETIEN LOGEMENTS (inactif)"/>
        <s v="CASERNE / CTC ENTRETIEN BATIMENT"/>
        <s v="CASERNE Décompte de charges Rytz (inactif)"/>
        <s v="CASERNE ENTRETIEN BATIMENT LOGEMENTS"/>
        <s v="CASERNE DECOMPTE DE CHARGES SPG - VALAUR SA"/>
        <s v="CASERNE CONTRAT MAINTENANCE PHOTOVOLTAIQUE"/>
        <s v="CASERNE / CTC ENTRETIEN + CONTRAT MOB. INSTALLATIONS CTC"/>
        <s v="CASERNE ENTRETIEN MOB. INSTALLATIONS CASERNE"/>
        <s v="CASERNE ENTRETIEN MOB. INSTALLATIONS LOGEMENTS"/>
        <s v="CASERNE  PRESTATIONS ASSURANCES et HONORAIRES"/>
        <s v="CASERNE AMORTISSEMENTS PATR ADM COMMUNAL"/>
        <s v="CASERNE ATTRIBUTION FONDS DE RENOVATION"/>
        <s v="CASERNE LOYERS CASERNE"/>
        <s v="CASERNE APPART. DECPTE LOYERS SPG - VALAUR SA"/>
        <s v="CASERNE  PART DE TIERS"/>
        <s v="La Chèvrerie : Eau, Electricité, Chauffage"/>
        <s v="La Chèvrerie : Entretien Bâti., Déneigement accès, Nettoy.Parcelles"/>
        <s v="La Chèvrerie : Assurance et Prestations de service"/>
        <s v="La Chèvrerie : Amort. Patr. Admn."/>
        <s v="La Chèvrerie : Attrib. Fonds réser., renouv. (9282.1)"/>
        <s v="La Chèvrerie : Loyers"/>
        <s v="La Chèvrerie : Gains immobiliers patrimoine financer"/>
        <s v="La Chèvrerie :  Prélèvement fonds rés. Travaux futurs (9282.1)"/>
        <s v="Gare 5 Combustible"/>
        <s v="Electricité Rte de la Gare 5"/>
        <s v="Gare 5 entretien"/>
        <s v="Gare 5 charges Régie SPG - VALAUR SA"/>
        <s v="Gare 5_Entretien mobilier et installation"/>
        <s v="Gare 5 Assurances et honoraires"/>
        <s v="Amortissement Av. de la Gare (PA)"/>
        <s v="Gare 5 attrib fonds de rénovation"/>
        <s v="Gare 5 Loyers Rytz"/>
        <s v="Gare 5 décompte loyer, SPG - VALAUR SA"/>
        <s v="PRELEVEMENT FONDS RESERVE"/>
        <s v="SERVICE TECHNIQUE  PARUTIONS ENQUÊTES (140.310)"/>
        <s v="SERVICE TECHNIQUE  FRAIS ENQUÊTE STI (140.318.2)"/>
        <s v="SERVICE TECHNIQUE  PERMIS CONSTRUIRE HABITER"/>
        <s v="URBANISME  CONSEIL REGIONAL"/>
        <s v="URBANISME   AMORT PATR ADMINISTRATIF"/>
        <s v="Amortissement suppl Service Urbanisme"/>
        <s v="URBANISME   ATTRIB FONDS RENOUV."/>
        <s v="REMBOURSEMENT DE TIERS"/>
        <s v="URBANISME  PRELEVEMENT FONDS DE RESERVE"/>
        <s v="ROUTES  VOIRIE SALAIRES"/>
        <s v="ROUTES  VOIRIE COTISATIONS AVS AC AF"/>
        <s v="ROUTES  VOIRIE CAISSE PREVOYANCE LPP"/>
        <s v="ROUTES  VOIRIE ASS ACCIDENTS et MALADIE"/>
        <s v="ROUTES  VOIRIE INDEMNISATION et REMBOURSEMENT DE  FRAIS"/>
        <s v="ROUTES  VOIRIE COURS DE FORMATION"/>
        <s v="ROUTES  VOIRIE ACHATS MACHINE MATERIEL HABITS"/>
        <s v="ROUTES  VOIRIE ACHATS MARCHANDISES PROD ENTRETIEN Consommables"/>
        <s v="ROUTES  VOIRIE ACHATS SIGNALISATION"/>
        <s v="ROUTES  VOIRIE ACHATS ELECTRICITE"/>
        <s v="ROUTES  ENTRETIEN"/>
        <s v="ROUTES  Espaces verts, fleurs (hors dép.thématiques)"/>
        <s v="ROUTES  ENTRETIEN CHEMINS FORESTIERS"/>
        <s v="ROUTES  ENTRETIEN DENEIGEMENT COMMUNAL"/>
        <s v="ROUTES  VOIRIE ENTRETIEN MACH VHC INST TECH"/>
        <s v="ROUTES  VOIRIE HONORAIRES, ASS. VHC, PREST. SERVICES"/>
        <s v="ROUTES  VOIRIE AMORTISSEMENT ROUTES VEHICULES"/>
        <s v="ROUTES  AMORTISSEMENT REFECTION GENERALE 2019"/>
        <s v="ROUTES  VOIRIE AMORTISSEMENT PISTE PIETONNIERE RTE DE DUILLIER"/>
        <s v="ROUTES  VOIRIE AMORTISSEMENT ROUTE DE LA GARE"/>
        <s v="ROUTES  VOIRIE AMORTISSEMENT ROUTE DE TRELEX"/>
        <s v="ROUTES  VOIRIE AMORTISSEMENT ROUTE DE LA CEZILLE"/>
        <s v="ROUTES  VOIRIE AMORTISSEMENT ROUTE DE DUILLIER"/>
        <s v="ROUTES  VOIRIE AMORTISSEMENT SUPPL P ADM"/>
        <s v="ROUTES  VOIRIE CHARGES CANTONALES S. HIVERNAL"/>
        <s v="ROUTES  ATTRIB FONDS RENOUV. MAT et VHC (9281.3)"/>
        <s v="ROUTES  ATTRIB FONDS RENOVATION (9282.1)"/>
        <s v="ROUTES  IMPUTATIONS INT SALAIRES"/>
        <s v="ROUTES  IMPUTATIONS INTERNES INTERÊTS"/>
        <s v="ROUTES  GAINS COMPTABLE PATR FIN"/>
        <s v="ROUTES  PART DE TIERS/ASS/CAD"/>
        <s v="ROUTES Remboursement de Tiers"/>
        <s v="ROUTES  PARTICIPATION, REMBOURSEMENT CANTONAL"/>
        <s v="ROUTES  Subventions et participations de tiers"/>
        <s v="ROUTES  PREL FONDS RENOUV ROUTES et VHC (9281.3)"/>
        <s v="ROUTES  IMPUTATIONS INTERNES"/>
        <s v="PARCS  CIMETIERE SALAIRES"/>
        <s v="PARCS  CIMETIERE COTISATIONS AVS AC AF"/>
        <s v="PARCS  CIMETIERE CAISSE PREVOYANCE LPP"/>
        <s v="PARCS  CIMETIERE ASS ACCIDENTS et MALADIE"/>
        <s v="Parcs cimetières, indemnisation remboursement frais"/>
        <s v="PARCS  CIMETIERE  ACHATS MACH et MATERIEL"/>
        <s v="PARCS  CIMETIERE  ACHATS MARCHANDISES"/>
        <s v="PARCS  CIMETIERE  ENTRETIEN"/>
        <s v="PARCS  CIMETIERE  AMORTISSEMENT P ADM"/>
        <s v="PARCS  CIMETIERE  AMORT SUPPL P ADM"/>
        <s v="PARCS  CIMETIERE  CENTRE FUNERAIRE"/>
        <s v="PARCS  CIMETIERE  IMPUTATIONS INT SALAIRES"/>
        <s v="PARCS  CIMETIERE  PART TIERS"/>
        <s v="PARCS CIMETIERE, Subventions cantonales"/>
        <s v="PARCS  CIMETIERE  CONCESSIONS, Jardin souvenir"/>
        <s v="PARCS  CIMETIERE  PRELEVEMENT RESERVE"/>
        <s v="ORDURES  INFORMATION et ACTIONS SPECIFIQUES (inactif)"/>
        <s v="ORDURES Déchets Incinérables ménager (sacs taxés)"/>
        <s v="ORDURES Déchets communaux  (sacs non-taxés, cimetiere,)"/>
        <s v="ORDURES Déchets organiques"/>
        <s v="ORDURES Centre de Tri - La Caisserie"/>
        <s v="ORDURES Eco-point Sus-Châtel"/>
        <s v="ORDURES Eco-point La Cézille"/>
        <s v="ORDURES Déchets Carnés"/>
        <s v="DECHETS  ATTRIB FINANC SPECIAUX (9280.5)"/>
        <s v="ORDURES  RETROCESSION SADEC (taxe au sac)"/>
        <s v="ORDURES  PART TIERS DECHETS CARNES (inactif)"/>
        <s v="DECHETS  PRELEV FINANC SPECIAUX (9280.5)"/>
        <s v="ORDURES Salaires"/>
        <s v="ORDURES AVS / AC / AF"/>
        <s v="ORDURES  CAISSE PREVOYANCE LPP"/>
        <s v="ORDURES ASS ACCIDENTS et MALADIE"/>
        <s v="ORDURES FRAIS DU PERSONNEL"/>
        <s v="ORDURES COURS DE FORMATION"/>
        <s v="ORDURES Achat matériel déchèterie+éco-points"/>
        <s v="ORDURES Achat énergie et électricité"/>
        <s v="ORDURES Entretien, matériel et produits entretien"/>
        <s v="ORDURES Location Droit de superficie (non somis à TVA)"/>
        <s v="ORDURES Centre de Tri Assurance ECA"/>
        <s v="ORDURES Informations et actions spécifiques"/>
        <s v="ORDURES TVA + REDIP s/TVA Taxe EM"/>
        <s v="Attribution financements spéciaux déchets"/>
        <s v="ORDURES couverture des surcoûts 450"/>
        <s v="ORDURES  CHE-115.611.147 TVA taux normal"/>
        <s v="ORDURES  Aide sociale (interne)"/>
        <s v="CARTES CENTRE DE TRI"/>
        <s v="ORDURES Taxe EM"/>
        <s v="ORDURES Ristourne : verre, papier, ferraille"/>
        <s v="ORDURES Vente Containers et divers"/>
        <s v="ORDURES Remboursements de tiers (Ass.)"/>
        <s v="ORDURES  Amende Dépôt sauvage"/>
        <s v="Prélèvement s/fonds affecté 9280.5"/>
        <s v="ORDURES IMPUTATIONS INTERNES"/>
        <s v="ORDURES Déchets carnés (animaux rentes)"/>
        <s v="ORDURES Déchets Spéciaux Ménager, Part. animaux compagnie"/>
        <s v="ORDURES Part de tiers déchets carnés (animaux rentes)"/>
        <s v="EGOUTS SALAIRES"/>
        <s v="EGOUTS COTISATIONS AVS AC AF"/>
        <s v="EGOUTS CAISSE PREVOYANCE LPP"/>
        <s v="EGOUTS ASS ACCIDENTS et MALADIE"/>
        <s v="EGOUTS FRAIS DU PERSONNEL"/>
        <s v="EGOUTS  ACHAT MACHINE MATERIEL"/>
        <s v="EGOUTS  ACHATS ELECTRICITE"/>
        <s v="EGOUTS  ACHATS MARCH PROD ENTRETIEN"/>
        <s v="EGOUTS  ENTRETIEN RESEAU"/>
        <s v="EGOUTS  PREST SERVICES HONORAIRES EXPERTISES"/>
        <s v="EGOUTS  AMORTISSEMENT CREANCES et DEBITEURS"/>
        <s v="EGOUTS  Amortissement obligatoire Patr.Administratif"/>
        <s v="EGOUTS  AMORTISSEMENT SUPPL P ADM"/>
        <s v="EGOUTS  Epuration eaux usées par APEC"/>
        <s v="EGOUTS  Financement élimination composés organiques, micropolluants (dès 2020 soumis TVA)"/>
        <s v="EGOUTS  ATTRIB FINANC SPECIAUX (9280.2)"/>
        <s v="EGOUTS  ATTRIB FINANC SPECIAUX PGEE (9280.4)"/>
        <s v="EGOUTS  IMPUTATIONS INT SALAIRES"/>
        <s v="EGOUTS  TAXES EPURATION (TVA CHE 112.556.374 - 8.1 %)"/>
        <s v="EGOUTS  TAXES RACCORDEMENTS"/>
        <s v="EGOUTS  TAXES PERIODIQUES RESERVE PGEE"/>
        <s v="EGOUTS TAXE MICROPOLLUANTS"/>
        <s v="EGOUTS  PART DE TIERS"/>
        <s v="EGOUTS  APEC RISTOURNE"/>
        <s v="Prélèvement au fonds de réserve SP EGOUTS/EPURATION (9280.2)"/>
        <s v="EGOUTS  PRELEV FINANC SPECIAUX (9280.2)"/>
        <s v="COURS D'EAU  ENTRETIEN"/>
        <s v="COURS D'EAU  Amortissement obligatoire Patr.Administratif"/>
        <s v="COURS D'EAU  PART DE TIERS"/>
        <s v="COURS D'EAU  PART CANTON Subvention"/>
        <s v="COURS D'EAU  PREL FONDS RENOUV (9282.1)"/>
        <s v="ENSEIGNEMENT FRAIS AMDINISTRATIF PRIMAIRE et SECONDAIRE"/>
        <s v="ENSEIGNEMENT PRIMAIRE  PART ESGE"/>
        <s v="ENSEIGNEMENT PRIMAIRE Transports scolaires"/>
        <s v="ENSEIGNEMENT SECONDAIRE  Prestations / Acomptes"/>
        <s v="ENSEIGNEMENT SECONDAIRE  PART AISGE"/>
        <s v="ENSEIGNEMENT SECONDAIRE  Transports scolaires"/>
        <s v="ENSEIGNEMENT SPECIALISE  PART AU CANTON"/>
        <s v="ENSEIGNEMENT SPECIALISE  RB DU CANTON"/>
        <s v="ORIENTATION PROFESSIONNELLE"/>
        <s v="Centre de Jeunes AISGE"/>
        <s v="SERVICE MEDICAL  AISGE + DENTAIRE"/>
        <s v="CAMPS Scolaire AISGE"/>
        <s v="EGLISE  CULTES  PREST SERVICES, ORGUE, SONO"/>
        <s v="EGLISE  AMORTISSSEMENT P ADMIN"/>
        <s v="EGLISE  AMORTISSSEMENT P ADM SUPPL"/>
        <s v="CULTES PART AUTRE PAROISSE"/>
        <s v="POLICE  PREST SERVICES"/>
        <s v="POLICE  PART AU CANTON  FRAIS POLICE CANTONALE"/>
        <s v="POLICE  PART AU CANTON SOLDE ANNEE PRECEDENTE"/>
        <s v="POLICE  EMOLUMENTS"/>
        <s v="POLICE  AMENDES"/>
        <s v="POLICE  REMB DU CANTON ANNEE PRECEDENTE"/>
        <s v="CONTRÔLE HABITANTS SALAIRES"/>
        <s v="CONTRÔLE HABITANTS COTISATIONS AVS AC AF"/>
        <s v="CONTROLE HABITANTS CAISSE PREVOYANCE LPP"/>
        <s v="CONTRÔLE HABITANTS ASS ACCIDENTS et MALADIE"/>
        <s v="CDH _ Frais du personnel"/>
        <s v="CONTRÔLE HABITANTS  PREST SERVICES"/>
        <s v="CONTRÔLE HABITANTS  IMPUTATIONS INT SALAIRES"/>
        <s v="CONTRÔLE HABITANTS  ACTES MOEURS+ATT DOMICILE+PERMIS HABIT.+ NATURALISATION"/>
        <s v="CONTRÔLE HABITANTS  PART TAXE CANT SEJOUR"/>
        <s v="SERVICE FEU  RECEPTION et MANIFESTATION"/>
        <s v="SERVICE FEU  FRAIS GROUP SERVICE FEU"/>
        <s v="SERVICE FEU  PART DE TIERS"/>
        <s v="SERVICE FEU  PART DES 3 COMMUNES"/>
        <s v="PROTECTION CIVILE  PART ORPC DISTRICT NYON"/>
        <s v="PROTECTION CIVILE  ATTRIB FONDS RESERVE (9282.2)"/>
        <s v="PROTECTION CIVILE  DISPENSES ABRIS PC"/>
        <s v="PROTECTION CIVILE  PREL FONDS RESERVE (9282.2)"/>
        <s v="SERVICE SOCIAL  FONDATION SOCLE COMMUNE"/>
        <s v="SERVICE SOCIAL  CENTRE REGIONAL (CSR)"/>
        <s v="SERVICE SOCIAL  Aides, Subvention à institutions privées"/>
        <s v="SERVICE SOCIAL  AIDE PETITE ENFANCE"/>
        <s v="SERVICE SOCIAL  AIDE INDIVIDUELLE"/>
        <s v="SERVICE SOCIAL IMPUTATIONS INTERNES"/>
        <s v="PREVOYANCE Cohésion Sociale (ex-FactureSociale) PART AU CANTON"/>
        <s v="PREVOYANCE Cohésion Sociale (ex-FactureSociale) PART AU CANTON SOLDE ANNEE PRECEDENTE"/>
        <s v="PREVOYANCE SOCIALE  ARAS REG AGENCES"/>
        <s v="PREVOYANCE Cohésion Sociale (ex-FactureSociale)  PART AU CANTON ANNEE PRECEDENTE"/>
        <s v="PREVOYANCE SOCIALE  RB ARAS REG AG"/>
        <s v="SERVICE EAUX  SALAIRES"/>
        <s v="SERVICE EAUX  COTISATIONS AVS AC AF"/>
        <s v="SERVICE EAUX  CAISSE PREVOYANCE LPP"/>
        <s v="SERVICE EAUX  ASS ACCIDENTS et MALADIE"/>
        <s v="SERVICE EAUX  INDEMNISATION ET REMBOURSEMENT"/>
        <s v="SERVICE EAUX  COURS ET FORMATION"/>
        <s v="SERVICE EAUX  ACHATS MACH et MAT COMPTEURS"/>
        <s v="SERVICE EAUX  ACHATS  ELECTRICITE"/>
        <s v="SERVICE EAUX  ACHATS EAU CDG"/>
        <s v="SERVICE EAUX  ENTRETIEN STATIONS"/>
        <s v="SERVICE EAUX  ENTRETIEN RESEAU"/>
        <s v="SERVICE EAUX  CONTRAT ENTRETIEN STATIONS"/>
        <s v="SERVICE EAUX  PREST SERVICES ANALYSES EAU ASS et TEL"/>
        <s v="SERVICE EAUX  FRAIS DIVERS TAXES TVA (au forfait 0.1 %)"/>
        <s v="SERVICE EAUX  Amortissements Obligatoire : PatrimAdmin - Instal. SI"/>
        <s v="SERVICE EAUX  AMORT SUPPL P ADM"/>
        <s v="SERVICE EAUX  PART SAPAN"/>
        <s v="SERVICE EAUX  FRAIS EXPLOITATION MONTANT"/>
        <s v="SERVICE EAUX  ATTRIB FINANC SPECIAUX (9280.3)"/>
        <s v="SERVICE EAUX  IMPUTATIONS INT SALAIRES"/>
        <s v="SERVICE EAUX  ABONNEMENTS"/>
        <s v="SERVICE EAUX  TVA N0 CH-112.667.312 (au forfait 2.5 %)"/>
        <s v="SERVICE EAUX  TAXES RACCORDEMENT EAU"/>
        <s v="SERVICE EAUX  VENTE EAU (TVA CHE 112.667.312 / 0.1 %)"/>
        <s v="SERVICE EAUX  VENTE EAU CDG (TVA CHE 112.667.312 0.1 %)"/>
        <s v="SERVICE EAUX   PART DE TIERS ASS."/>
        <s v="SERVICE EAUX  PARTICIPATION DE COMMUNES, ASSOC. + REMBOURSEMENT"/>
        <s v="SERVICE EAUX  SUBSIDES ECA"/>
        <s v="Prélèvement au fonds de réserve SP ALIMENTATION EAU (9280.3)"/>
        <s v="SERVICE EAUX  PREL FINANC SPECIAUX (9280.3)"/>
      </sharedItems>
    </cacheField>
    <cacheField name="ADMIN1_N" numFmtId="49">
      <sharedItems containsMixedTypes="1" containsNumber="1" containsInteger="1" minValue="82000" maxValue="96903" count="70">
        <s v="01100"/>
        <s v="-"/>
        <s v="01200"/>
        <s v="32200"/>
        <s v="02200"/>
        <s v="02201"/>
        <s v="02100"/>
        <s v="02210"/>
        <s v="79010"/>
        <s v="96900"/>
        <s v="11100"/>
        <s v="59200"/>
        <s v="82000"/>
        <s v="99000"/>
        <s v="84000"/>
        <s v="61500"/>
        <s v="34101"/>
        <s v="34102"/>
        <s v="34100"/>
        <s v="16100"/>
        <s v="62990"/>
        <s v="A trouver"/>
        <s v="96100"/>
        <s v="91000"/>
        <s v="95000"/>
        <s v="14000"/>
        <s v="93000"/>
        <n v="96901"/>
        <s v="02900"/>
        <n v="82000"/>
        <n v="96902"/>
        <s v="02901"/>
        <s v="96301"/>
        <s v="35000"/>
        <s v="61510"/>
        <s v="02903"/>
        <s v="96303"/>
        <s v="16200"/>
        <s v="96302"/>
        <s v="96304"/>
        <s v="02902"/>
        <s v="96305"/>
        <s v="02904"/>
        <s v="96306"/>
        <s v="02905"/>
        <s v="96307"/>
        <s v="15000"/>
        <n v="96903"/>
        <s v="96308"/>
        <s v="79070"/>
        <s v="34200"/>
        <s v="77100"/>
        <s v="75000"/>
        <s v="73000"/>
        <s v="73010"/>
        <s v="72000"/>
        <s v="21990"/>
        <s v="21991"/>
        <s v="21992"/>
        <s v="21993"/>
        <s v="29900"/>
        <s v="21994"/>
        <s v="43300"/>
        <s v="21995"/>
        <s v="54400"/>
        <s v="54500"/>
        <s v="21800"/>
        <s v="93001"/>
        <s v="57900"/>
        <s v="71000"/>
      </sharedItems>
    </cacheField>
    <cacheField name="ADMIN2_N" numFmtId="49">
      <sharedItems containsNonDate="0" containsString="0" containsBlank="1" count="1">
        <m/>
      </sharedItems>
    </cacheField>
    <cacheField name="ADMIN3_N" numFmtId="49">
      <sharedItems containsNonDate="0" containsString="0" containsBlank="1" count="1">
        <m/>
      </sharedItems>
    </cacheField>
    <cacheField name="NAT1_N" numFmtId="49">
      <sharedItems containsMixedTypes="1" containsNumber="1" containsInteger="1" minValue="0" maxValue="4612" count="103">
        <s v="3000"/>
        <s v="3050"/>
        <s v="3054"/>
        <s v="3053"/>
        <s v="3052"/>
        <s v="3099"/>
        <s v="3049"/>
        <s v="3170"/>
        <s v="3113"/>
        <s v="-"/>
        <s v="3130"/>
        <s v="3090"/>
        <s v="3132"/>
        <s v="3612"/>
        <s v="4309"/>
        <s v="3010"/>
        <n v="3130"/>
        <s v="3091"/>
        <s v="4910"/>
        <s v="3910"/>
        <s v="3420"/>
        <s v="3134"/>
        <n v="3321"/>
        <s v="3636"/>
        <s v="3632"/>
        <s v="3637"/>
        <s v="4210"/>
        <s v="4250"/>
        <s v="4611"/>
        <s v="4894"/>
        <s v="3101"/>
        <s v="3102"/>
        <s v="3162"/>
        <s v="3150"/>
        <s v="3169"/>
        <s v="4612"/>
        <s v="3511"/>
        <s v="4240"/>
        <s v="3111"/>
        <s v="3120"/>
        <s v="3140"/>
        <s v="3300"/>
        <s v="3301"/>
        <s v="4631"/>
        <s v="3621"/>
        <s v="3158"/>
        <s v="4260"/>
        <s v="3137"/>
        <s v="A trouver"/>
        <s v="3400"/>
        <s v="3181"/>
        <s v="3499"/>
        <s v="3601"/>
        <s v="3180"/>
        <s v="4000"/>
        <s v="4001"/>
        <s v="4002"/>
        <s v="4009"/>
        <s v="4010"/>
        <s v="4011"/>
        <s v="4019"/>
        <s v="4021"/>
        <s v="4023"/>
        <s v="4024"/>
        <s v="4033"/>
        <s v="4120"/>
        <s v="4401"/>
        <s v="4601"/>
        <s v="3401"/>
        <s v="3409"/>
        <s v="3622"/>
        <s v="4622"/>
        <s v="4420"/>
        <s v="4429"/>
        <s v="4400"/>
        <s v="3431"/>
        <s v="4430"/>
        <s v="4411"/>
        <s v="3145"/>
        <s v="4632"/>
        <s v="3430"/>
        <s v="3439"/>
        <s v="3110"/>
        <s v="3144"/>
        <n v="3441"/>
        <n v="0"/>
        <s v="4470"/>
        <s v="4432"/>
        <s v="4499"/>
        <s v="4439"/>
        <n v="3511"/>
        <n v="4612"/>
        <s v="4472"/>
        <s v="3141"/>
        <s v="3143"/>
        <s v="3151"/>
        <s v="3611"/>
        <s v="4510"/>
        <s v="3160"/>
        <s v="3510"/>
        <s v="4270"/>
        <s v="4621"/>
        <s v="4290"/>
      </sharedItems>
    </cacheField>
    <cacheField name="NAT2_N" numFmtId="49">
      <sharedItems count="15">
        <s v="00"/>
        <s v="01"/>
        <s v="-"/>
        <s v="04"/>
        <s v="99"/>
        <s v="02"/>
        <s v="09"/>
        <s v="05"/>
        <s v="A trouver"/>
        <s v="03"/>
        <s v="07"/>
        <s v="10"/>
        <s v="20"/>
        <s v="55"/>
        <e v="#REF!" u="1"/>
      </sharedItems>
    </cacheField>
    <cacheField name="NAT3_N" numFmtId="0">
      <sharedItems containsNonDate="0" containsString="0" containsBlank="1" count="1">
        <m/>
      </sharedItems>
    </cacheField>
    <cacheField name="LIBELLÉ_N" numFmtId="49">
      <sharedItems containsMixedTypes="1" containsNumber="1" containsInteger="1" minValue="0" maxValue="0" count="328">
        <s v="Commissions"/>
        <s v="Salaire des autorités et commissions - scrt."/>
        <s v="Cotisations AVS, AI, APG, AC, frais adm"/>
        <s v="Cotisations CAF"/>
        <s v="Cotisations patronales aux assurance-accidents"/>
        <s v="Cotisations patronales aux caisses de pensions"/>
        <s v="Autres charges du personnel"/>
        <s v="Autres indemnités forfaitaires - natels"/>
        <s v="Remboursements de frais effectifs km"/>
        <s v="Matériel informatique"/>
        <n v="0"/>
        <s v="Salaire des autorités et commissions"/>
        <s v="Prestations de services tiers - manif et réceptions"/>
        <s v="Prestations de services tiers - cotisations"/>
        <s v="Formation et perfectionnement"/>
        <s v="Honoraires conseils externes, spécialistes (avocats, archivistes, …)"/>
        <s v="Parts aux communes et assoc intercomm"/>
        <s v="-"/>
        <s v="Autres revenus d’exploitation"/>
        <s v="Salaire du personnel administratif"/>
        <s v="Remboursements IJM"/>
        <s v="Recrutement"/>
        <s v="Imputations internes"/>
        <s v="Imputations internes - Bourse"/>
        <s v="Imputations internes  - Contrôle des habitants"/>
        <s v="Imputations internes - Greffe"/>
        <s v="Imputations internes - Service technique"/>
        <s v="Prestations de services tiers - frais de port"/>
        <s v="Frais bancaires et Twint"/>
        <s v="Prestations de services tiers - télécommunications"/>
        <s v="Prestations de services tiers - télécommunications (cameras)"/>
        <s v="Frais assurances - Inventaire et RC"/>
        <s v="Amortissements non planifiés des immobilisations corporelles PA"/>
        <s v="Subventions à des tiers - dons"/>
        <s v="Subventions accordées aux communes et associations  - dons"/>
        <s v="Subventions accordées aux ménages privés - dons"/>
        <s v="Emoluments pour actes administratifs - permis et autres attestations CDH"/>
        <s v="Recettes sur ventes"/>
        <s v="Subvention des canton"/>
        <s v="Prélèvement sur la réserve de politique budgétaire"/>
        <s v="Matériel d'exploitation, petites fournitures"/>
        <s v="Prestations de services tiers - autres"/>
        <s v="Imprimés, publications"/>
        <s v="Primes de leasing opérationnel - sharp"/>
        <s v="Entretien de meubles et appareils de bureau"/>
        <s v="Autres loyers et frais d'utilisation - location timbreuse"/>
        <s v="Parts aux communes et assoc intercomm - taxes de séjour"/>
        <s v="Dédommagement des communes et associations intercommunales  - taxes de séjour"/>
        <s v="Attributions aux fonds affectés"/>
        <s v="Taxes d'utilisation et prestations de service"/>
        <s v="Machines, appareils et véhicules"/>
        <s v="Frais d'électricité - Terrain de sport"/>
        <s v="Frais d'électricité - Pétanque"/>
        <s v="Entretien des terrains"/>
        <s v="Amortissements planifiés des immobilisations corporelles PA"/>
        <s v="Dédommagement des communes et associations intercommunales - AISGE - loyers et entretien terrains de sport"/>
        <s v="Subvention des cantons et concordats"/>
        <s v="Prestations de services tiers - cartes CFF"/>
        <s v="Péréquations financière  - ligne de trafic régional - DGMR"/>
        <s v="Recettes sur ventes - cartes CFF"/>
        <s v="Entretien des immobilisations incorporelles - informatique"/>
        <s v="Autres frais de poursuite - ORR"/>
        <s v="Dédommagement des communes et associations intercommunales - Chéserex"/>
        <s v="Commission perception  - ACI"/>
        <s v="Remboursements frais de poursuite - ACI"/>
        <s v="A trouver"/>
        <s v="Intérêts  bonifiés, rémun, compensatoires"/>
        <s v="Défalcation et abandon de solde"/>
        <s v="Remises PP et IS"/>
        <s v="RFFA"/>
        <s v="Réévaluation sur créances - impôts"/>
        <s v="Impôt sur le revenu - PP"/>
        <s v="Amende de soustraction d'impôts"/>
        <s v="Impôt sur la fortune - PP"/>
        <s v="Impôt à la source"/>
        <s v="Impôt spécial étrangers"/>
        <s v="Impôt bénéfice PM"/>
        <s v="Impôt sur le capital - PM"/>
        <s v="Impôt sur les immeubles"/>
        <s v="Impôt foncier"/>
        <s v="Droits de mutation"/>
        <s v="Impôt successions et donations"/>
        <s v="Impôt sur les chiens"/>
        <s v="Impôt récupéré après défalcation"/>
        <s v="Patentes et concessions"/>
        <s v="Intérêts de retard sur factures et sur acomptes"/>
        <s v="Impôt sur les gains immobiliers"/>
        <s v="Impôt sur les frontaliers"/>
        <s v="Intérêts passifs sur emprunts"/>
        <s v="Autres intérêts passifs"/>
        <s v="Péréquation financière - compensation charges aux communes"/>
        <s v="Péréquation financière - compensation charges aux communes N-1"/>
        <s v="Intérêts sur créances - CAD"/>
        <s v="Dividendes - actions"/>
        <s v="Autres revenus de participations - Raiffeisen"/>
        <s v="Intérêts des liquidités- comptes courants"/>
        <s v="Taxe d'utilisation - Romande Energie"/>
        <s v="Péréquation - Parts aux Cantons (Réforme) N-1"/>
        <s v="Entretien courant |Terrains |"/>
        <s v="Loyers et fermages | Terrains |"/>
        <s v="Dédommagement des communes et associations intercommunales - AISGE - Loyers PA - Bât non mentionnés ailleurs | Salle du 700e / Anc. Station pompage che. De la Source / locaux chaufferie du CAD / Cordex-Oujon |"/>
        <s v="Gain provenant des ventes des immobilisations PF |Terrains |"/>
        <s v="Entretien des forêts - Autres"/>
        <s v="Parts aux communes et assoc intercomm - Entretien des forêts - Group. Forest. La Colline (hors contrat)"/>
        <s v="Frais assurances"/>
        <s v="Parts aux communes et assoc intercomm - Entretien des forêts - Frais de triage - Contrat Group. Forest. La Colline"/>
        <s v="Subventions accordées aux communes et associations  - Fondation du Bois de Chênes"/>
        <s v="Subvention des communes et associations intercommunales"/>
        <s v="Entretien courant | Terrains et Pâturages |"/>
        <s v="Entretien ponctuel | Terrains et Pâturages |"/>
        <s v="Autres charges de biens-fonds PF | Terrains et Pâturages | Assurances"/>
        <s v="Loyers et fermages, immeubles du PF | Terrains et Pâturages |"/>
        <s v="Meubles et appareils de bureau"/>
        <s v="Frais d'eau"/>
        <s v="Frais d'électricité"/>
        <s v="Frais de chauffage"/>
        <s v="Autres charges de biens-fonds PF  | Maison Gothique / Village 3 | Assurances"/>
        <s v="Autres charges de biens-fonds PF| Maison Gothique / Village 3 |  Eau"/>
        <s v="Autres charges de biens-fonds PF | Maison Gothique / Village 3 | Electricité"/>
        <s v="Autres charges de biens-fonds PF | Maison Gothique / Village 3 | Chauffage"/>
        <s v="Autres charges de biens-fonds PF | Maison Gothique / Village 3 | Frais de gérance"/>
        <s v="Autres charges de biens-fonds PF | Maison Gothique / Village 3 | Achat mobilier"/>
        <s v="Tavaux Ponctuels, biens-fonds PF | Maison Gothique / Village 3 |"/>
        <s v="Entretien courant, biens-fonds PF | Maison Gothique / Village 3 |"/>
        <s v="Entretien courant, biens-fonds PF | Sand de tir |"/>
        <s v="Tavaux Ponctuels, biens-fonds PF | Stand de tir |"/>
        <s v="Entretien des bâtiments, immeubles PA - Bâtiment communaux"/>
        <s v="Amortissements non planifiés des immobilisations corporelles PF | Terrains |"/>
        <s v="Loyers et fermages des biens-fonds PA - Bât non mentionnés ailleurs | Salle du 700e / Anc. Station pompage che. De la Source / locaux chaufferie du CAD |"/>
        <s v="Loyers et fermages des biens-fonds PA - antenne Salt"/>
        <s v="Loyers et fermages des biens-fonds PA - antenne Swisscom"/>
        <s v="Loyers et fermages des biens-fonds PA - parkings"/>
        <s v="Loyers et fermages, immeubles du PF | Maison Gothique / Village 3 |"/>
        <s v="Dédommagement des communes et associations intercommunales - AISGE - Vidéosurveillance"/>
        <s v="Paiement pour utilisation des immeubles PF | Bât Auberge communale / Village 9 |"/>
        <s v="Autres revenus financiers - locations du générateur"/>
        <s v="Autres produits des immeubles PF |stand de tir |"/>
        <s v="Autres charges de biens-fonds PF  | Bât Epicerie / Cézille 2 | Achat mobilier"/>
        <s v="Tavaux Ponctuels, biens-fonds PF | Bât Epicerie / Cézille 2 |"/>
        <s v="Entretien courant, biens-fonds PF Bât | Bât Epicerie / Cézille 2 |"/>
        <s v="Autres charges de biens-fonds PF | Bât Epicerie / Cézille 2 | Assurances"/>
        <s v="Autres charges de biens-fonds PF | Bât Epicerie / Cézille 2 | Eau"/>
        <s v="Autres charges de biens-fonds PF | Bât Epicerie / Cézille 2 | Electricité"/>
        <s v="Autres charges de biens-fonds PF | Bât Epicerie / Cézille 2 | Chauffage"/>
        <s v="Autres charges de biens-fonds PF | Bât Epicerie / Cézille 2 | Frais de gérance"/>
        <s v="Entretien courant, biens-fonds PF| Bât Epicerie / Cézille 2 |"/>
        <s v="Loyers et fermages, immeubles du PF | Bât Epicerie / Cézille 2 | Frais de gérance"/>
        <s v="Entretien courant, biens-fonds PF | Bât Auberge communale / Village 9 |"/>
        <s v="Autres charges de biens-fonds PF | Bât Auberge communale / Village 9 | Electricité"/>
        <s v="Autres charges de biens-fonds PF | Bât Auberge communale / Village 9 | Chauffage"/>
        <s v="Autres charges de biens-fonds PF | Bât Auberge communale / Village 9 | Frais de gérance"/>
        <s v="Tavaux Ponctuels, biens-fonds PF | Bât Auberge communale / Village 9 |"/>
        <s v="Autres charges de biens-fonds PF | Bât Auberge communale / Village 9 | Eau"/>
        <s v="Autres charges de biens-fonds PF | Bât Auberge communale / Village 9 |  Assurances"/>
        <s v="Loyers et fermages, immeubles du PF | Bât Auberge communale / Village 9 |"/>
        <s v="Entretien courant, biens-fonds PF | Bât D'une Fontaine à l'autre / Derrière l'Eglise 1-3 |"/>
        <s v="Autres charges de biens-fonds PF | Bât D'une Fontaine à l'autre / Derrière l'Eglise 1-3 | Eau"/>
        <s v="Autres charges de biens-fonds PF | Bât D'une Fontaine à l'autre / Derrière l'Eglise 1-3 | Electricité"/>
        <s v="Autres charges de biens-fonds PF | Bât D'une Fontaine à l'autre / Derrière l'Eglise 1-3 | Chauffage"/>
        <s v="Autres charges de biens-fonds PF | Bât D'une Fontaine à l'autre / Derrière l'Eglise 1-3 | Frais de gérance"/>
        <s v="Tavaux Ponctuels, biens-fonds PF | Bât D'une Fontaine à l'autre / Derrière l'Eglise 1-3 |"/>
        <s v="Autres charges de biens-fonds PF | Bât D'une Fontaine à l'autre / Derrière l'Eglise 1-3 | Assurances"/>
        <s v="Attributions aux fonds  PF | Bât D'une Fontaine à l'autre / Derrière l'Eglise 1-3 | "/>
        <s v="Loyers et fermages, immeubles du PF | Bât D'une Fontaine à l'autre / Derrière l'Eglise 1-3 |"/>
        <s v="Machines, appareils PA | Bât 1912 / Le Montant / Vieux-Collège - Duillier 9 |"/>
        <s v="Frais d'électricité PA | Bât 1912 / Le Montant / Vieux-Collège - Duillier 9 |"/>
        <s v="Frais de chauffage  PA | Bât 1912 / Le Montant / Vieux-Collège - Duillier 9 |"/>
        <s v="Matériel d'exploitation, petites fournitures (produits entretien) PA | Bât 1912 / Le Montant / Vieux-Collège - Duillier 9 |"/>
        <s v="Entretien des bâtiments, immeubles  PA | Bât 1912 / Le Montant / Vieux-Collège - Duillier 9 |"/>
        <s v="Frais d'eau PA | Bât 1912 / Le Montant / Vieux-Collège - Duillier 9 |"/>
        <s v="Meubles et appareils de bureau PA | Bât 1912 / Le Montant / Vieux-Collège - Duillier 9 |"/>
        <s v="Frais Assurances PA | Bât 1912 / Le Montant / Vieux-Collège - Duillier 9 |"/>
        <s v="AISGE - Loyers PA  | Bât 1912 / Le Montant / Vieux-Collège - Duillier 9 | - Ecole, Bureaux, Centre Jeunes"/>
        <s v="Loyers et fermages des biens-fonds PA | Bât 1912 / Le Montant / Vieux-Collège - Duillier 9 |"/>
        <s v="Paiement pour utilisation des immeubles - PA | Bât 1912 / Le Montant / Vieux-Collège - Duillier 9 |"/>
        <s v="Entretien courant, biens-fonds PF | Bât Boucherie / Village 9 |"/>
        <s v="Autres charges de biens-fonds PF | Bât Boucherie / Village 9 | Eau"/>
        <s v="Autres charges de biens-fonds PF | Bât Boucherie / Village 9 | Electricité"/>
        <s v="Autres charges de biens-fonds PF | Bât Boucherie / Village 9 | Chauffage"/>
        <s v="Autres charges de biens-fonds PF | Bât Boucherie / Village 9 | Frais de gérance"/>
        <s v="Tavaux Ponctuels, biens-fonds PF | Bât Boucherie / Village 9 |"/>
        <s v="Autres charges de biens-fonds PF | Bât Boucherie / Village 9 | Assurances"/>
        <s v="Loyers et fermages, immeubles du PF | Bât Boucherie / Village 9 |"/>
        <s v="Remboursements et participations de tiers PF | Bât Boucherie / Village 9 |"/>
        <s v="Meubles et appareils de bureau PA | Eglise |"/>
        <s v="Frais d'électricité PA | Eglise |"/>
        <s v="Matériel d'exploitation, petites fournitures PA | Eglise |"/>
        <s v="Entretien des bâtiments, immeubles PA | Eglise |"/>
        <s v="Frais de chauffage PA | Eglise |"/>
        <s v="Frais d'eau PA | Eglise |"/>
        <s v="Machines, appareils PA | Eglise |"/>
        <s v="Frais Assurances  PA | Eglise |"/>
        <s v="Matériel d'exploitation, petites fournitures PA | Salles communales - Le Gossan, Le Garage |"/>
        <s v="Frais d'eau PA | Salles communales - Le Gossan, Le Garage |"/>
        <s v="Meubles et appareils de bureau PA | Salles communales - Le Gossan, Le Garage |"/>
        <s v="Machines, appareils PA | Salles communales - Le Gossan, Le Garage |"/>
        <s v="Frais d'électricité PA | Salles communales - Le Gossan, Le Garage |"/>
        <s v="Frais de chauffage PA | Salles communales - Le Gossan, Le Garage |"/>
        <s v="Entretien des bâtiments, immeubles PA | Salles communales - Le Gossan, Le Garage |"/>
        <s v="Frais Assurances PA | Salles communales - Le Gossan, Le Garage |"/>
        <s v="Loyers et fermages des biens-fonds PA | Salles communales - Le Gossan, Le Garage |"/>
        <s v="Dédommagement des communes et associations intercommunales - AISGE - Loyers Le Gossan"/>
        <s v="Loyers et fermages des biens-fonds PA - AISGE parkings"/>
        <s v="Machines, appareils PA | Le Pavillon |"/>
        <s v="Frais d'eau PA | Le Pavillon |"/>
        <s v="Frais d'électricité PA | Le Pavillon |"/>
        <s v="Frais de chauffage PA | Le Pavillon |"/>
        <s v="Matériel d'exploitation, petites fournitures PA | Le Pavillon |"/>
        <s v="Meubles et appareils de bureau PA | Le Pavillon |"/>
        <s v="Entretien des bâtiments, immeubles PA | Le Pavillon |"/>
        <s v="Prestations de services tiers - télécommunications PA | Le Pavillon |"/>
        <s v="Frais Assurances PA | Le Pavillon |"/>
        <s v="Loyers et fermages des biens-fonds PA | Le Pavillon |"/>
        <s v="Loyers et fermages des biens-fonds PA - location du Pavillon"/>
        <s v="Autres revenus financiers PA | Le Pavillon | chaises, tables, bancs"/>
        <s v="Autres charges de biens-fonds PF | Bât Source Vive / Gare 10 | Achat mobilier"/>
        <s v="Entretien courant, biens-fonds PF | Bât Source Vive / Gare 10 |"/>
        <s v="Autres charges de biens-fonds PF | Bât Source Vive / Gare 10 |  Assurances"/>
        <s v="Autres charges de biens-fonds PF | Bât Source Vive / Gare 10 | Eau"/>
        <s v="Autres charges de biens-fonds PF | Bât Source Vive / Gare 10 | Electricité"/>
        <s v="Autres charges de biens-fonds PF | Bât Source Vive / Gare 10 |  Chauffage"/>
        <s v="Autres charges de biens-fonds PF | Bât Source Vive / Gare 10 |  Frais de gérance"/>
        <s v="Tavaux Ponctuels, biens-fonds PF | Bât Source Vive / Gare 10 |"/>
        <s v="Loyers et fermages, immeubles du PF  | Bât Source Vive / Gare 10 |"/>
        <s v="Machines, appareils PA | Caserne de pompiers / Bregentenaz 10 |"/>
        <s v="Frais de chauffage PA | Caserne de pompiers / Bregentenaz 10 |"/>
        <s v="Frais d'électricité PA | Caserne de pompiers / Bregentenaz 10 |"/>
        <s v="Matériel d'exploitation, petites fournitures PA | Caserne de pompiers / Bregentenaz 10 |"/>
        <s v="Entretien des bâtiments, immeubles PA | Caserne de pompiers / Bregentenaz 10 |"/>
        <s v="Frais d'eau PA | Caserne de pompiers / Bregentenaz 10 |"/>
        <s v="Meubles et appareils de bureau PA | Caserne de pompiers / Bregentenaz 10 |"/>
        <s v="Entretien courant, biens-fonds PF | Bât Caserne appartements / Bregentenaz 10 |"/>
        <s v="Autres charges de biens-fonds PF | Bât Caserne appartements / Bregentenaz 10 |Assurances"/>
        <s v="Autres charges de biens-fonds PF | Bât Caserne appartements / Bregentenaz 10 | Eau"/>
        <s v="Autres charges de biens-fonds PF | Bât Caserne appartements / Bregentenaz 10 | Electricité"/>
        <s v="Autres charges de biens-fonds PF | Bât Caserne appartements / Bregentenaz 10 | Chauffage"/>
        <s v="Autres charges de biens-fonds PF | Bât Caserne appartements / Bregentenaz 10 | Frais de gérance"/>
        <s v="Tavaux Ponctuels, biens-fonds PF | Bât Caserne appartements / Bregentenaz 10 |"/>
        <s v="Frais Assurances PA | Caserne de pompiers / Bregentenaz 10 |"/>
        <s v="Dédommagement des communes et associations intercommunales - SDIS"/>
        <s v="Loyers et fermages, immeubles du PF | Bât Caserne appartements / Bregentenaz 10 |"/>
        <s v="Entretien courant, biens-fonds PF | La Chèvrerie |"/>
        <s v="Autres charges de biens-fonds PF | Bât Pharmacie / Gare 5 | Electricité"/>
        <s v="Entretien courant, biens-fonds PF | Bât Pharmacie / Gare 5 | "/>
        <s v="Autres charges de biens-fonds PF | Bât Pharmacie / Gare 5 | Eau"/>
        <s v="Autres charges de biens-fonds PF | Bât Pharmacie / Gare 5 | Chauffage"/>
        <s v="Autres charges de biens-fonds PF | Bât Pharmacie / Gare 5 | Frais de gérance"/>
        <s v="Tavaux Ponctuels, biens-fonds PF | Bât Pharmacie / Gare 5 | "/>
        <s v="Autres charges de biens-fonds PF | Bât Pharmacie / Gare 5 | Assurances"/>
        <s v="Amortissements non planifiés des immobilisations corporelles PF  | Bât Pharmacie / Gare 5 | Assurances"/>
        <s v="Loyers et fermages, immeubles du PF | Bât Pharmacie / Gare 5 | "/>
        <s v="Parts aux communes et assoc intercomm - Parutions &amp; autres"/>
        <s v="Honoraires conseils externes, spécialistes (STI - PAC)"/>
        <s v="Parts aux communes et assoc intercomm - DISREN"/>
        <s v="Parts aux communes et assoc intercomm - Region Nyon"/>
        <s v="Parts aux communes et assoc intercomm - Aménagement du territoire - mobilité régionale"/>
        <s v="Dédommagement des communes et associations intercommunales "/>
        <s v="Signalisation routière"/>
        <s v="Entretien des routes et éclairages publics - travaux EP"/>
        <s v="Frais électricité, routes EP (Romande Energie)"/>
        <s v="Entretien des routes - divers"/>
        <s v="Matériel d'exploitation, petites fournitures - fleurs"/>
        <s v="Entretien autres travaux de genie civil"/>
        <s v="Entretien des routes - chemins forestiers"/>
        <s v="Entretien des routes - déneigement"/>
        <s v="Matériel d'exploitation, essence"/>
        <s v="Entretien de machines, hors véhicules"/>
        <s v="Entretien de machines, véhicules"/>
        <s v="Parts aux cantons et concordats - DGMR"/>
        <s v="Parts aux cantons - SAGEFI service hivernal"/>
        <s v="Remboursements et participations de tiers"/>
        <s v="Entretien autres travaux de genie civil - creuse tombes"/>
        <s v="Honoraires conseils externes, spécialistes (frelon, scarabée, moustique …)"/>
        <s v="Parts aux communes et assoc intercomm - Ville de Nyon - centre funéraire"/>
        <s v="Concessions - Jardin du souvenir"/>
        <s v="Transport"/>
        <s v="Incinération"/>
        <s v="Parts aux communes et assoc intercomm - Huiles (Prangins)"/>
        <s v="Prélèvements aux fonds et financement spéciaux"/>
        <s v="Remboursements et participations de tiers - retro SADEC"/>
        <s v="Entretien des bâtiments, immeubles PA - Déchetterie et Eco-points"/>
        <s v="Loyers et baux à ferme des biens-fonds"/>
        <s v="Pertes sur créances effectives"/>
        <s v="Honoraires conseils externes, spécialistes"/>
        <s v="Taxes d'utilisation et prestations de service - ménages"/>
        <s v="Taxes d'utilisation et prestations de service - entreprises"/>
        <s v="Remboursements et participations de tiers - autres"/>
        <s v="Attributions aux fonds et financements spéciaux"/>
        <s v="compte de bilan - refacturé"/>
        <s v="Prestations de services tiers - non refacturés"/>
        <s v="Parts aux communes et assoc intercomm - APEC"/>
        <s v="Taxes d'utilisation et prestations de service - épuration"/>
        <s v="Taxes d'utilisation et prestations de service - raccordement"/>
        <s v="Parts aux communes et assoc intercomm - AISGE - Coûts scolaires"/>
        <s v="Parts aux communes et assoc intercomm - AISGE - Loyers"/>
        <s v="Parts aux communes et assoc intercomm - AISGE - Transports"/>
        <s v="Parts aux communes et assoc intercomm - Ville de Nyon - orientation"/>
        <s v="Prestations de services tiers - clinique dentaire"/>
        <s v="Parts aux communes et assoc intercomm - Parts aux communes et assoc intercomm"/>
        <s v="Péréquation - Parts aux Cantons (Réforme)"/>
        <s v="Amendes (OP)"/>
        <s v="Parts des revenus destinés au canton - SPOP"/>
        <s v="Honoraires conseils externes, spécialistes - naturalisations"/>
        <s v="Emoluments pour actes administratifs - permis SPOP"/>
        <s v="Emoluments pour actes administratifs - naturalisations"/>
        <s v="Autres actifs de régularisation, refacturation SDIS Bilan"/>
        <s v="Parts aux communes et assoc intercomm - SDIS"/>
        <s v="Parts aux communes et assoc intercomm - ORPC"/>
        <s v="Subventions accordées aux communes et associations - Trav. Social"/>
        <s v="Parts aux communes et assoc intercomm - Crèches"/>
        <s v="Parts aux communes et assoc intercomm - UAPE"/>
        <s v="Subventions accordées aux ménages privés - Petroplast"/>
        <s v="Péréquations financière  cohésion sociale"/>
        <s v="Péréquations financière  cohésion sociale N-1"/>
        <s v="Parts aux communes et assoc intercomm - ARAS"/>
        <s v="Matériel d'exploitation, petites fournitures - compteurs"/>
        <s v="Frais d'électricité PA"/>
        <s v="Frais d'eau PA"/>
        <s v="Impôts, taxes - TVA Pmt"/>
        <s v="Matériel d'exploitation, petites fournitures - SAPAN"/>
        <s v="Parts aux communes et assoc intercomm - Ville de Gland"/>
        <s v="Taxes d'utilisation et prestations de service - abonnement"/>
        <s v="Impôts, taxes - TVA"/>
        <s v="Taxes d'utilisation et prestations de service - vente eau"/>
        <s v="Taxes d'utilisation et prestations de service - vente eau CDG"/>
        <s v="Remboursements et participation de tiers"/>
        <s v="Parts aux communes et assoc intercomm - ACP Plaquettes"/>
        <s v="Recettes sur ventes - ACP Plaquettes"/>
      </sharedItems>
    </cacheField>
    <cacheField name="INVESTISSEMENT" numFmtId="0">
      <sharedItems containsNonDate="0" containsString="0" containsBlank="1"/>
    </cacheField>
    <cacheField name="Soumis TVA" numFmtId="0">
      <sharedItems containsNonDate="0" containsString="0" containsBlank="1"/>
    </cacheField>
    <cacheField name="LIBELLÉ_SECTION_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">
  <r>
    <n v="0"/>
    <s v="100.300"/>
    <s v="Conseil Communal - Commissions"/>
    <s v="ADA"/>
    <s v="100"/>
    <n v="100"/>
    <s v="300"/>
    <m/>
    <n v="9075"/>
    <n v="0"/>
    <n v="9075"/>
    <n v="12000"/>
    <n v="0"/>
    <n v="12000"/>
    <n v="8525"/>
    <s v="01100"/>
    <s v="3000"/>
    <s v="00"/>
    <s v="Commissions"/>
    <n v="9075"/>
    <n v="9075"/>
    <m/>
    <m/>
    <m/>
    <m/>
    <x v="0"/>
    <x v="0"/>
    <x v="0"/>
    <x v="0"/>
    <x v="0"/>
    <x v="0"/>
    <x v="0"/>
    <x v="0"/>
    <x v="0"/>
    <x v="0"/>
    <x v="0"/>
    <x v="0"/>
    <x v="0"/>
    <x v="0"/>
    <x v="0"/>
    <m/>
    <m/>
    <m/>
  </r>
  <r>
    <n v="0"/>
    <s v="100.301"/>
    <s v="Conseil Communal - Secrétariat"/>
    <s v="ADA"/>
    <s v="100"/>
    <n v="100"/>
    <s v="301"/>
    <m/>
    <n v="9428.9500000000007"/>
    <n v="0"/>
    <n v="9428.9500000000007"/>
    <n v="9500"/>
    <n v="0"/>
    <n v="9500"/>
    <n v="9294.7999999999993"/>
    <s v="01100"/>
    <s v="3000"/>
    <s v="01"/>
    <s v="Salaire des autorités et commissions - scrt."/>
    <n v="9428.9500000000007"/>
    <n v="9428.9500000000007"/>
    <m/>
    <s v="Secrétaire + aide au dépouillement"/>
    <m/>
    <m/>
    <x v="0"/>
    <x v="0"/>
    <x v="0"/>
    <x v="0"/>
    <x v="1"/>
    <x v="0"/>
    <x v="0"/>
    <x v="1"/>
    <x v="0"/>
    <x v="0"/>
    <x v="0"/>
    <x v="0"/>
    <x v="1"/>
    <x v="0"/>
    <x v="1"/>
    <m/>
    <m/>
    <m/>
  </r>
  <r>
    <n v="0"/>
    <s v="100.303"/>
    <s v="Conseil Communal - Cotisations AVS/AC/AF"/>
    <s v="ADA"/>
    <s v="100"/>
    <n v="100"/>
    <s v="303"/>
    <m/>
    <n v="804.3"/>
    <n v="0"/>
    <n v="804.3"/>
    <n v="1300"/>
    <n v="0"/>
    <n v="1300"/>
    <n v="879.25"/>
    <s v="01100"/>
    <s v="3050"/>
    <s v="00"/>
    <s v="Cotisations AVS, AI, APG, AC, frais adm"/>
    <n v="804.3"/>
    <n v="804.3"/>
    <s v="OUI"/>
    <m/>
    <m/>
    <m/>
    <x v="0"/>
    <x v="0"/>
    <x v="0"/>
    <x v="0"/>
    <x v="2"/>
    <x v="0"/>
    <x v="0"/>
    <x v="2"/>
    <x v="0"/>
    <x v="0"/>
    <x v="0"/>
    <x v="1"/>
    <x v="0"/>
    <x v="0"/>
    <x v="2"/>
    <m/>
    <m/>
    <m/>
  </r>
  <r>
    <m/>
    <s v="100.303"/>
    <s v="Conseil Communal - Cotisations AVS/AC/AF"/>
    <s v="ADA"/>
    <s v="100"/>
    <n v="100"/>
    <s v="303"/>
    <m/>
    <m/>
    <m/>
    <m/>
    <m/>
    <m/>
    <n v="0"/>
    <m/>
    <s v="01100"/>
    <s v="3054"/>
    <s v="00"/>
    <s v="Cotisations CAF"/>
    <m/>
    <m/>
    <m/>
    <m/>
    <m/>
    <m/>
    <x v="0"/>
    <x v="0"/>
    <x v="0"/>
    <x v="0"/>
    <x v="2"/>
    <x v="0"/>
    <x v="0"/>
    <x v="2"/>
    <x v="0"/>
    <x v="0"/>
    <x v="0"/>
    <x v="2"/>
    <x v="0"/>
    <x v="0"/>
    <x v="3"/>
    <m/>
    <m/>
    <m/>
  </r>
  <r>
    <n v="0"/>
    <s v="100.305"/>
    <s v="Conseil Communal - Ass. Accidents/Maladie"/>
    <s v="ADA"/>
    <s v="100"/>
    <n v="100"/>
    <s v="305"/>
    <m/>
    <n v="139.85"/>
    <n v="0"/>
    <n v="139.85"/>
    <n v="240"/>
    <n v="0"/>
    <n v="240"/>
    <n v="149.6"/>
    <s v="01100"/>
    <s v="3053"/>
    <s v="00"/>
    <s v="Cotisations patronales aux assurance-accidents"/>
    <n v="139.85"/>
    <n v="139.85"/>
    <m/>
    <m/>
    <m/>
    <m/>
    <x v="0"/>
    <x v="0"/>
    <x v="0"/>
    <x v="0"/>
    <x v="3"/>
    <x v="0"/>
    <x v="0"/>
    <x v="3"/>
    <x v="0"/>
    <x v="0"/>
    <x v="0"/>
    <x v="3"/>
    <x v="0"/>
    <x v="0"/>
    <x v="4"/>
    <m/>
    <m/>
    <m/>
  </r>
  <r>
    <m/>
    <m/>
    <m/>
    <m/>
    <m/>
    <m/>
    <m/>
    <m/>
    <m/>
    <m/>
    <m/>
    <m/>
    <m/>
    <n v="0"/>
    <m/>
    <s v="01100"/>
    <s v="3052"/>
    <s v="00"/>
    <s v="Cotisations patronales aux caisses de pensions"/>
    <m/>
    <m/>
    <m/>
    <m/>
    <m/>
    <m/>
    <x v="0"/>
    <x v="1"/>
    <x v="0"/>
    <x v="0"/>
    <x v="4"/>
    <x v="0"/>
    <x v="0"/>
    <x v="4"/>
    <x v="0"/>
    <x v="0"/>
    <x v="0"/>
    <x v="4"/>
    <x v="0"/>
    <x v="0"/>
    <x v="5"/>
    <m/>
    <m/>
    <m/>
  </r>
  <r>
    <n v="0"/>
    <s v="100.306"/>
    <s v="Conseil Communal - Frais"/>
    <s v="ADA"/>
    <s v="100"/>
    <n v="100"/>
    <s v="306"/>
    <m/>
    <n v="3385.45"/>
    <n v="0"/>
    <n v="3385.45"/>
    <n v="2000"/>
    <n v="0"/>
    <n v="2000"/>
    <n v="5728.25"/>
    <s v="01100"/>
    <s v="3099"/>
    <s v="00"/>
    <s v="Autres charges du personnel"/>
    <n v="3385.45"/>
    <n v="3385.45"/>
    <m/>
    <m/>
    <m/>
    <m/>
    <x v="0"/>
    <x v="0"/>
    <x v="0"/>
    <x v="0"/>
    <x v="5"/>
    <x v="0"/>
    <x v="0"/>
    <x v="5"/>
    <x v="0"/>
    <x v="0"/>
    <x v="0"/>
    <x v="5"/>
    <x v="0"/>
    <x v="0"/>
    <x v="6"/>
    <m/>
    <m/>
    <m/>
  </r>
  <r>
    <m/>
    <s v="100.306"/>
    <s v="Conseil Communal - Frais"/>
    <s v="ADA"/>
    <s v="100"/>
    <n v="100"/>
    <s v="306"/>
    <m/>
    <m/>
    <m/>
    <n v="0"/>
    <m/>
    <m/>
    <n v="0"/>
    <m/>
    <s v="01100"/>
    <s v="3049"/>
    <s v="00"/>
    <s v="Autres indemnités forfaitaires - natels"/>
    <n v="0"/>
    <n v="0"/>
    <m/>
    <m/>
    <m/>
    <m/>
    <x v="0"/>
    <x v="0"/>
    <x v="0"/>
    <x v="0"/>
    <x v="5"/>
    <x v="0"/>
    <x v="0"/>
    <x v="5"/>
    <x v="0"/>
    <x v="0"/>
    <x v="0"/>
    <x v="6"/>
    <x v="0"/>
    <x v="0"/>
    <x v="7"/>
    <m/>
    <m/>
    <m/>
  </r>
  <r>
    <m/>
    <s v="100.306"/>
    <s v="Conseil Communal - Frais"/>
    <s v="ADA"/>
    <s v="100"/>
    <n v="100"/>
    <s v="306"/>
    <m/>
    <m/>
    <m/>
    <n v="0"/>
    <m/>
    <m/>
    <n v="0"/>
    <m/>
    <s v="01100"/>
    <s v="3170"/>
    <s v="00"/>
    <s v="Remboursements de frais effectifs km"/>
    <n v="0"/>
    <n v="0"/>
    <m/>
    <m/>
    <m/>
    <m/>
    <x v="0"/>
    <x v="0"/>
    <x v="0"/>
    <x v="0"/>
    <x v="5"/>
    <x v="0"/>
    <x v="0"/>
    <x v="5"/>
    <x v="0"/>
    <x v="0"/>
    <x v="0"/>
    <x v="7"/>
    <x v="0"/>
    <x v="0"/>
    <x v="8"/>
    <m/>
    <m/>
    <m/>
  </r>
  <r>
    <n v="0"/>
    <s v="100.311"/>
    <s v="Conseil Communal -Achats matériel et logiciels"/>
    <s v="ADA"/>
    <s v="100"/>
    <n v="100"/>
    <s v="311"/>
    <m/>
    <n v="0"/>
    <n v="0"/>
    <n v="0"/>
    <n v="0"/>
    <n v="0"/>
    <n v="0"/>
    <n v="766.11"/>
    <s v="01100"/>
    <s v="3113"/>
    <s v="00"/>
    <s v="Matériel informatique"/>
    <n v="0"/>
    <n v="0"/>
    <m/>
    <m/>
    <m/>
    <m/>
    <x v="0"/>
    <x v="0"/>
    <x v="0"/>
    <x v="0"/>
    <x v="6"/>
    <x v="0"/>
    <x v="0"/>
    <x v="6"/>
    <x v="0"/>
    <x v="0"/>
    <x v="0"/>
    <x v="8"/>
    <x v="0"/>
    <x v="0"/>
    <x v="9"/>
    <m/>
    <m/>
    <m/>
  </r>
  <r>
    <n v="0"/>
    <s v="100.390.1"/>
    <s v="Conseil Communal - imputations internes salaires"/>
    <s v="ADA"/>
    <s v="100"/>
    <n v="100"/>
    <s v="390"/>
    <n v="1"/>
    <n v="0"/>
    <n v="0"/>
    <n v="0"/>
    <n v="0"/>
    <n v="0"/>
    <n v="0"/>
    <n v="0"/>
    <s v="-"/>
    <s v="-"/>
    <s v="-"/>
    <m/>
    <m/>
    <n v="0"/>
    <m/>
    <m/>
    <m/>
    <m/>
    <x v="0"/>
    <x v="0"/>
    <x v="0"/>
    <x v="0"/>
    <x v="7"/>
    <x v="1"/>
    <x v="0"/>
    <x v="7"/>
    <x v="1"/>
    <x v="0"/>
    <x v="0"/>
    <x v="9"/>
    <x v="2"/>
    <x v="0"/>
    <x v="10"/>
    <m/>
    <m/>
    <m/>
  </r>
  <r>
    <n v="0"/>
    <s v="101.300"/>
    <s v="Rétributions Municipalité"/>
    <s v="ADA"/>
    <s v="101"/>
    <n v="101"/>
    <s v="300"/>
    <m/>
    <n v="0"/>
    <n v="0"/>
    <n v="0"/>
    <n v="0"/>
    <n v="0"/>
    <n v="0"/>
    <n v="0"/>
    <s v="-"/>
    <s v="-"/>
    <s v="-"/>
    <m/>
    <m/>
    <n v="0"/>
    <m/>
    <m/>
    <m/>
    <m/>
    <x v="0"/>
    <x v="2"/>
    <x v="0"/>
    <x v="0"/>
    <x v="0"/>
    <x v="0"/>
    <x v="0"/>
    <x v="8"/>
    <x v="1"/>
    <x v="0"/>
    <x v="0"/>
    <x v="9"/>
    <x v="2"/>
    <x v="0"/>
    <x v="10"/>
    <m/>
    <m/>
    <m/>
  </r>
  <r>
    <n v="0"/>
    <s v="101.301"/>
    <s v="Salaire et vacations"/>
    <s v="ADA"/>
    <s v="101"/>
    <n v="101"/>
    <s v="301"/>
    <m/>
    <n v="210642.3"/>
    <n v="0"/>
    <n v="210642.3"/>
    <n v="225000"/>
    <n v="0"/>
    <n v="225000"/>
    <n v="85347"/>
    <s v="01200"/>
    <s v="3000"/>
    <s v="00"/>
    <s v="Salaire des autorités et commissions"/>
    <n v="210642.3"/>
    <n v="210642.3"/>
    <m/>
    <m/>
    <m/>
    <m/>
    <x v="0"/>
    <x v="2"/>
    <x v="0"/>
    <x v="0"/>
    <x v="1"/>
    <x v="0"/>
    <x v="0"/>
    <x v="9"/>
    <x v="2"/>
    <x v="0"/>
    <x v="0"/>
    <x v="0"/>
    <x v="0"/>
    <x v="0"/>
    <x v="11"/>
    <m/>
    <m/>
    <m/>
  </r>
  <r>
    <n v="0"/>
    <s v="101.303"/>
    <s v="Cotisations AVS/AC/AF"/>
    <s v="ADA"/>
    <s v="101"/>
    <n v="101"/>
    <s v="303"/>
    <m/>
    <n v="15656.5"/>
    <n v="0"/>
    <n v="15656.5"/>
    <n v="15000"/>
    <n v="0"/>
    <n v="15000"/>
    <n v="6248.4"/>
    <s v="01200"/>
    <s v="3050"/>
    <s v="00"/>
    <s v="Cotisations AVS, AI, APG, AC, frais adm"/>
    <n v="15656.5"/>
    <n v="15656.5"/>
    <s v="OUI"/>
    <m/>
    <m/>
    <m/>
    <x v="0"/>
    <x v="2"/>
    <x v="0"/>
    <x v="0"/>
    <x v="2"/>
    <x v="0"/>
    <x v="0"/>
    <x v="10"/>
    <x v="2"/>
    <x v="0"/>
    <x v="0"/>
    <x v="1"/>
    <x v="0"/>
    <x v="0"/>
    <x v="2"/>
    <m/>
    <m/>
    <m/>
  </r>
  <r>
    <m/>
    <s v="101.303"/>
    <s v="Cotisations AVS/AC/AF"/>
    <s v="ADA"/>
    <s v="101"/>
    <n v="101"/>
    <s v="303"/>
    <m/>
    <m/>
    <m/>
    <n v="0"/>
    <m/>
    <m/>
    <n v="0"/>
    <m/>
    <s v="01200"/>
    <s v="3054"/>
    <s v="00"/>
    <s v="Cotisations CAF"/>
    <n v="0"/>
    <n v="0"/>
    <m/>
    <m/>
    <m/>
    <m/>
    <x v="0"/>
    <x v="2"/>
    <x v="0"/>
    <x v="0"/>
    <x v="2"/>
    <x v="0"/>
    <x v="0"/>
    <x v="10"/>
    <x v="2"/>
    <x v="0"/>
    <x v="0"/>
    <x v="2"/>
    <x v="0"/>
    <x v="0"/>
    <x v="3"/>
    <m/>
    <m/>
    <m/>
  </r>
  <r>
    <n v="0"/>
    <s v="101.304"/>
    <s v="Prévoyance professionnelle"/>
    <s v="ADA"/>
    <s v="101"/>
    <n v="101"/>
    <s v="304"/>
    <m/>
    <n v="16477.2"/>
    <n v="0"/>
    <n v="16477.2"/>
    <n v="15000"/>
    <n v="0"/>
    <n v="15000"/>
    <n v="3357.45"/>
    <s v="01200"/>
    <s v="3052"/>
    <s v="00"/>
    <s v="Cotisations patronales aux caisses de pensions"/>
    <n v="16477.2"/>
    <n v="16477.2"/>
    <m/>
    <m/>
    <m/>
    <m/>
    <x v="0"/>
    <x v="2"/>
    <x v="0"/>
    <x v="0"/>
    <x v="8"/>
    <x v="0"/>
    <x v="0"/>
    <x v="11"/>
    <x v="2"/>
    <x v="0"/>
    <x v="0"/>
    <x v="4"/>
    <x v="0"/>
    <x v="0"/>
    <x v="5"/>
    <m/>
    <m/>
    <m/>
  </r>
  <r>
    <n v="0"/>
    <s v="101.305"/>
    <s v="Assurances Accidents/Maladie"/>
    <s v="ADA"/>
    <s v="101"/>
    <n v="101"/>
    <s v="305"/>
    <m/>
    <n v="2334.65"/>
    <n v="0"/>
    <n v="2334.65"/>
    <n v="1350"/>
    <n v="0"/>
    <n v="1350"/>
    <n v="930.4"/>
    <s v="01200"/>
    <s v="3053"/>
    <s v="00"/>
    <s v="Cotisations patronales aux assurance-accidents"/>
    <n v="2334.65"/>
    <n v="2334.65"/>
    <m/>
    <m/>
    <m/>
    <m/>
    <x v="0"/>
    <x v="2"/>
    <x v="0"/>
    <x v="0"/>
    <x v="3"/>
    <x v="0"/>
    <x v="0"/>
    <x v="12"/>
    <x v="2"/>
    <x v="0"/>
    <x v="0"/>
    <x v="3"/>
    <x v="0"/>
    <x v="0"/>
    <x v="4"/>
    <m/>
    <m/>
    <m/>
  </r>
  <r>
    <n v="0"/>
    <s v="101.306"/>
    <s v="Frais du personnel ou représentation ext."/>
    <s v="ADA"/>
    <s v="101"/>
    <n v="101"/>
    <s v="306"/>
    <m/>
    <n v="8043.6"/>
    <n v="0"/>
    <n v="8043.6"/>
    <n v="8000"/>
    <n v="0"/>
    <n v="8000"/>
    <n v="2712.7"/>
    <s v="01200"/>
    <s v="3049"/>
    <s v="00"/>
    <s v="Autres indemnités forfaitaires - natels"/>
    <n v="8043.6"/>
    <n v="8043.6"/>
    <s v="OUI"/>
    <m/>
    <m/>
    <m/>
    <x v="0"/>
    <x v="2"/>
    <x v="0"/>
    <x v="0"/>
    <x v="5"/>
    <x v="0"/>
    <x v="0"/>
    <x v="13"/>
    <x v="2"/>
    <x v="0"/>
    <x v="0"/>
    <x v="6"/>
    <x v="0"/>
    <x v="0"/>
    <x v="7"/>
    <m/>
    <m/>
    <m/>
  </r>
  <r>
    <m/>
    <s v="101.306"/>
    <s v="Frais du personnel ou représentation ext."/>
    <s v="ADA"/>
    <s v="101"/>
    <n v="101"/>
    <s v="306"/>
    <m/>
    <m/>
    <m/>
    <n v="0"/>
    <m/>
    <m/>
    <n v="0"/>
    <m/>
    <s v="01200"/>
    <s v="3170"/>
    <s v="00"/>
    <s v="Remboursements de frais effectifs km"/>
    <n v="0"/>
    <n v="0"/>
    <m/>
    <m/>
    <m/>
    <m/>
    <x v="0"/>
    <x v="2"/>
    <x v="0"/>
    <x v="0"/>
    <x v="5"/>
    <x v="0"/>
    <x v="0"/>
    <x v="13"/>
    <x v="2"/>
    <x v="0"/>
    <x v="0"/>
    <x v="7"/>
    <x v="0"/>
    <x v="0"/>
    <x v="8"/>
    <m/>
    <m/>
    <m/>
  </r>
  <r>
    <n v="0"/>
    <s v="101.317"/>
    <s v="Réceptions et manifestations"/>
    <s v="ADA"/>
    <s v="101"/>
    <n v="101"/>
    <s v="317"/>
    <m/>
    <n v="78132.03"/>
    <n v="0"/>
    <n v="78132.03"/>
    <n v="74000"/>
    <n v="0"/>
    <n v="74000"/>
    <n v="41392.1"/>
    <s v="01200"/>
    <s v="3130"/>
    <s v="00"/>
    <s v="Prestations de services tiers - manif et réceptions"/>
    <n v="78132.03"/>
    <n v="78132.03"/>
    <s v="OUI"/>
    <s v="invitation au resto - orgsanisation pour la population (1er aout / Noel)"/>
    <m/>
    <m/>
    <x v="0"/>
    <x v="2"/>
    <x v="0"/>
    <x v="0"/>
    <x v="9"/>
    <x v="0"/>
    <x v="0"/>
    <x v="14"/>
    <x v="2"/>
    <x v="0"/>
    <x v="0"/>
    <x v="10"/>
    <x v="0"/>
    <x v="0"/>
    <x v="12"/>
    <m/>
    <m/>
    <m/>
  </r>
  <r>
    <m/>
    <s v="101.317"/>
    <s v="Réceptions et manifestations"/>
    <s v="ADA"/>
    <s v="101"/>
    <n v="101"/>
    <s v="317"/>
    <m/>
    <m/>
    <m/>
    <n v="0"/>
    <m/>
    <m/>
    <n v="0"/>
    <m/>
    <s v="01200"/>
    <s v="3130"/>
    <s v="04"/>
    <s v="Prestations de services tiers - cotisations"/>
    <m/>
    <n v="0"/>
    <m/>
    <s v="UCV UNION DES COMMUNES VAUDOISES"/>
    <m/>
    <m/>
    <x v="0"/>
    <x v="2"/>
    <x v="0"/>
    <x v="0"/>
    <x v="9"/>
    <x v="0"/>
    <x v="0"/>
    <x v="14"/>
    <x v="2"/>
    <x v="0"/>
    <x v="0"/>
    <x v="10"/>
    <x v="3"/>
    <x v="0"/>
    <x v="13"/>
    <m/>
    <m/>
    <m/>
  </r>
  <r>
    <m/>
    <s v="101.317"/>
    <s v="Réceptions et manifestations"/>
    <s v="ADA"/>
    <s v="101"/>
    <n v="101"/>
    <s v="317"/>
    <m/>
    <m/>
    <m/>
    <n v="0"/>
    <m/>
    <m/>
    <n v="0"/>
    <m/>
    <s v="01200"/>
    <s v="3090"/>
    <s v="00"/>
    <s v="Formation et perfectionnement"/>
    <m/>
    <n v="0"/>
    <m/>
    <m/>
    <m/>
    <m/>
    <x v="0"/>
    <x v="2"/>
    <x v="0"/>
    <x v="0"/>
    <x v="9"/>
    <x v="0"/>
    <x v="0"/>
    <x v="14"/>
    <x v="2"/>
    <x v="0"/>
    <x v="0"/>
    <x v="11"/>
    <x v="0"/>
    <x v="0"/>
    <x v="14"/>
    <m/>
    <m/>
    <m/>
  </r>
  <r>
    <m/>
    <s v="101.317"/>
    <s v="Réceptions et manifestations"/>
    <s v="ADA"/>
    <s v="101"/>
    <n v="101"/>
    <s v="317"/>
    <m/>
    <m/>
    <m/>
    <n v="0"/>
    <m/>
    <m/>
    <n v="0"/>
    <m/>
    <s v="01200"/>
    <s v="3099"/>
    <s v="00"/>
    <s v="Autres charges du personnel"/>
    <m/>
    <n v="0"/>
    <m/>
    <s v="soirée Noel que pour le personnel, repas conseil communal"/>
    <m/>
    <m/>
    <x v="0"/>
    <x v="2"/>
    <x v="0"/>
    <x v="0"/>
    <x v="9"/>
    <x v="0"/>
    <x v="0"/>
    <x v="14"/>
    <x v="2"/>
    <x v="0"/>
    <x v="0"/>
    <x v="5"/>
    <x v="0"/>
    <x v="0"/>
    <x v="6"/>
    <m/>
    <m/>
    <m/>
  </r>
  <r>
    <n v="0"/>
    <s v="101.318"/>
    <s v="Prestations de service et avocats"/>
    <s v="ADA"/>
    <s v="101"/>
    <n v="101"/>
    <s v="318"/>
    <m/>
    <n v="106290.15"/>
    <n v="0"/>
    <n v="106290.15"/>
    <n v="110000"/>
    <n v="0"/>
    <n v="110000"/>
    <n v="49881.81"/>
    <s v="01200"/>
    <s v="3132"/>
    <s v="00"/>
    <s v="Honoraires conseils externes, spécialistes (avocats, archivistes, …)"/>
    <n v="106290.15"/>
    <n v="106290.15"/>
    <s v="OUI"/>
    <s v="cf bud 2025 et beaucoup de constructions prévues (pas Bassins et pas NRTV) - SIR 34K / PACOM oppositions imprévisibles"/>
    <m/>
    <m/>
    <x v="0"/>
    <x v="2"/>
    <x v="0"/>
    <x v="0"/>
    <x v="10"/>
    <x v="0"/>
    <x v="0"/>
    <x v="15"/>
    <x v="2"/>
    <x v="0"/>
    <x v="0"/>
    <x v="12"/>
    <x v="0"/>
    <x v="0"/>
    <x v="15"/>
    <m/>
    <m/>
    <m/>
  </r>
  <r>
    <m/>
    <s v="101.318"/>
    <s v="Prestations de service et avocats"/>
    <s v="ADA"/>
    <s v="101"/>
    <n v="101"/>
    <s v="318"/>
    <m/>
    <m/>
    <m/>
    <n v="0"/>
    <m/>
    <m/>
    <n v="0"/>
    <m/>
    <s v="01200"/>
    <s v="3612"/>
    <s v="00"/>
    <s v="Parts aux communes et assoc intercomm"/>
    <m/>
    <n v="0"/>
    <m/>
    <s v="AISGE, frais avocats qu'on nous refacture"/>
    <m/>
    <m/>
    <x v="0"/>
    <x v="2"/>
    <x v="0"/>
    <x v="0"/>
    <x v="10"/>
    <x v="0"/>
    <x v="0"/>
    <x v="15"/>
    <x v="2"/>
    <x v="0"/>
    <x v="0"/>
    <x v="13"/>
    <x v="0"/>
    <x v="0"/>
    <x v="16"/>
    <m/>
    <m/>
    <m/>
  </r>
  <r>
    <n v="0"/>
    <s v="101.318.1"/>
    <s v="Prestations SIR"/>
    <s v="ADA"/>
    <s v="101"/>
    <n v="101"/>
    <s v="318"/>
    <n v="1"/>
    <n v="0"/>
    <n v="0"/>
    <n v="0"/>
    <n v="0"/>
    <n v="0"/>
    <n v="0"/>
    <n v="0"/>
    <s v="-"/>
    <s v="-"/>
    <s v="-"/>
    <s v="-"/>
    <n v="0"/>
    <n v="0"/>
    <m/>
    <m/>
    <m/>
    <m/>
    <x v="0"/>
    <x v="2"/>
    <x v="0"/>
    <x v="0"/>
    <x v="10"/>
    <x v="1"/>
    <x v="0"/>
    <x v="16"/>
    <x v="1"/>
    <x v="0"/>
    <x v="0"/>
    <x v="9"/>
    <x v="2"/>
    <x v="0"/>
    <x v="17"/>
    <m/>
    <m/>
    <m/>
  </r>
  <r>
    <n v="0"/>
    <s v="101.331"/>
    <s v="AUTORITES  AMORTISSEMENT"/>
    <s v="ADA"/>
    <s v="101"/>
    <n v="101"/>
    <s v="330"/>
    <m/>
    <n v="0"/>
    <n v="0"/>
    <n v="0"/>
    <n v="0"/>
    <n v="0"/>
    <n v="0"/>
    <n v="0"/>
    <s v="-"/>
    <s v="-"/>
    <s v="-"/>
    <s v="-"/>
    <n v="0"/>
    <n v="0"/>
    <m/>
    <m/>
    <m/>
    <m/>
    <x v="0"/>
    <x v="2"/>
    <x v="0"/>
    <x v="0"/>
    <x v="11"/>
    <x v="0"/>
    <x v="0"/>
    <x v="17"/>
    <x v="1"/>
    <x v="0"/>
    <x v="0"/>
    <x v="9"/>
    <x v="2"/>
    <x v="0"/>
    <x v="17"/>
    <m/>
    <m/>
    <m/>
  </r>
  <r>
    <n v="0"/>
    <s v="101.390.1"/>
    <s v="Imputations internes salaires"/>
    <s v="ADA"/>
    <s v="101"/>
    <n v="101"/>
    <s v="390"/>
    <n v="1"/>
    <n v="0"/>
    <n v="0"/>
    <n v="0"/>
    <n v="0"/>
    <n v="0"/>
    <n v="0"/>
    <n v="0"/>
    <s v="-"/>
    <s v="-"/>
    <s v="-"/>
    <s v="-"/>
    <n v="0"/>
    <n v="0"/>
    <m/>
    <m/>
    <m/>
    <m/>
    <x v="0"/>
    <x v="2"/>
    <x v="0"/>
    <x v="0"/>
    <x v="7"/>
    <x v="1"/>
    <x v="0"/>
    <x v="18"/>
    <x v="1"/>
    <x v="0"/>
    <x v="0"/>
    <x v="9"/>
    <x v="2"/>
    <x v="0"/>
    <x v="17"/>
    <m/>
    <m/>
    <m/>
  </r>
  <r>
    <n v="0"/>
    <s v="101.435"/>
    <s v="Vente Manifestations"/>
    <s v="ADA"/>
    <s v="101"/>
    <n v="101"/>
    <s v="435"/>
    <m/>
    <n v="0"/>
    <n v="0"/>
    <n v="0"/>
    <n v="0"/>
    <n v="0"/>
    <n v="0"/>
    <n v="-8612.75"/>
    <s v="32200"/>
    <s v="4309"/>
    <s v="00"/>
    <s v="Autres revenus d’exploitation"/>
    <n v="0"/>
    <n v="0"/>
    <m/>
    <s v="Phanee de Pool"/>
    <m/>
    <m/>
    <x v="0"/>
    <x v="2"/>
    <x v="0"/>
    <x v="0"/>
    <x v="12"/>
    <x v="0"/>
    <x v="0"/>
    <x v="19"/>
    <x v="3"/>
    <x v="0"/>
    <x v="0"/>
    <x v="14"/>
    <x v="0"/>
    <x v="0"/>
    <x v="18"/>
    <m/>
    <m/>
    <m/>
  </r>
  <r>
    <n v="0"/>
    <s v="101.436"/>
    <s v="Participations de tiers"/>
    <s v="ADA"/>
    <s v="101"/>
    <n v="101"/>
    <s v="436"/>
    <m/>
    <n v="0"/>
    <n v="0"/>
    <n v="0"/>
    <n v="0"/>
    <n v="0"/>
    <n v="0"/>
    <n v="0"/>
    <s v="-"/>
    <s v="-"/>
    <s v="-"/>
    <s v="-"/>
    <n v="0"/>
    <n v="0"/>
    <m/>
    <m/>
    <m/>
    <m/>
    <x v="0"/>
    <x v="2"/>
    <x v="0"/>
    <x v="0"/>
    <x v="13"/>
    <x v="0"/>
    <x v="0"/>
    <x v="20"/>
    <x v="1"/>
    <x v="0"/>
    <x v="0"/>
    <x v="9"/>
    <x v="2"/>
    <x v="0"/>
    <x v="17"/>
    <m/>
    <m/>
    <m/>
  </r>
  <r>
    <n v="0"/>
    <s v="101.480"/>
    <s v="Prélèvement fonds de réserve"/>
    <s v="ADA"/>
    <s v="101"/>
    <n v="101"/>
    <s v="480"/>
    <m/>
    <n v="0"/>
    <n v="0"/>
    <n v="0"/>
    <n v="0"/>
    <n v="0"/>
    <n v="0"/>
    <n v="0"/>
    <s v="-"/>
    <s v="-"/>
    <s v="-"/>
    <s v="-"/>
    <n v="0"/>
    <n v="0"/>
    <m/>
    <m/>
    <m/>
    <m/>
    <x v="0"/>
    <x v="2"/>
    <x v="0"/>
    <x v="0"/>
    <x v="14"/>
    <x v="0"/>
    <x v="0"/>
    <x v="21"/>
    <x v="1"/>
    <x v="0"/>
    <x v="0"/>
    <x v="9"/>
    <x v="2"/>
    <x v="0"/>
    <x v="17"/>
    <m/>
    <m/>
    <m/>
  </r>
  <r>
    <n v="0"/>
    <s v="101.490"/>
    <s v="Imputations internes"/>
    <s v="ADA"/>
    <s v="101"/>
    <n v="101"/>
    <s v="490"/>
    <m/>
    <n v="0"/>
    <n v="0"/>
    <n v="0"/>
    <n v="0"/>
    <n v="0"/>
    <n v="0"/>
    <n v="0"/>
    <s v="-"/>
    <s v="-"/>
    <s v="-"/>
    <s v="-"/>
    <n v="0"/>
    <n v="0"/>
    <m/>
    <m/>
    <m/>
    <m/>
    <x v="0"/>
    <x v="2"/>
    <x v="0"/>
    <x v="0"/>
    <x v="15"/>
    <x v="0"/>
    <x v="0"/>
    <x v="22"/>
    <x v="1"/>
    <x v="0"/>
    <x v="0"/>
    <x v="9"/>
    <x v="2"/>
    <x v="0"/>
    <x v="17"/>
    <m/>
    <m/>
    <m/>
  </r>
  <r>
    <n v="0"/>
    <s v="110.301"/>
    <s v="Administration salaires"/>
    <s v="ADA"/>
    <s v="11"/>
    <n v="110"/>
    <s v="301"/>
    <m/>
    <n v="217539.65"/>
    <n v="0"/>
    <n v="217539.65"/>
    <n v="225000"/>
    <n v="0"/>
    <n v="225000"/>
    <n v="109839.9"/>
    <s v="02200"/>
    <s v="3010"/>
    <s v="00"/>
    <s v="Salaire du personnel administratif"/>
    <n v="217539.65"/>
    <n v="217539.65"/>
    <s v="OUI"/>
    <s v="Virginie, Danielle"/>
    <m/>
    <m/>
    <x v="0"/>
    <x v="3"/>
    <x v="0"/>
    <x v="0"/>
    <x v="1"/>
    <x v="0"/>
    <x v="0"/>
    <x v="23"/>
    <x v="4"/>
    <x v="0"/>
    <x v="0"/>
    <x v="15"/>
    <x v="0"/>
    <x v="0"/>
    <x v="19"/>
    <m/>
    <m/>
    <m/>
  </r>
  <r>
    <m/>
    <s v="110.301"/>
    <s v="Administration salaires"/>
    <s v="ADA"/>
    <s v="11"/>
    <n v="110"/>
    <s v="301"/>
    <m/>
    <m/>
    <m/>
    <n v="0"/>
    <m/>
    <m/>
    <n v="0"/>
    <m/>
    <s v="02200"/>
    <s v="3010"/>
    <s v="99"/>
    <s v="Remboursements IJM"/>
    <m/>
    <n v="0"/>
    <m/>
    <m/>
    <m/>
    <m/>
    <x v="0"/>
    <x v="3"/>
    <x v="0"/>
    <x v="0"/>
    <x v="1"/>
    <x v="0"/>
    <x v="0"/>
    <x v="23"/>
    <x v="4"/>
    <x v="0"/>
    <x v="0"/>
    <x v="15"/>
    <x v="4"/>
    <x v="0"/>
    <x v="20"/>
    <m/>
    <m/>
    <m/>
  </r>
  <r>
    <n v="0"/>
    <s v="110.303"/>
    <s v="Administration Cotisations AVS/AC/AF"/>
    <s v="ADA"/>
    <s v="11"/>
    <n v="110"/>
    <s v="303"/>
    <m/>
    <n v="20522.349999999999"/>
    <n v="0"/>
    <n v="20522.349999999999"/>
    <n v="18000"/>
    <n v="0"/>
    <n v="18000"/>
    <n v="10391.299999999999"/>
    <s v="02200"/>
    <s v="3050"/>
    <s v="00"/>
    <s v="Cotisations AVS, AI, APG, AC, frais adm"/>
    <n v="20522.349999999999"/>
    <n v="20522.349999999999"/>
    <s v="OUI"/>
    <m/>
    <m/>
    <m/>
    <x v="0"/>
    <x v="3"/>
    <x v="0"/>
    <x v="0"/>
    <x v="2"/>
    <x v="0"/>
    <x v="0"/>
    <x v="24"/>
    <x v="4"/>
    <x v="0"/>
    <x v="0"/>
    <x v="1"/>
    <x v="0"/>
    <x v="0"/>
    <x v="2"/>
    <m/>
    <m/>
    <m/>
  </r>
  <r>
    <m/>
    <s v="110.303"/>
    <s v="Administration Cotisations AVS/AC/AF"/>
    <s v="ADA"/>
    <s v="11"/>
    <n v="110"/>
    <s v="303"/>
    <m/>
    <m/>
    <m/>
    <n v="0"/>
    <m/>
    <m/>
    <n v="0"/>
    <m/>
    <s v="02200"/>
    <s v="3054"/>
    <s v="00"/>
    <s v="Cotisations CAF"/>
    <m/>
    <m/>
    <m/>
    <m/>
    <m/>
    <m/>
    <x v="0"/>
    <x v="3"/>
    <x v="0"/>
    <x v="0"/>
    <x v="2"/>
    <x v="0"/>
    <x v="0"/>
    <x v="24"/>
    <x v="4"/>
    <x v="0"/>
    <x v="0"/>
    <x v="2"/>
    <x v="0"/>
    <x v="0"/>
    <x v="3"/>
    <m/>
    <m/>
    <m/>
  </r>
  <r>
    <n v="0"/>
    <s v="110.304"/>
    <s v="Administration Caise de prévoyance LPP"/>
    <s v="ADA"/>
    <s v="11"/>
    <n v="110"/>
    <s v="304"/>
    <m/>
    <n v="21458"/>
    <n v="0"/>
    <n v="21458"/>
    <n v="24000"/>
    <n v="0"/>
    <n v="24000"/>
    <n v="15581.55"/>
    <s v="02200"/>
    <s v="3052"/>
    <s v="00"/>
    <s v="Cotisations patronales aux caisses de pensions"/>
    <n v="21458"/>
    <n v="21458"/>
    <m/>
    <m/>
    <m/>
    <m/>
    <x v="0"/>
    <x v="3"/>
    <x v="0"/>
    <x v="0"/>
    <x v="8"/>
    <x v="0"/>
    <x v="0"/>
    <x v="25"/>
    <x v="4"/>
    <x v="0"/>
    <x v="0"/>
    <x v="4"/>
    <x v="0"/>
    <x v="0"/>
    <x v="5"/>
    <m/>
    <m/>
    <m/>
  </r>
  <r>
    <n v="0"/>
    <s v="110.305"/>
    <s v="Administration Ass. Accidents/Maladie"/>
    <s v="ADA"/>
    <s v="11"/>
    <n v="110"/>
    <s v="305"/>
    <m/>
    <n v="5062.3500000000004"/>
    <n v="0"/>
    <n v="5062.3500000000004"/>
    <n v="4600"/>
    <n v="0"/>
    <n v="4600"/>
    <n v="2629.4"/>
    <s v="02200"/>
    <s v="3053"/>
    <s v="00"/>
    <s v="Cotisations patronales aux assurance-accidents"/>
    <n v="5062.3500000000004"/>
    <n v="5062.3500000000004"/>
    <m/>
    <m/>
    <m/>
    <m/>
    <x v="0"/>
    <x v="3"/>
    <x v="0"/>
    <x v="0"/>
    <x v="3"/>
    <x v="0"/>
    <x v="0"/>
    <x v="26"/>
    <x v="4"/>
    <x v="0"/>
    <x v="0"/>
    <x v="3"/>
    <x v="0"/>
    <x v="0"/>
    <x v="4"/>
    <m/>
    <m/>
    <m/>
  </r>
  <r>
    <n v="0"/>
    <s v="110.306"/>
    <s v="Administration Frais du personnel"/>
    <s v="ADA"/>
    <s v="11"/>
    <n v="110"/>
    <s v="306"/>
    <m/>
    <n v="1828.8"/>
    <n v="0"/>
    <n v="1828.8"/>
    <n v="2500"/>
    <n v="0"/>
    <n v="2500"/>
    <n v="339"/>
    <s v="02200"/>
    <s v="3049"/>
    <s v="00"/>
    <s v="Autres indemnités forfaitaires - natels"/>
    <n v="1828.8"/>
    <n v="1828.8"/>
    <s v="OUI"/>
    <m/>
    <m/>
    <m/>
    <x v="0"/>
    <x v="3"/>
    <x v="0"/>
    <x v="0"/>
    <x v="5"/>
    <x v="0"/>
    <x v="0"/>
    <x v="27"/>
    <x v="4"/>
    <x v="0"/>
    <x v="0"/>
    <x v="6"/>
    <x v="0"/>
    <x v="0"/>
    <x v="7"/>
    <m/>
    <m/>
    <m/>
  </r>
  <r>
    <m/>
    <s v="110.306"/>
    <s v="Administration Frais du personnel"/>
    <s v="ADA"/>
    <s v="11"/>
    <n v="110"/>
    <s v="306"/>
    <m/>
    <m/>
    <m/>
    <n v="0"/>
    <m/>
    <m/>
    <n v="0"/>
    <m/>
    <s v="02200"/>
    <s v="3170"/>
    <s v="00"/>
    <s v="Remboursements de frais effectifs km"/>
    <n v="0"/>
    <n v="0"/>
    <m/>
    <m/>
    <m/>
    <m/>
    <x v="0"/>
    <x v="3"/>
    <x v="0"/>
    <x v="0"/>
    <x v="5"/>
    <x v="0"/>
    <x v="0"/>
    <x v="27"/>
    <x v="4"/>
    <x v="0"/>
    <x v="0"/>
    <x v="7"/>
    <x v="0"/>
    <x v="0"/>
    <x v="8"/>
    <m/>
    <m/>
    <m/>
  </r>
  <r>
    <m/>
    <s v="110.306"/>
    <s v="Administration Frais du personnel"/>
    <s v="ADA"/>
    <s v="11"/>
    <n v="110"/>
    <s v="306"/>
    <m/>
    <m/>
    <m/>
    <n v="0"/>
    <m/>
    <m/>
    <n v="0"/>
    <m/>
    <s v="02200"/>
    <s v="3099"/>
    <s v="00"/>
    <s v="Autres charges du personnel"/>
    <n v="0"/>
    <n v="0"/>
    <m/>
    <s v="fleurs, cartes vœux, resto Vicrignie avec Greg par exemple"/>
    <m/>
    <m/>
    <x v="0"/>
    <x v="3"/>
    <x v="0"/>
    <x v="0"/>
    <x v="5"/>
    <x v="0"/>
    <x v="0"/>
    <x v="27"/>
    <x v="4"/>
    <x v="0"/>
    <x v="0"/>
    <x v="5"/>
    <x v="0"/>
    <x v="0"/>
    <x v="6"/>
    <m/>
    <m/>
    <m/>
  </r>
  <r>
    <n v="0"/>
    <s v="110.309"/>
    <s v="Cours et cadeaux"/>
    <s v="ADA"/>
    <s v="11"/>
    <n v="110"/>
    <s v="309"/>
    <m/>
    <n v="2564.9"/>
    <n v="0"/>
    <n v="2564.9"/>
    <n v="2500"/>
    <n v="0"/>
    <n v="2500"/>
    <n v="1604"/>
    <s v="02200"/>
    <s v="3090"/>
    <s v="00"/>
    <s v="Formation et perfectionnement"/>
    <n v="2564.9"/>
    <n v="2564.9"/>
    <s v="OUI"/>
    <m/>
    <m/>
    <m/>
    <x v="0"/>
    <x v="3"/>
    <x v="0"/>
    <x v="0"/>
    <x v="16"/>
    <x v="0"/>
    <x v="0"/>
    <x v="28"/>
    <x v="4"/>
    <x v="0"/>
    <x v="0"/>
    <x v="11"/>
    <x v="0"/>
    <x v="0"/>
    <x v="14"/>
    <m/>
    <m/>
    <m/>
  </r>
  <r>
    <m/>
    <s v="110.309"/>
    <s v="Cours et cadeaux"/>
    <s v="ADA"/>
    <s v="11"/>
    <n v="110"/>
    <s v="309"/>
    <m/>
    <m/>
    <m/>
    <n v="0"/>
    <m/>
    <m/>
    <n v="0"/>
    <m/>
    <s v="02200"/>
    <n v="3130"/>
    <s v="04"/>
    <s v="Prestations de services tiers - cotisations"/>
    <m/>
    <m/>
    <m/>
    <m/>
    <m/>
    <m/>
    <x v="0"/>
    <x v="3"/>
    <x v="0"/>
    <x v="0"/>
    <x v="16"/>
    <x v="0"/>
    <x v="0"/>
    <x v="28"/>
    <x v="4"/>
    <x v="0"/>
    <x v="0"/>
    <x v="16"/>
    <x v="3"/>
    <x v="0"/>
    <x v="13"/>
    <m/>
    <m/>
    <m/>
  </r>
  <r>
    <m/>
    <s v="110.306"/>
    <s v="Administration Frais du personnel"/>
    <s v="ADA"/>
    <s v="11"/>
    <n v="110"/>
    <n v="306"/>
    <m/>
    <m/>
    <m/>
    <n v="0"/>
    <m/>
    <m/>
    <n v="0"/>
    <m/>
    <s v="02200"/>
    <s v="3091"/>
    <s v="00"/>
    <s v="Recrutement"/>
    <m/>
    <m/>
    <m/>
    <m/>
    <m/>
    <m/>
    <x v="0"/>
    <x v="3"/>
    <x v="0"/>
    <x v="0"/>
    <x v="17"/>
    <x v="0"/>
    <x v="0"/>
    <x v="27"/>
    <x v="4"/>
    <x v="0"/>
    <x v="0"/>
    <x v="17"/>
    <x v="0"/>
    <x v="0"/>
    <x v="21"/>
    <m/>
    <m/>
    <m/>
  </r>
  <r>
    <m/>
    <m/>
    <m/>
    <m/>
    <m/>
    <m/>
    <m/>
    <m/>
    <m/>
    <m/>
    <n v="0"/>
    <m/>
    <m/>
    <n v="0"/>
    <m/>
    <s v="02201"/>
    <s v="3010"/>
    <s v="00"/>
    <s v="Salaire du personnel administratif"/>
    <m/>
    <m/>
    <s v="Répartition à faire"/>
    <s v="FL, FR, ANB"/>
    <m/>
    <m/>
    <x v="0"/>
    <x v="1"/>
    <x v="0"/>
    <x v="0"/>
    <x v="4"/>
    <x v="0"/>
    <x v="0"/>
    <x v="4"/>
    <x v="5"/>
    <x v="0"/>
    <x v="0"/>
    <x v="15"/>
    <x v="0"/>
    <x v="0"/>
    <x v="19"/>
    <m/>
    <m/>
    <m/>
  </r>
  <r>
    <m/>
    <m/>
    <m/>
    <m/>
    <m/>
    <m/>
    <m/>
    <m/>
    <m/>
    <m/>
    <n v="0"/>
    <m/>
    <m/>
    <n v="0"/>
    <m/>
    <s v="02201"/>
    <s v="3010"/>
    <s v="99"/>
    <s v="Remboursements IJM"/>
    <m/>
    <m/>
    <s v="Répartition à faire"/>
    <s v="FL, FR, ANB"/>
    <m/>
    <m/>
    <x v="0"/>
    <x v="1"/>
    <x v="0"/>
    <x v="0"/>
    <x v="4"/>
    <x v="0"/>
    <x v="0"/>
    <x v="4"/>
    <x v="5"/>
    <x v="0"/>
    <x v="0"/>
    <x v="15"/>
    <x v="4"/>
    <x v="0"/>
    <x v="20"/>
    <m/>
    <m/>
    <m/>
  </r>
  <r>
    <m/>
    <m/>
    <m/>
    <m/>
    <m/>
    <m/>
    <m/>
    <m/>
    <m/>
    <m/>
    <n v="0"/>
    <m/>
    <m/>
    <n v="0"/>
    <m/>
    <s v="02201"/>
    <s v="3050"/>
    <s v="00"/>
    <s v="Cotisations AVS, AI, APG, AC, frais adm"/>
    <m/>
    <m/>
    <s v="Répartition à faire"/>
    <s v="FL, FR, ANB"/>
    <m/>
    <m/>
    <x v="0"/>
    <x v="1"/>
    <x v="0"/>
    <x v="0"/>
    <x v="4"/>
    <x v="0"/>
    <x v="0"/>
    <x v="4"/>
    <x v="5"/>
    <x v="0"/>
    <x v="0"/>
    <x v="1"/>
    <x v="0"/>
    <x v="0"/>
    <x v="2"/>
    <m/>
    <m/>
    <m/>
  </r>
  <r>
    <m/>
    <m/>
    <m/>
    <m/>
    <m/>
    <m/>
    <m/>
    <m/>
    <m/>
    <m/>
    <n v="0"/>
    <m/>
    <m/>
    <n v="0"/>
    <m/>
    <s v="02201"/>
    <s v="3054"/>
    <s v="00"/>
    <s v="Cotisations CAF"/>
    <m/>
    <m/>
    <s v="Répartition à faire"/>
    <s v="FL, FR, ANB"/>
    <m/>
    <m/>
    <x v="0"/>
    <x v="1"/>
    <x v="0"/>
    <x v="0"/>
    <x v="4"/>
    <x v="0"/>
    <x v="0"/>
    <x v="4"/>
    <x v="5"/>
    <x v="0"/>
    <x v="0"/>
    <x v="2"/>
    <x v="0"/>
    <x v="0"/>
    <x v="3"/>
    <m/>
    <m/>
    <m/>
  </r>
  <r>
    <m/>
    <m/>
    <m/>
    <m/>
    <m/>
    <m/>
    <m/>
    <m/>
    <m/>
    <m/>
    <n v="0"/>
    <m/>
    <m/>
    <n v="0"/>
    <m/>
    <s v="02201"/>
    <s v="3052"/>
    <s v="00"/>
    <s v="Cotisations patronales aux caisses de pensions"/>
    <m/>
    <m/>
    <s v="Répartition à faire"/>
    <s v="FL, FR, ANB"/>
    <m/>
    <m/>
    <x v="0"/>
    <x v="1"/>
    <x v="0"/>
    <x v="0"/>
    <x v="4"/>
    <x v="0"/>
    <x v="0"/>
    <x v="4"/>
    <x v="5"/>
    <x v="0"/>
    <x v="0"/>
    <x v="4"/>
    <x v="0"/>
    <x v="0"/>
    <x v="5"/>
    <m/>
    <m/>
    <m/>
  </r>
  <r>
    <m/>
    <m/>
    <m/>
    <m/>
    <m/>
    <m/>
    <m/>
    <m/>
    <m/>
    <m/>
    <n v="0"/>
    <m/>
    <m/>
    <n v="0"/>
    <m/>
    <s v="02201"/>
    <s v="3053"/>
    <s v="00"/>
    <s v="Cotisations patronales aux assurance-accidents"/>
    <m/>
    <m/>
    <s v="Répartition à faire"/>
    <s v="FL, FR, ANB"/>
    <m/>
    <m/>
    <x v="0"/>
    <x v="1"/>
    <x v="0"/>
    <x v="0"/>
    <x v="4"/>
    <x v="0"/>
    <x v="0"/>
    <x v="4"/>
    <x v="5"/>
    <x v="0"/>
    <x v="0"/>
    <x v="3"/>
    <x v="0"/>
    <x v="0"/>
    <x v="4"/>
    <m/>
    <m/>
    <m/>
  </r>
  <r>
    <m/>
    <m/>
    <m/>
    <m/>
    <m/>
    <m/>
    <m/>
    <m/>
    <m/>
    <m/>
    <n v="0"/>
    <m/>
    <m/>
    <n v="0"/>
    <m/>
    <s v="02201"/>
    <s v="3049"/>
    <s v="00"/>
    <s v="Autres indemnités forfaitaires - natels"/>
    <m/>
    <m/>
    <s v="Répartition à faire"/>
    <s v="FL, FR, ANB"/>
    <m/>
    <m/>
    <x v="0"/>
    <x v="1"/>
    <x v="0"/>
    <x v="0"/>
    <x v="4"/>
    <x v="0"/>
    <x v="0"/>
    <x v="4"/>
    <x v="5"/>
    <x v="0"/>
    <x v="0"/>
    <x v="6"/>
    <x v="0"/>
    <x v="0"/>
    <x v="7"/>
    <m/>
    <m/>
    <m/>
  </r>
  <r>
    <m/>
    <m/>
    <m/>
    <m/>
    <m/>
    <m/>
    <m/>
    <m/>
    <m/>
    <m/>
    <n v="0"/>
    <m/>
    <m/>
    <n v="0"/>
    <m/>
    <s v="02201"/>
    <s v="3170"/>
    <s v="00"/>
    <s v="Remboursements de frais effectifs km"/>
    <m/>
    <m/>
    <s v="Répartition à faire"/>
    <s v="FL, FR, ANB"/>
    <m/>
    <m/>
    <x v="0"/>
    <x v="1"/>
    <x v="0"/>
    <x v="0"/>
    <x v="4"/>
    <x v="0"/>
    <x v="0"/>
    <x v="4"/>
    <x v="5"/>
    <x v="0"/>
    <x v="0"/>
    <x v="7"/>
    <x v="0"/>
    <x v="0"/>
    <x v="8"/>
    <m/>
    <m/>
    <m/>
  </r>
  <r>
    <m/>
    <m/>
    <m/>
    <m/>
    <m/>
    <m/>
    <m/>
    <m/>
    <m/>
    <m/>
    <n v="0"/>
    <m/>
    <m/>
    <n v="0"/>
    <m/>
    <s v="02201"/>
    <s v="4910"/>
    <s v="00"/>
    <s v="Imputations internes"/>
    <m/>
    <m/>
    <s v="Répartition à faire"/>
    <s v="On sort tout du 02201"/>
    <m/>
    <m/>
    <x v="0"/>
    <x v="1"/>
    <x v="0"/>
    <x v="0"/>
    <x v="4"/>
    <x v="0"/>
    <x v="0"/>
    <x v="4"/>
    <x v="5"/>
    <x v="0"/>
    <x v="0"/>
    <x v="18"/>
    <x v="0"/>
    <x v="0"/>
    <x v="22"/>
    <m/>
    <m/>
    <m/>
  </r>
  <r>
    <m/>
    <m/>
    <m/>
    <m/>
    <m/>
    <m/>
    <m/>
    <m/>
    <m/>
    <m/>
    <n v="0"/>
    <m/>
    <m/>
    <n v="0"/>
    <m/>
    <s v="02100"/>
    <s v="3910"/>
    <s v="00"/>
    <s v="Imputations internes - Bourse"/>
    <m/>
    <m/>
    <m/>
    <s v="FL, FR 40%"/>
    <m/>
    <m/>
    <x v="0"/>
    <x v="1"/>
    <x v="0"/>
    <x v="0"/>
    <x v="4"/>
    <x v="0"/>
    <x v="0"/>
    <x v="4"/>
    <x v="6"/>
    <x v="0"/>
    <x v="0"/>
    <x v="19"/>
    <x v="0"/>
    <x v="0"/>
    <x v="23"/>
    <m/>
    <m/>
    <m/>
  </r>
  <r>
    <m/>
    <m/>
    <m/>
    <m/>
    <m/>
    <m/>
    <m/>
    <m/>
    <m/>
    <m/>
    <n v="0"/>
    <m/>
    <m/>
    <n v="0"/>
    <m/>
    <s v="02210"/>
    <s v="3910"/>
    <s v="00"/>
    <s v="Imputations internes  - Contrôle des habitants"/>
    <m/>
    <m/>
    <m/>
    <s v="ANB, FR 10%"/>
    <m/>
    <m/>
    <x v="0"/>
    <x v="1"/>
    <x v="0"/>
    <x v="0"/>
    <x v="4"/>
    <x v="0"/>
    <x v="0"/>
    <x v="4"/>
    <x v="7"/>
    <x v="0"/>
    <x v="0"/>
    <x v="19"/>
    <x v="0"/>
    <x v="0"/>
    <x v="24"/>
    <m/>
    <m/>
    <m/>
  </r>
  <r>
    <m/>
    <m/>
    <m/>
    <m/>
    <m/>
    <m/>
    <m/>
    <m/>
    <m/>
    <m/>
    <n v="0"/>
    <m/>
    <m/>
    <n v="0"/>
    <m/>
    <s v="02200"/>
    <s v="3910"/>
    <s v="00"/>
    <s v="Imputations internes - Greffe"/>
    <m/>
    <m/>
    <m/>
    <s v="FR 10%"/>
    <m/>
    <m/>
    <x v="0"/>
    <x v="1"/>
    <x v="0"/>
    <x v="0"/>
    <x v="4"/>
    <x v="0"/>
    <x v="0"/>
    <x v="4"/>
    <x v="4"/>
    <x v="0"/>
    <x v="0"/>
    <x v="19"/>
    <x v="0"/>
    <x v="0"/>
    <x v="25"/>
    <m/>
    <m/>
    <m/>
  </r>
  <r>
    <m/>
    <m/>
    <m/>
    <m/>
    <m/>
    <m/>
    <m/>
    <m/>
    <m/>
    <m/>
    <m/>
    <m/>
    <m/>
    <m/>
    <m/>
    <s v="79010"/>
    <s v="3910"/>
    <s v="00"/>
    <s v="Imputations internes - Service technique"/>
    <m/>
    <m/>
    <m/>
    <s v="CM"/>
    <m/>
    <m/>
    <x v="0"/>
    <x v="1"/>
    <x v="0"/>
    <x v="0"/>
    <x v="4"/>
    <x v="0"/>
    <x v="0"/>
    <x v="4"/>
    <x v="8"/>
    <x v="0"/>
    <x v="0"/>
    <x v="19"/>
    <x v="0"/>
    <x v="0"/>
    <x v="26"/>
    <m/>
    <m/>
    <m/>
  </r>
  <r>
    <n v="0"/>
    <s v="110.310"/>
    <s v="Achats Livres : NatuRando / B-d-Chêne"/>
    <s v="ADA"/>
    <s v="11"/>
    <n v="110"/>
    <s v="310"/>
    <m/>
    <n v="0"/>
    <n v="0"/>
    <n v="0"/>
    <n v="0"/>
    <n v="0"/>
    <n v="0"/>
    <n v="0"/>
    <s v="-"/>
    <s v="-"/>
    <s v="-"/>
    <s v="-"/>
    <n v="0"/>
    <n v="0"/>
    <m/>
    <m/>
    <m/>
    <m/>
    <x v="0"/>
    <x v="3"/>
    <x v="0"/>
    <x v="0"/>
    <x v="18"/>
    <x v="0"/>
    <x v="0"/>
    <x v="29"/>
    <x v="1"/>
    <x v="0"/>
    <x v="0"/>
    <x v="9"/>
    <x v="2"/>
    <x v="0"/>
    <x v="17"/>
    <m/>
    <m/>
    <m/>
  </r>
  <r>
    <n v="0"/>
    <s v="110.318"/>
    <s v="Frais de Ports, frais Postfinance et Twint"/>
    <s v="ADA"/>
    <s v="11"/>
    <n v="110"/>
    <s v="318"/>
    <m/>
    <n v="11733.78"/>
    <n v="0"/>
    <n v="11733.78"/>
    <n v="15000"/>
    <n v="0"/>
    <n v="15000"/>
    <n v="7116.9"/>
    <s v="02201"/>
    <n v="3130"/>
    <s v="01"/>
    <s v="Prestations de services tiers - frais de port"/>
    <n v="11733.78"/>
    <n v="11733.78"/>
    <s v="Répartition à faire"/>
    <m/>
    <m/>
    <m/>
    <x v="0"/>
    <x v="3"/>
    <x v="0"/>
    <x v="0"/>
    <x v="10"/>
    <x v="0"/>
    <x v="0"/>
    <x v="30"/>
    <x v="5"/>
    <x v="0"/>
    <x v="0"/>
    <x v="16"/>
    <x v="1"/>
    <x v="0"/>
    <x v="27"/>
    <m/>
    <m/>
    <m/>
  </r>
  <r>
    <m/>
    <s v="110.318"/>
    <s v="Frais de Ports, frais Postfinance et Twint"/>
    <s v="ADA"/>
    <s v="11"/>
    <n v="110"/>
    <s v="318"/>
    <m/>
    <m/>
    <m/>
    <n v="0"/>
    <m/>
    <m/>
    <n v="0"/>
    <m/>
    <s v="96900"/>
    <s v="3420"/>
    <s v="00"/>
    <s v="Frais bancaires et Twint"/>
    <n v="0"/>
    <n v="0"/>
    <m/>
    <m/>
    <m/>
    <m/>
    <x v="0"/>
    <x v="3"/>
    <x v="0"/>
    <x v="0"/>
    <x v="10"/>
    <x v="0"/>
    <x v="0"/>
    <x v="30"/>
    <x v="9"/>
    <x v="0"/>
    <x v="0"/>
    <x v="20"/>
    <x v="0"/>
    <x v="0"/>
    <x v="28"/>
    <m/>
    <m/>
    <m/>
  </r>
  <r>
    <n v="0"/>
    <s v="110.318.1"/>
    <s v="Téléphones"/>
    <s v="ADA"/>
    <s v="11"/>
    <n v="110"/>
    <s v="318"/>
    <n v="1"/>
    <n v="11975.9"/>
    <n v="0"/>
    <n v="11975.9"/>
    <n v="12500"/>
    <n v="0"/>
    <n v="12500"/>
    <n v="5248.6"/>
    <s v="02201"/>
    <s v="3130"/>
    <s v="02"/>
    <s v="Prestations de services tiers - télécommunications"/>
    <n v="11975.9"/>
    <n v="11975.9"/>
    <s v="Répartition à faire"/>
    <s v="aireless,  natels, et Swisscom"/>
    <m/>
    <m/>
    <x v="0"/>
    <x v="3"/>
    <x v="0"/>
    <x v="0"/>
    <x v="10"/>
    <x v="1"/>
    <x v="0"/>
    <x v="31"/>
    <x v="5"/>
    <x v="0"/>
    <x v="0"/>
    <x v="10"/>
    <x v="5"/>
    <x v="0"/>
    <x v="29"/>
    <m/>
    <m/>
    <m/>
  </r>
  <r>
    <m/>
    <s v="110.318.1"/>
    <s v="Téléphones"/>
    <s v="ADA"/>
    <s v="11"/>
    <n v="110"/>
    <s v="318"/>
    <n v="1"/>
    <m/>
    <m/>
    <n v="0"/>
    <m/>
    <m/>
    <n v="0"/>
    <m/>
    <s v="11100"/>
    <s v="3130"/>
    <s v="02"/>
    <s v="Prestations de services tiers - télécommunications (cameras)"/>
    <n v="0"/>
    <n v="0"/>
    <m/>
    <s v="cameras,"/>
    <m/>
    <m/>
    <x v="0"/>
    <x v="3"/>
    <x v="0"/>
    <x v="0"/>
    <x v="10"/>
    <x v="1"/>
    <x v="0"/>
    <x v="31"/>
    <x v="10"/>
    <x v="0"/>
    <x v="0"/>
    <x v="10"/>
    <x v="5"/>
    <x v="0"/>
    <x v="30"/>
    <m/>
    <m/>
    <m/>
  </r>
  <r>
    <n v="0"/>
    <s v="110.318.2"/>
    <s v="Ass. RC commune"/>
    <s v="ADA"/>
    <s v="11"/>
    <n v="110"/>
    <s v="318"/>
    <n v="2"/>
    <n v="1940.4"/>
    <n v="0"/>
    <n v="1940.4"/>
    <n v="17710"/>
    <n v="0"/>
    <n v="17710"/>
    <n v="1837.9"/>
    <s v="02201"/>
    <s v="3134"/>
    <s v="00"/>
    <s v="Frais assurances - Inventaire et RC"/>
    <n v="1940.4"/>
    <n v="1940.4"/>
    <s v="Répartition à faire"/>
    <s v="Assurance inventaires et RC"/>
    <m/>
    <m/>
    <x v="0"/>
    <x v="3"/>
    <x v="0"/>
    <x v="0"/>
    <x v="10"/>
    <x v="2"/>
    <x v="0"/>
    <x v="32"/>
    <x v="5"/>
    <x v="0"/>
    <x v="0"/>
    <x v="21"/>
    <x v="0"/>
    <x v="0"/>
    <x v="31"/>
    <m/>
    <m/>
    <m/>
  </r>
  <r>
    <n v="0"/>
    <s v="110.319"/>
    <s v="Cotisations à inst. Privées"/>
    <s v="ADA"/>
    <s v="11"/>
    <n v="110"/>
    <s v="319"/>
    <m/>
    <n v="25338.25"/>
    <n v="0"/>
    <n v="25338.25"/>
    <n v="28000"/>
    <n v="0"/>
    <n v="28000"/>
    <n v="24430.25"/>
    <s v="02201"/>
    <n v="3130"/>
    <s v="04"/>
    <s v="Prestations de services tiers - cotisations"/>
    <n v="25338.25"/>
    <n v="25338.25"/>
    <s v="Répartition à faire"/>
    <s v="AVDCH - ASSOCIATION VAUDOISE DES CONTROLES DES HA (pas là) 02210"/>
    <m/>
    <m/>
    <x v="0"/>
    <x v="3"/>
    <x v="0"/>
    <x v="0"/>
    <x v="19"/>
    <x v="0"/>
    <x v="0"/>
    <x v="33"/>
    <x v="5"/>
    <x v="0"/>
    <x v="0"/>
    <x v="16"/>
    <x v="3"/>
    <x v="0"/>
    <x v="13"/>
    <m/>
    <m/>
    <m/>
  </r>
  <r>
    <n v="0"/>
    <s v="110.332"/>
    <s v="Amortissement suppl admin"/>
    <s v="ADA"/>
    <s v="11"/>
    <n v="110"/>
    <s v="332"/>
    <m/>
    <n v="14863.75"/>
    <n v="0"/>
    <n v="14863.75"/>
    <n v="0"/>
    <n v="0"/>
    <n v="0"/>
    <n v="0"/>
    <s v="02200"/>
    <n v="3321"/>
    <s v="09"/>
    <s v="Amortissements non planifiés des immobilisations corporelles PA"/>
    <n v="14863.75"/>
    <n v="0"/>
    <m/>
    <s v="refonte site internet"/>
    <m/>
    <m/>
    <x v="0"/>
    <x v="3"/>
    <x v="0"/>
    <x v="0"/>
    <x v="20"/>
    <x v="0"/>
    <x v="0"/>
    <x v="34"/>
    <x v="4"/>
    <x v="0"/>
    <x v="0"/>
    <x v="22"/>
    <x v="6"/>
    <x v="0"/>
    <x v="32"/>
    <m/>
    <m/>
    <m/>
  </r>
  <r>
    <n v="0"/>
    <s v="110.365"/>
    <s v="Dons et subventions"/>
    <s v="ADA"/>
    <s v="11"/>
    <n v="110"/>
    <s v="365"/>
    <m/>
    <n v="26540"/>
    <n v="0"/>
    <n v="26540"/>
    <n v="20000"/>
    <n v="0"/>
    <n v="20000"/>
    <n v="13510"/>
    <s v="59200"/>
    <s v="3636"/>
    <s v="00"/>
    <s v="Subventions à des tiers - dons"/>
    <n v="26540"/>
    <n v="59232.25"/>
    <s v="OUI"/>
    <s v="3632 si à des communes / 3637 aux habitants sbonnement application voitures -&gt; NRTV 10K (Communyon)"/>
    <m/>
    <m/>
    <x v="0"/>
    <x v="3"/>
    <x v="0"/>
    <x v="0"/>
    <x v="21"/>
    <x v="0"/>
    <x v="0"/>
    <x v="35"/>
    <x v="11"/>
    <x v="0"/>
    <x v="0"/>
    <x v="23"/>
    <x v="0"/>
    <x v="0"/>
    <x v="33"/>
    <m/>
    <m/>
    <m/>
  </r>
  <r>
    <m/>
    <s v="110.365"/>
    <s v="Dons et subventions"/>
    <s v="ADA"/>
    <s v="11"/>
    <n v="110"/>
    <s v="365"/>
    <m/>
    <m/>
    <m/>
    <m/>
    <m/>
    <m/>
    <m/>
    <m/>
    <s v="59200"/>
    <s v="3632"/>
    <s v="00"/>
    <s v="Subventions accordées aux communes et associations  - dons"/>
    <m/>
    <m/>
    <m/>
    <m/>
    <m/>
    <m/>
    <x v="0"/>
    <x v="3"/>
    <x v="0"/>
    <x v="0"/>
    <x v="21"/>
    <x v="0"/>
    <x v="0"/>
    <x v="35"/>
    <x v="11"/>
    <x v="0"/>
    <x v="0"/>
    <x v="24"/>
    <x v="0"/>
    <x v="0"/>
    <x v="34"/>
    <m/>
    <m/>
    <m/>
  </r>
  <r>
    <m/>
    <s v="110.365"/>
    <s v="Dons et subventions"/>
    <s v="ADA"/>
    <s v="11"/>
    <n v="110"/>
    <s v="365"/>
    <m/>
    <m/>
    <m/>
    <m/>
    <m/>
    <m/>
    <m/>
    <m/>
    <s v="59200"/>
    <s v="3637"/>
    <s v="00"/>
    <s v="Subventions accordées aux ménages privés - dons"/>
    <m/>
    <m/>
    <m/>
    <m/>
    <m/>
    <m/>
    <x v="0"/>
    <x v="3"/>
    <x v="0"/>
    <x v="0"/>
    <x v="21"/>
    <x v="0"/>
    <x v="0"/>
    <x v="35"/>
    <x v="11"/>
    <x v="0"/>
    <x v="0"/>
    <x v="25"/>
    <x v="0"/>
    <x v="0"/>
    <x v="35"/>
    <m/>
    <m/>
    <m/>
  </r>
  <r>
    <n v="0"/>
    <s v="110.365.1"/>
    <s v="Aides culture et loisirs"/>
    <s v="ADA"/>
    <s v="11"/>
    <n v="110"/>
    <s v="365"/>
    <n v="1"/>
    <n v="32692.25"/>
    <n v="0"/>
    <n v="32692.25"/>
    <n v="32000"/>
    <n v="0"/>
    <n v="32000"/>
    <n v="21274.5"/>
    <s v="59200"/>
    <s v="3636"/>
    <s v="00"/>
    <s v="Subventions à des tiers - dons"/>
    <n v="32692.25"/>
    <n v="0"/>
    <s v="OUI"/>
    <s v="Fdtion enseignement musique 19K / Iscine Bassins 10K"/>
    <m/>
    <m/>
    <x v="0"/>
    <x v="3"/>
    <x v="0"/>
    <x v="0"/>
    <x v="21"/>
    <x v="1"/>
    <x v="0"/>
    <x v="36"/>
    <x v="11"/>
    <x v="0"/>
    <x v="0"/>
    <x v="23"/>
    <x v="0"/>
    <x v="0"/>
    <x v="33"/>
    <m/>
    <m/>
    <m/>
  </r>
  <r>
    <m/>
    <s v="110.365.1"/>
    <s v="Aides culture et loisirs"/>
    <s v="ADA"/>
    <s v="11"/>
    <n v="110"/>
    <s v="365"/>
    <n v="1"/>
    <m/>
    <m/>
    <m/>
    <m/>
    <m/>
    <m/>
    <m/>
    <s v="59200"/>
    <s v="3632"/>
    <s v="00"/>
    <s v="Subventions accordées aux communes et associations  - dons"/>
    <m/>
    <m/>
    <m/>
    <m/>
    <m/>
    <m/>
    <x v="0"/>
    <x v="3"/>
    <x v="0"/>
    <x v="0"/>
    <x v="21"/>
    <x v="1"/>
    <x v="0"/>
    <x v="36"/>
    <x v="11"/>
    <x v="0"/>
    <x v="0"/>
    <x v="24"/>
    <x v="0"/>
    <x v="0"/>
    <x v="34"/>
    <m/>
    <m/>
    <m/>
  </r>
  <r>
    <m/>
    <s v="110.365.1"/>
    <s v="Aides culture et loisirs"/>
    <s v="ADA"/>
    <s v="11"/>
    <n v="110"/>
    <s v="365"/>
    <n v="1"/>
    <m/>
    <m/>
    <m/>
    <m/>
    <m/>
    <m/>
    <m/>
    <s v="59200"/>
    <s v="3637"/>
    <s v="00"/>
    <s v="Subventions accordées aux ménages privés - dons"/>
    <m/>
    <m/>
    <m/>
    <s v="NRTV"/>
    <m/>
    <m/>
    <x v="0"/>
    <x v="3"/>
    <x v="0"/>
    <x v="0"/>
    <x v="21"/>
    <x v="1"/>
    <x v="0"/>
    <x v="36"/>
    <x v="11"/>
    <x v="0"/>
    <x v="0"/>
    <x v="25"/>
    <x v="0"/>
    <x v="0"/>
    <x v="35"/>
    <m/>
    <m/>
    <m/>
  </r>
  <r>
    <n v="0"/>
    <s v="110.380"/>
    <s v="Attribution au fonds culture (9282.7)"/>
    <s v="ADA"/>
    <s v="11"/>
    <n v="110"/>
    <s v="380"/>
    <m/>
    <n v="0"/>
    <n v="0"/>
    <n v="0"/>
    <n v="0"/>
    <n v="0"/>
    <n v="0"/>
    <n v="0"/>
    <s v="-"/>
    <s v="-"/>
    <s v="-"/>
    <m/>
    <m/>
    <m/>
    <m/>
    <m/>
    <m/>
    <m/>
    <x v="0"/>
    <x v="3"/>
    <x v="0"/>
    <x v="0"/>
    <x v="22"/>
    <x v="0"/>
    <x v="0"/>
    <x v="37"/>
    <x v="1"/>
    <x v="0"/>
    <x v="0"/>
    <x v="9"/>
    <x v="2"/>
    <x v="0"/>
    <x v="10"/>
    <m/>
    <m/>
    <m/>
  </r>
  <r>
    <n v="0"/>
    <s v="110.390.1"/>
    <s v="Imputations internes salaires admin."/>
    <s v="ADA"/>
    <s v="11"/>
    <n v="110"/>
    <s v="390"/>
    <n v="1"/>
    <n v="0"/>
    <n v="0"/>
    <n v="0"/>
    <n v="0"/>
    <n v="0"/>
    <n v="0"/>
    <n v="0"/>
    <s v="-"/>
    <s v="-"/>
    <s v="-"/>
    <m/>
    <m/>
    <m/>
    <m/>
    <m/>
    <m/>
    <m/>
    <x v="0"/>
    <x v="3"/>
    <x v="0"/>
    <x v="0"/>
    <x v="7"/>
    <x v="1"/>
    <x v="0"/>
    <x v="38"/>
    <x v="1"/>
    <x v="0"/>
    <x v="0"/>
    <x v="9"/>
    <x v="2"/>
    <x v="0"/>
    <x v="10"/>
    <m/>
    <m/>
    <m/>
  </r>
  <r>
    <n v="0"/>
    <s v="110.431"/>
    <s v="Autorisations, permis temporaires"/>
    <s v="ADA"/>
    <s v="11"/>
    <n v="110"/>
    <s v="431"/>
    <m/>
    <n v="0"/>
    <n v="-3055"/>
    <n v="-3055"/>
    <n v="0"/>
    <n v="-4000"/>
    <n v="-4000"/>
    <n v="-500"/>
    <s v="79010"/>
    <s v="4210"/>
    <s v="00"/>
    <s v="Emoluments pour actes administratifs - permis et autres attestations CDH"/>
    <n v="-3055"/>
    <n v="-3055"/>
    <m/>
    <s v="permis de construire, moyenne 3 ans (abattages arbres)"/>
    <m/>
    <m/>
    <x v="0"/>
    <x v="3"/>
    <x v="0"/>
    <x v="0"/>
    <x v="23"/>
    <x v="0"/>
    <x v="0"/>
    <x v="39"/>
    <x v="8"/>
    <x v="0"/>
    <x v="0"/>
    <x v="26"/>
    <x v="0"/>
    <x v="0"/>
    <x v="36"/>
    <m/>
    <m/>
    <m/>
  </r>
  <r>
    <n v="0"/>
    <s v="110.435"/>
    <s v="Ventes plans et livres Genolier"/>
    <s v="ADA"/>
    <s v="11"/>
    <n v="110"/>
    <s v="435"/>
    <m/>
    <n v="0"/>
    <n v="-32"/>
    <n v="-32"/>
    <n v="0"/>
    <n v="-50"/>
    <n v="-50"/>
    <n v="-43"/>
    <s v="02201"/>
    <s v="4250"/>
    <s v="00"/>
    <s v="Recettes sur ventes"/>
    <n v="-32"/>
    <n v="0"/>
    <s v="Répartition à faire"/>
    <s v="ventes livres"/>
    <m/>
    <m/>
    <x v="0"/>
    <x v="3"/>
    <x v="0"/>
    <x v="0"/>
    <x v="12"/>
    <x v="0"/>
    <x v="0"/>
    <x v="40"/>
    <x v="5"/>
    <x v="0"/>
    <x v="0"/>
    <x v="27"/>
    <x v="0"/>
    <x v="0"/>
    <x v="37"/>
    <m/>
    <m/>
    <m/>
  </r>
  <r>
    <n v="0"/>
    <s v="110.436"/>
    <s v="Remboursements de tiers admin."/>
    <s v="ADA"/>
    <s v="11"/>
    <n v="110"/>
    <s v="436"/>
    <m/>
    <n v="0"/>
    <n v="-39671.300000000003"/>
    <n v="-39671.300000000003"/>
    <n v="0"/>
    <n v="0"/>
    <n v="0"/>
    <n v="-4249.93"/>
    <s v="02201"/>
    <s v="3010"/>
    <s v="99"/>
    <s v="Remboursements IJM"/>
    <n v="-39671.300000000003"/>
    <n v="0"/>
    <s v="Répartition à faire"/>
    <s v="APG"/>
    <m/>
    <m/>
    <x v="0"/>
    <x v="3"/>
    <x v="0"/>
    <x v="0"/>
    <x v="13"/>
    <x v="0"/>
    <x v="0"/>
    <x v="41"/>
    <x v="5"/>
    <x v="0"/>
    <x v="0"/>
    <x v="15"/>
    <x v="4"/>
    <x v="0"/>
    <x v="20"/>
    <m/>
    <m/>
    <m/>
  </r>
  <r>
    <m/>
    <s v="110.436"/>
    <s v="Remboursements de tiers admin."/>
    <s v="ADA"/>
    <s v="11"/>
    <n v="110"/>
    <s v="436"/>
    <m/>
    <m/>
    <m/>
    <n v="0"/>
    <m/>
    <m/>
    <n v="0"/>
    <m/>
    <s v="82000"/>
    <s v="4611"/>
    <s v="00"/>
    <s v="Subvention des canton"/>
    <m/>
    <m/>
    <m/>
    <s v="DGE faune alliée"/>
    <m/>
    <m/>
    <x v="0"/>
    <x v="3"/>
    <x v="0"/>
    <x v="0"/>
    <x v="13"/>
    <x v="0"/>
    <x v="0"/>
    <x v="41"/>
    <x v="12"/>
    <x v="0"/>
    <x v="0"/>
    <x v="28"/>
    <x v="0"/>
    <x v="0"/>
    <x v="38"/>
    <m/>
    <m/>
    <m/>
  </r>
  <r>
    <n v="0"/>
    <s v="110.480"/>
    <s v="Prélèvement au fonds de réserve"/>
    <s v="ADA"/>
    <s v="11"/>
    <n v="110"/>
    <s v="480"/>
    <m/>
    <n v="0"/>
    <n v="-14863.75"/>
    <n v="-14863.75"/>
    <n v="0"/>
    <n v="0"/>
    <n v="0"/>
    <n v="0"/>
    <s v="99000"/>
    <s v="4894"/>
    <s v="00"/>
    <s v="Prélèvement sur la réserve de politique budgétaire"/>
    <n v="-14863.75"/>
    <n v="0"/>
    <m/>
    <m/>
    <m/>
    <m/>
    <x v="0"/>
    <x v="3"/>
    <x v="0"/>
    <x v="0"/>
    <x v="14"/>
    <x v="0"/>
    <x v="0"/>
    <x v="42"/>
    <x v="13"/>
    <x v="0"/>
    <x v="0"/>
    <x v="29"/>
    <x v="0"/>
    <x v="0"/>
    <x v="39"/>
    <m/>
    <m/>
    <m/>
  </r>
  <r>
    <n v="0"/>
    <s v="110.490"/>
    <s v="Imputations internes admin."/>
    <s v="ADA"/>
    <s v="11"/>
    <n v="110"/>
    <s v="490"/>
    <m/>
    <n v="0"/>
    <n v="0"/>
    <n v="0"/>
    <n v="0"/>
    <n v="0"/>
    <n v="0"/>
    <n v="0"/>
    <s v="-"/>
    <s v="-"/>
    <s v="-"/>
    <m/>
    <m/>
    <m/>
    <m/>
    <m/>
    <m/>
    <m/>
    <x v="0"/>
    <x v="3"/>
    <x v="0"/>
    <x v="0"/>
    <x v="15"/>
    <x v="0"/>
    <x v="0"/>
    <x v="43"/>
    <x v="1"/>
    <x v="0"/>
    <x v="0"/>
    <x v="9"/>
    <x v="2"/>
    <x v="0"/>
    <x v="10"/>
    <m/>
    <m/>
    <m/>
  </r>
  <r>
    <n v="0"/>
    <n v="120.31"/>
    <s v="Fournitures de bureau, abonnements et parutions (incl. Archivistes)"/>
    <s v="ADA"/>
    <s v="12"/>
    <n v="120"/>
    <s v="310"/>
    <m/>
    <n v="35774.25"/>
    <n v="0"/>
    <n v="35774.25"/>
    <n v="31000"/>
    <n v="0"/>
    <n v="31000"/>
    <n v="7648.95"/>
    <s v="02201"/>
    <s v="3101"/>
    <s v="00"/>
    <s v="Matériel d'exploitation, petites fournitures"/>
    <n v="35774.25"/>
    <n v="36000"/>
    <s v="Répartition à faire"/>
    <s v="Economat, stylos, papier, etc"/>
    <m/>
    <m/>
    <x v="0"/>
    <x v="4"/>
    <x v="0"/>
    <x v="0"/>
    <x v="18"/>
    <x v="0"/>
    <x v="0"/>
    <x v="44"/>
    <x v="5"/>
    <x v="0"/>
    <x v="0"/>
    <x v="30"/>
    <x v="0"/>
    <x v="0"/>
    <x v="40"/>
    <m/>
    <m/>
    <m/>
  </r>
  <r>
    <m/>
    <n v="120.31"/>
    <s v="Fournitures de bureau, abonnements et parutions (incl. Archivistes)"/>
    <s v="ADA"/>
    <s v="12"/>
    <n v="120"/>
    <s v="310"/>
    <m/>
    <m/>
    <m/>
    <n v="0"/>
    <m/>
    <m/>
    <n v="0"/>
    <m/>
    <s v="02201"/>
    <s v="3130"/>
    <s v="05"/>
    <s v="Prestations de services tiers - autres"/>
    <m/>
    <m/>
    <s v="Répartition à faire"/>
    <m/>
    <m/>
    <m/>
    <x v="0"/>
    <x v="4"/>
    <x v="0"/>
    <x v="0"/>
    <x v="18"/>
    <x v="0"/>
    <x v="0"/>
    <x v="44"/>
    <x v="5"/>
    <x v="0"/>
    <x v="0"/>
    <x v="10"/>
    <x v="7"/>
    <x v="0"/>
    <x v="41"/>
    <m/>
    <m/>
    <m/>
  </r>
  <r>
    <m/>
    <n v="120.31"/>
    <s v="Fournitures de bureau, abonnements et parutions (incl. Archivistes)"/>
    <s v="ADA"/>
    <s v="12"/>
    <n v="120"/>
    <s v="310"/>
    <m/>
    <m/>
    <m/>
    <n v="0"/>
    <m/>
    <m/>
    <n v="0"/>
    <m/>
    <s v="01200"/>
    <s v="3102"/>
    <s v="00"/>
    <s v="Imprimés, publications"/>
    <m/>
    <m/>
    <m/>
    <s v="Election greg"/>
    <m/>
    <m/>
    <x v="0"/>
    <x v="4"/>
    <x v="0"/>
    <x v="0"/>
    <x v="18"/>
    <x v="0"/>
    <x v="0"/>
    <x v="44"/>
    <x v="2"/>
    <x v="0"/>
    <x v="0"/>
    <x v="31"/>
    <x v="0"/>
    <x v="0"/>
    <x v="42"/>
    <m/>
    <m/>
    <m/>
  </r>
  <r>
    <m/>
    <n v="120.31"/>
    <s v="Fournitures de bureau, abonnements et parutions (incl. Archivistes)"/>
    <s v="ADA"/>
    <s v="12"/>
    <n v="120"/>
    <s v="310"/>
    <m/>
    <m/>
    <m/>
    <n v="0"/>
    <m/>
    <m/>
    <n v="0"/>
    <m/>
    <s v="02201"/>
    <s v="3132"/>
    <s v="00"/>
    <s v="Honoraires conseils externes, spécialistes (avocats, archivistes, …)"/>
    <m/>
    <m/>
    <s v="Répartition à faire"/>
    <m/>
    <m/>
    <m/>
    <x v="0"/>
    <x v="4"/>
    <x v="0"/>
    <x v="0"/>
    <x v="18"/>
    <x v="0"/>
    <x v="0"/>
    <x v="44"/>
    <x v="5"/>
    <x v="0"/>
    <x v="0"/>
    <x v="12"/>
    <x v="0"/>
    <x v="0"/>
    <x v="15"/>
    <m/>
    <m/>
    <m/>
  </r>
  <r>
    <m/>
    <n v="120.31"/>
    <s v="Fournitures de bureau, abonnements et parutions (incl. Archivistes)"/>
    <s v="ADA"/>
    <s v="12"/>
    <n v="120"/>
    <s v="310"/>
    <m/>
    <m/>
    <m/>
    <n v="0"/>
    <m/>
    <m/>
    <n v="0"/>
    <m/>
    <s v="02200"/>
    <s v="3102"/>
    <s v="00"/>
    <s v="Imprimés, publications"/>
    <m/>
    <m/>
    <m/>
    <s v="Publication avis mortiaires (Impact Media pas refacturé)"/>
    <m/>
    <m/>
    <x v="0"/>
    <x v="4"/>
    <x v="0"/>
    <x v="0"/>
    <x v="18"/>
    <x v="0"/>
    <x v="0"/>
    <x v="44"/>
    <x v="4"/>
    <x v="0"/>
    <x v="0"/>
    <x v="31"/>
    <x v="0"/>
    <x v="0"/>
    <x v="42"/>
    <m/>
    <m/>
    <m/>
  </r>
  <r>
    <n v="0"/>
    <s v="120.311"/>
    <s v="Achats Mobilier et machines de bureau"/>
    <s v="ADA"/>
    <s v="12"/>
    <n v="120"/>
    <s v="311"/>
    <m/>
    <n v="14651.9"/>
    <n v="0"/>
    <n v="14651.9"/>
    <n v="10000"/>
    <n v="0"/>
    <n v="10000"/>
    <n v="3428.35"/>
    <s v="02201"/>
    <s v="3162"/>
    <s v="00"/>
    <s v="Primes de leasing opérationnel - sharp"/>
    <n v="14651.9"/>
    <n v="16173.85"/>
    <s v="Répartition à faire"/>
    <s v="imprimante, table, lampe"/>
    <m/>
    <m/>
    <x v="0"/>
    <x v="4"/>
    <x v="0"/>
    <x v="0"/>
    <x v="6"/>
    <x v="0"/>
    <x v="0"/>
    <x v="45"/>
    <x v="5"/>
    <x v="0"/>
    <x v="0"/>
    <x v="32"/>
    <x v="0"/>
    <x v="0"/>
    <x v="43"/>
    <m/>
    <m/>
    <m/>
  </r>
  <r>
    <n v="0"/>
    <s v="120.315"/>
    <s v="Entretien mobilier et machines de bureau"/>
    <s v="ADA"/>
    <s v="12"/>
    <n v="120"/>
    <s v="315"/>
    <m/>
    <n v="1521.95"/>
    <n v="0"/>
    <n v="1521.95"/>
    <n v="1700"/>
    <n v="0"/>
    <n v="1700"/>
    <n v="998.85"/>
    <s v="02201"/>
    <s v="3150"/>
    <s v="00"/>
    <s v="Entretien de meubles et appareils de bureau"/>
    <n v="1521.95"/>
    <m/>
    <s v="Répartition à faire"/>
    <m/>
    <m/>
    <m/>
    <x v="0"/>
    <x v="4"/>
    <x v="0"/>
    <x v="0"/>
    <x v="24"/>
    <x v="0"/>
    <x v="0"/>
    <x v="46"/>
    <x v="5"/>
    <x v="0"/>
    <x v="0"/>
    <x v="33"/>
    <x v="0"/>
    <x v="0"/>
    <x v="44"/>
    <m/>
    <m/>
    <m/>
  </r>
  <r>
    <m/>
    <s v="120.315"/>
    <s v="Entretien mobilier et machines de bureau"/>
    <s v="ADA"/>
    <s v="12"/>
    <n v="120"/>
    <s v="315"/>
    <m/>
    <m/>
    <m/>
    <m/>
    <m/>
    <m/>
    <n v="0"/>
    <m/>
    <s v="02201"/>
    <s v="3169"/>
    <s v="00"/>
    <s v="Autres loyers et frais d'utilisation - location timbreuse"/>
    <m/>
    <m/>
    <s v="Répartition à faire"/>
    <s v="location timbreuse Quadient"/>
    <m/>
    <m/>
    <x v="0"/>
    <x v="4"/>
    <x v="0"/>
    <x v="0"/>
    <x v="24"/>
    <x v="0"/>
    <x v="0"/>
    <x v="46"/>
    <x v="5"/>
    <x v="0"/>
    <x v="0"/>
    <x v="34"/>
    <x v="0"/>
    <x v="0"/>
    <x v="45"/>
    <m/>
    <m/>
    <m/>
  </r>
  <r>
    <n v="0"/>
    <s v="120.380"/>
    <s v="Attribution au fonds renouvellement (9281.1)"/>
    <s v="ADA"/>
    <s v="12"/>
    <n v="120"/>
    <s v="380"/>
    <m/>
    <n v="0"/>
    <n v="0"/>
    <n v="0"/>
    <n v="0"/>
    <n v="0"/>
    <n v="0"/>
    <n v="0"/>
    <s v="-"/>
    <s v="-"/>
    <s v="-"/>
    <m/>
    <m/>
    <m/>
    <m/>
    <m/>
    <m/>
    <m/>
    <x v="0"/>
    <x v="4"/>
    <x v="0"/>
    <x v="0"/>
    <x v="22"/>
    <x v="0"/>
    <x v="0"/>
    <x v="47"/>
    <x v="1"/>
    <x v="0"/>
    <x v="0"/>
    <x v="9"/>
    <x v="2"/>
    <x v="0"/>
    <x v="10"/>
    <m/>
    <m/>
    <m/>
  </r>
  <r>
    <n v="0"/>
    <s v="120.480"/>
    <s v="Prélèvement au fonds renouvellement (9281.1)"/>
    <s v="ADA"/>
    <s v="12"/>
    <n v="120"/>
    <s v="480"/>
    <m/>
    <n v="0"/>
    <n v="0"/>
    <n v="0"/>
    <n v="0"/>
    <n v="0"/>
    <n v="0"/>
    <n v="0"/>
    <s v="-"/>
    <s v="-"/>
    <s v="-"/>
    <m/>
    <m/>
    <m/>
    <m/>
    <s v="Utiliser pour les manifestations sur Genolier: Phanee De Pool, flyers"/>
    <m/>
    <m/>
    <x v="0"/>
    <x v="4"/>
    <x v="0"/>
    <x v="0"/>
    <x v="14"/>
    <x v="0"/>
    <x v="0"/>
    <x v="48"/>
    <x v="1"/>
    <x v="0"/>
    <x v="0"/>
    <x v="9"/>
    <x v="2"/>
    <x v="0"/>
    <x v="10"/>
    <m/>
    <m/>
    <m/>
  </r>
  <r>
    <n v="0"/>
    <s v="160.314"/>
    <s v="Tourisme entretien"/>
    <s v="PCO"/>
    <s v="16"/>
    <n v="160"/>
    <s v="314"/>
    <m/>
    <n v="0"/>
    <n v="0"/>
    <n v="0"/>
    <n v="0"/>
    <n v="0"/>
    <n v="0"/>
    <n v="0"/>
    <s v="-"/>
    <s v="-"/>
    <s v="-"/>
    <m/>
    <m/>
    <m/>
    <m/>
    <m/>
    <m/>
    <m/>
    <x v="0"/>
    <x v="5"/>
    <x v="0"/>
    <x v="0"/>
    <x v="25"/>
    <x v="0"/>
    <x v="0"/>
    <x v="49"/>
    <x v="1"/>
    <x v="0"/>
    <x v="0"/>
    <x v="9"/>
    <x v="2"/>
    <x v="0"/>
    <x v="10"/>
    <m/>
    <m/>
    <m/>
  </r>
  <r>
    <n v="0"/>
    <s v="160.352"/>
    <s v="Taxes de séjours Région Nyon"/>
    <s v="PCO"/>
    <s v="16"/>
    <n v="160"/>
    <s v="352"/>
    <m/>
    <n v="18057.849999999999"/>
    <n v="0"/>
    <n v="18057.849999999999"/>
    <n v="25000"/>
    <n v="0"/>
    <n v="25000"/>
    <n v="0"/>
    <s v="84000"/>
    <s v="3612"/>
    <s v="00"/>
    <s v="Parts aux communes et assoc intercomm - taxes de séjour"/>
    <n v="18057.849999999999"/>
    <n v="21250"/>
    <m/>
    <s v="regis par un règlement toursime de Nyon, nous récoltons la taxe et on reverse 85% à Region Nyon, on conserve 15% que l'on met dans un fonds"/>
    <m/>
    <m/>
    <x v="0"/>
    <x v="5"/>
    <x v="0"/>
    <x v="0"/>
    <x v="26"/>
    <x v="0"/>
    <x v="0"/>
    <x v="50"/>
    <x v="14"/>
    <x v="0"/>
    <x v="0"/>
    <x v="13"/>
    <x v="0"/>
    <x v="0"/>
    <x v="46"/>
    <m/>
    <m/>
    <m/>
  </r>
  <r>
    <m/>
    <s v="160.352"/>
    <s v="Taxes de séjours Région Nyon"/>
    <s v="PCO"/>
    <s v="16"/>
    <n v="160"/>
    <s v="352"/>
    <m/>
    <m/>
    <m/>
    <n v="0"/>
    <m/>
    <m/>
    <n v="0"/>
    <m/>
    <s v="84000"/>
    <s v="4612"/>
    <s v="00"/>
    <s v="Dédommagement des communes et associations intercommunales  - taxes de séjour"/>
    <m/>
    <m/>
    <m/>
    <s v="chgt règle en 2024"/>
    <m/>
    <m/>
    <x v="0"/>
    <x v="5"/>
    <x v="0"/>
    <x v="0"/>
    <x v="26"/>
    <x v="0"/>
    <x v="0"/>
    <x v="50"/>
    <x v="14"/>
    <x v="0"/>
    <x v="0"/>
    <x v="35"/>
    <x v="0"/>
    <x v="0"/>
    <x v="47"/>
    <m/>
    <m/>
    <m/>
  </r>
  <r>
    <n v="0"/>
    <s v="160.380"/>
    <s v="Attribution au fonds de réserve (9280.6)"/>
    <s v="PCO"/>
    <s v="16"/>
    <n v="160"/>
    <s v="380"/>
    <m/>
    <n v="0"/>
    <n v="0"/>
    <n v="0"/>
    <n v="0"/>
    <n v="0"/>
    <n v="0"/>
    <n v="0"/>
    <s v="-"/>
    <s v="-"/>
    <s v="-"/>
    <m/>
    <m/>
    <m/>
    <m/>
    <m/>
    <m/>
    <m/>
    <x v="0"/>
    <x v="5"/>
    <x v="0"/>
    <x v="0"/>
    <x v="22"/>
    <x v="0"/>
    <x v="0"/>
    <x v="51"/>
    <x v="1"/>
    <x v="0"/>
    <x v="0"/>
    <x v="9"/>
    <x v="2"/>
    <x v="0"/>
    <x v="10"/>
    <m/>
    <m/>
    <m/>
  </r>
  <r>
    <n v="0"/>
    <s v="160.381"/>
    <s v="Attribution au fonds affecté tourisme (9280.6)"/>
    <s v="PCO"/>
    <s v="16"/>
    <n v="160"/>
    <s v="381"/>
    <m/>
    <n v="6283.65"/>
    <n v="0"/>
    <n v="6283.65"/>
    <n v="4000"/>
    <n v="0"/>
    <n v="4000"/>
    <n v="0"/>
    <s v="84000"/>
    <s v="3511"/>
    <s v="00"/>
    <s v="Attributions aux fonds affectés"/>
    <n v="6283.65"/>
    <n v="3750"/>
    <m/>
    <m/>
    <m/>
    <m/>
    <x v="0"/>
    <x v="5"/>
    <x v="0"/>
    <x v="0"/>
    <x v="27"/>
    <x v="0"/>
    <x v="0"/>
    <x v="52"/>
    <x v="14"/>
    <x v="0"/>
    <x v="0"/>
    <x v="36"/>
    <x v="0"/>
    <x v="0"/>
    <x v="48"/>
    <m/>
    <m/>
    <m/>
  </r>
  <r>
    <n v="0"/>
    <s v="160.406"/>
    <s v="Taxes communales de séjour"/>
    <s v="PCO"/>
    <s v="16"/>
    <n v="160"/>
    <s v="406"/>
    <m/>
    <n v="0"/>
    <n v="-24341.5"/>
    <n v="-24341.5"/>
    <n v="0"/>
    <n v="-29000"/>
    <n v="-29000"/>
    <n v="-3844.04"/>
    <s v="84000"/>
    <s v="4240"/>
    <s v="00"/>
    <s v="Taxes d'utilisation et prestations de service"/>
    <n v="-24341.5"/>
    <n v="-25000"/>
    <m/>
    <s v="achat 3101"/>
    <m/>
    <m/>
    <x v="0"/>
    <x v="5"/>
    <x v="0"/>
    <x v="0"/>
    <x v="28"/>
    <x v="0"/>
    <x v="0"/>
    <x v="53"/>
    <x v="14"/>
    <x v="0"/>
    <x v="0"/>
    <x v="37"/>
    <x v="0"/>
    <x v="0"/>
    <x v="49"/>
    <m/>
    <m/>
    <m/>
  </r>
  <r>
    <n v="0"/>
    <s v="160.481"/>
    <s v="Prél. Au fonds affecté tourisme (9280.6)"/>
    <s v="PCO"/>
    <s v="16"/>
    <n v="160"/>
    <s v="481"/>
    <m/>
    <n v="0"/>
    <n v="0"/>
    <n v="0"/>
    <n v="0"/>
    <n v="0"/>
    <n v="0"/>
    <n v="0"/>
    <s v="-"/>
    <s v="-"/>
    <s v="-"/>
    <m/>
    <m/>
    <m/>
    <m/>
    <m/>
    <m/>
    <m/>
    <x v="0"/>
    <x v="5"/>
    <x v="0"/>
    <x v="0"/>
    <x v="29"/>
    <x v="0"/>
    <x v="0"/>
    <x v="54"/>
    <x v="1"/>
    <x v="0"/>
    <x v="0"/>
    <x v="9"/>
    <x v="2"/>
    <x v="0"/>
    <x v="10"/>
    <m/>
    <m/>
    <m/>
  </r>
  <r>
    <n v="0"/>
    <s v="170.301"/>
    <s v="Salaires sports"/>
    <s v="CMA"/>
    <s v="17"/>
    <n v="170"/>
    <s v="301"/>
    <m/>
    <n v="20850.099999999999"/>
    <n v="0"/>
    <n v="20850.099999999999"/>
    <n v="19000"/>
    <n v="0"/>
    <n v="19000"/>
    <n v="12169.5"/>
    <s v="61500"/>
    <s v="3010"/>
    <s v="00"/>
    <s v="Salaire du personnel administratif"/>
    <n v="20850.099999999999"/>
    <n v="0"/>
    <s v="Regroupement en 61500 et 73000"/>
    <m/>
    <m/>
    <m/>
    <x v="0"/>
    <x v="6"/>
    <x v="0"/>
    <x v="0"/>
    <x v="1"/>
    <x v="0"/>
    <x v="0"/>
    <x v="55"/>
    <x v="15"/>
    <x v="0"/>
    <x v="0"/>
    <x v="15"/>
    <x v="0"/>
    <x v="0"/>
    <x v="19"/>
    <m/>
    <m/>
    <m/>
  </r>
  <r>
    <n v="0"/>
    <s v="170.303"/>
    <s v="Cotisations AVS/AC/AF"/>
    <s v="CMA"/>
    <s v="17"/>
    <n v="170"/>
    <s v="303"/>
    <m/>
    <n v="1981.1"/>
    <n v="0"/>
    <n v="1981.1"/>
    <n v="1800"/>
    <n v="0"/>
    <n v="1800"/>
    <n v="1162.3"/>
    <s v="61500"/>
    <s v="3050"/>
    <s v="00"/>
    <s v="Cotisations AVS, AI, APG, AC, frais adm"/>
    <n v="1981.1"/>
    <m/>
    <m/>
    <m/>
    <m/>
    <m/>
    <x v="0"/>
    <x v="6"/>
    <x v="0"/>
    <x v="0"/>
    <x v="2"/>
    <x v="0"/>
    <x v="0"/>
    <x v="10"/>
    <x v="15"/>
    <x v="0"/>
    <x v="0"/>
    <x v="1"/>
    <x v="0"/>
    <x v="0"/>
    <x v="2"/>
    <m/>
    <m/>
    <m/>
  </r>
  <r>
    <m/>
    <s v="170.303"/>
    <s v="Cotisations AVS/AC/AF"/>
    <s v="CMA"/>
    <s v="17"/>
    <n v="170"/>
    <s v="303"/>
    <m/>
    <m/>
    <m/>
    <m/>
    <m/>
    <m/>
    <n v="0"/>
    <m/>
    <s v="61500"/>
    <s v="3054"/>
    <s v="00"/>
    <s v="Cotisations CAF"/>
    <m/>
    <m/>
    <m/>
    <m/>
    <m/>
    <m/>
    <x v="0"/>
    <x v="6"/>
    <x v="0"/>
    <x v="0"/>
    <x v="2"/>
    <x v="0"/>
    <x v="0"/>
    <x v="10"/>
    <x v="15"/>
    <x v="0"/>
    <x v="0"/>
    <x v="2"/>
    <x v="0"/>
    <x v="0"/>
    <x v="3"/>
    <m/>
    <m/>
    <m/>
  </r>
  <r>
    <n v="0"/>
    <s v="170.304"/>
    <s v="Caisse de prévoyance LPP"/>
    <s v="CMA"/>
    <s v="17"/>
    <n v="170"/>
    <s v="304"/>
    <m/>
    <n v="1037.25"/>
    <n v="0"/>
    <n v="1037.25"/>
    <n v="1000"/>
    <n v="0"/>
    <n v="1000"/>
    <n v="1147.7"/>
    <s v="61500"/>
    <s v="3052"/>
    <s v="00"/>
    <s v="Cotisations patronales aux caisses de pensions"/>
    <n v="1037.25"/>
    <m/>
    <m/>
    <m/>
    <m/>
    <m/>
    <x v="0"/>
    <x v="6"/>
    <x v="0"/>
    <x v="0"/>
    <x v="8"/>
    <x v="0"/>
    <x v="0"/>
    <x v="56"/>
    <x v="15"/>
    <x v="0"/>
    <x v="0"/>
    <x v="4"/>
    <x v="0"/>
    <x v="0"/>
    <x v="5"/>
    <m/>
    <m/>
    <m/>
  </r>
  <r>
    <n v="0"/>
    <s v="170.305"/>
    <s v="Ass. Accidents/maladie"/>
    <s v="CMA"/>
    <s v="17"/>
    <n v="170"/>
    <s v="305"/>
    <m/>
    <n v="555.25"/>
    <n v="0"/>
    <n v="555.25"/>
    <n v="500"/>
    <n v="0"/>
    <n v="500"/>
    <n v="330.6"/>
    <s v="61500"/>
    <s v="3053"/>
    <s v="00"/>
    <s v="Cotisations patronales aux assurance-accidents"/>
    <n v="555.25"/>
    <m/>
    <m/>
    <m/>
    <m/>
    <m/>
    <x v="0"/>
    <x v="6"/>
    <x v="0"/>
    <x v="0"/>
    <x v="3"/>
    <x v="0"/>
    <x v="0"/>
    <x v="57"/>
    <x v="15"/>
    <x v="0"/>
    <x v="0"/>
    <x v="3"/>
    <x v="0"/>
    <x v="0"/>
    <x v="4"/>
    <m/>
    <m/>
    <m/>
  </r>
  <r>
    <n v="0"/>
    <s v="170.306"/>
    <s v="Frais du personnel"/>
    <s v="CMA"/>
    <s v="17"/>
    <n v="170"/>
    <s v="306"/>
    <m/>
    <n v="0"/>
    <n v="0"/>
    <n v="0"/>
    <n v="0"/>
    <n v="0"/>
    <n v="0"/>
    <n v="5"/>
    <s v="61500"/>
    <s v="3099"/>
    <s v="00"/>
    <s v="Autres charges du personnel"/>
    <n v="0"/>
    <m/>
    <m/>
    <s v="que pour le foot"/>
    <m/>
    <m/>
    <x v="0"/>
    <x v="6"/>
    <x v="0"/>
    <x v="0"/>
    <x v="5"/>
    <x v="0"/>
    <x v="0"/>
    <x v="58"/>
    <x v="15"/>
    <x v="0"/>
    <x v="0"/>
    <x v="5"/>
    <x v="0"/>
    <x v="0"/>
    <x v="6"/>
    <m/>
    <m/>
    <m/>
  </r>
  <r>
    <m/>
    <s v="170.306"/>
    <s v="Frais du personnel"/>
    <s v="CMA"/>
    <s v="17"/>
    <n v="170"/>
    <s v="306"/>
    <m/>
    <m/>
    <m/>
    <m/>
    <m/>
    <m/>
    <n v="0"/>
    <m/>
    <s v="61500"/>
    <s v="3049"/>
    <s v="00"/>
    <s v="Autres indemnités forfaitaires - natels"/>
    <m/>
    <m/>
    <m/>
    <m/>
    <m/>
    <m/>
    <x v="0"/>
    <x v="6"/>
    <x v="0"/>
    <x v="0"/>
    <x v="5"/>
    <x v="0"/>
    <x v="0"/>
    <x v="58"/>
    <x v="15"/>
    <x v="0"/>
    <x v="0"/>
    <x v="6"/>
    <x v="0"/>
    <x v="0"/>
    <x v="7"/>
    <m/>
    <m/>
    <m/>
  </r>
  <r>
    <m/>
    <s v="170.306"/>
    <s v="Frais du personnel"/>
    <s v="CMA"/>
    <s v="17"/>
    <n v="170"/>
    <s v="306"/>
    <m/>
    <m/>
    <m/>
    <m/>
    <m/>
    <m/>
    <n v="0"/>
    <m/>
    <s v="61500"/>
    <s v="3170"/>
    <s v="00"/>
    <s v="Remboursements de frais effectifs km"/>
    <m/>
    <m/>
    <m/>
    <m/>
    <m/>
    <m/>
    <x v="0"/>
    <x v="6"/>
    <x v="0"/>
    <x v="0"/>
    <x v="5"/>
    <x v="0"/>
    <x v="0"/>
    <x v="58"/>
    <x v="15"/>
    <x v="0"/>
    <x v="0"/>
    <x v="7"/>
    <x v="0"/>
    <x v="0"/>
    <x v="8"/>
    <m/>
    <m/>
    <m/>
  </r>
  <r>
    <m/>
    <s v="170.306"/>
    <s v="Frais du personnel"/>
    <s v="CMA"/>
    <s v="17"/>
    <n v="170"/>
    <s v="306"/>
    <m/>
    <m/>
    <m/>
    <m/>
    <m/>
    <m/>
    <n v="0"/>
    <m/>
    <s v="61500"/>
    <s v="3090"/>
    <s v="00"/>
    <s v="Formation et perfectionnement"/>
    <m/>
    <m/>
    <m/>
    <m/>
    <m/>
    <m/>
    <x v="0"/>
    <x v="6"/>
    <x v="0"/>
    <x v="0"/>
    <x v="5"/>
    <x v="0"/>
    <x v="0"/>
    <x v="58"/>
    <x v="15"/>
    <x v="0"/>
    <x v="0"/>
    <x v="11"/>
    <x v="0"/>
    <x v="0"/>
    <x v="14"/>
    <m/>
    <m/>
    <m/>
  </r>
  <r>
    <m/>
    <s v="170.306"/>
    <s v="Frais du personnel"/>
    <s v="CMA"/>
    <s v="17"/>
    <n v="170"/>
    <s v="306"/>
    <m/>
    <m/>
    <m/>
    <m/>
    <m/>
    <m/>
    <n v="0"/>
    <m/>
    <s v="61500"/>
    <s v="3091"/>
    <s v="00"/>
    <s v="Recrutement"/>
    <m/>
    <m/>
    <m/>
    <m/>
    <m/>
    <m/>
    <x v="0"/>
    <x v="6"/>
    <x v="0"/>
    <x v="0"/>
    <x v="5"/>
    <x v="0"/>
    <x v="0"/>
    <x v="58"/>
    <x v="15"/>
    <x v="0"/>
    <x v="0"/>
    <x v="17"/>
    <x v="0"/>
    <x v="0"/>
    <x v="21"/>
    <m/>
    <m/>
    <m/>
  </r>
  <r>
    <m/>
    <s v="170.306"/>
    <s v="Frais du personnel"/>
    <s v="CMA"/>
    <s v="17"/>
    <n v="170"/>
    <s v="306"/>
    <m/>
    <m/>
    <m/>
    <m/>
    <m/>
    <m/>
    <n v="0"/>
    <m/>
    <s v="61500"/>
    <s v="3099"/>
    <s v="00"/>
    <s v="Autres charges du personnel"/>
    <m/>
    <m/>
    <m/>
    <m/>
    <m/>
    <m/>
    <x v="0"/>
    <x v="6"/>
    <x v="0"/>
    <x v="0"/>
    <x v="5"/>
    <x v="0"/>
    <x v="0"/>
    <x v="58"/>
    <x v="15"/>
    <x v="0"/>
    <x v="0"/>
    <x v="5"/>
    <x v="0"/>
    <x v="0"/>
    <x v="6"/>
    <m/>
    <m/>
    <m/>
  </r>
  <r>
    <m/>
    <s v="170.306"/>
    <s v="Frais du personnel"/>
    <s v="CMA"/>
    <s v="17"/>
    <n v="170"/>
    <s v="306"/>
    <m/>
    <m/>
    <m/>
    <m/>
    <m/>
    <m/>
    <n v="0"/>
    <m/>
    <s v="61500"/>
    <s v="3010"/>
    <s v="99"/>
    <s v="Remboursements IJM"/>
    <m/>
    <m/>
    <m/>
    <m/>
    <m/>
    <m/>
    <x v="0"/>
    <x v="6"/>
    <x v="0"/>
    <x v="0"/>
    <x v="5"/>
    <x v="0"/>
    <x v="0"/>
    <x v="58"/>
    <x v="15"/>
    <x v="0"/>
    <x v="0"/>
    <x v="15"/>
    <x v="4"/>
    <x v="0"/>
    <x v="20"/>
    <m/>
    <m/>
    <m/>
  </r>
  <r>
    <n v="0"/>
    <s v="170.311"/>
    <s v="ACHATS machines et matériel"/>
    <s v="CMA"/>
    <s v="17"/>
    <n v="170"/>
    <s v="311"/>
    <m/>
    <n v="927.4"/>
    <n v="0"/>
    <n v="927.4"/>
    <n v="1000"/>
    <n v="0"/>
    <n v="1000"/>
    <n v="0"/>
    <s v="34101"/>
    <s v="3111"/>
    <s v="00"/>
    <s v="Machines, appareils et véhicules"/>
    <n v="927.4"/>
    <m/>
    <m/>
    <s v="pas portés à l'actif"/>
    <m/>
    <m/>
    <x v="0"/>
    <x v="6"/>
    <x v="0"/>
    <x v="0"/>
    <x v="6"/>
    <x v="0"/>
    <x v="0"/>
    <x v="59"/>
    <x v="16"/>
    <x v="0"/>
    <x v="0"/>
    <x v="38"/>
    <x v="0"/>
    <x v="0"/>
    <x v="50"/>
    <m/>
    <m/>
    <m/>
  </r>
  <r>
    <n v="0"/>
    <s v="170.312"/>
    <s v="Eclairage terrains de sport"/>
    <s v="CMA"/>
    <s v="17"/>
    <n v="170"/>
    <s v="312"/>
    <m/>
    <n v="1189.25"/>
    <n v="0"/>
    <n v="1189.25"/>
    <n v="2000"/>
    <n v="0"/>
    <n v="2000"/>
    <n v="393.15"/>
    <s v="34101"/>
    <s v="3120"/>
    <s v="01"/>
    <s v="Frais d'électricité - Terrain de sport"/>
    <n v="1189.25"/>
    <m/>
    <m/>
    <m/>
    <m/>
    <m/>
    <x v="0"/>
    <x v="6"/>
    <x v="0"/>
    <x v="0"/>
    <x v="30"/>
    <x v="0"/>
    <x v="0"/>
    <x v="60"/>
    <x v="16"/>
    <x v="0"/>
    <x v="0"/>
    <x v="39"/>
    <x v="1"/>
    <x v="0"/>
    <x v="51"/>
    <m/>
    <m/>
    <m/>
  </r>
  <r>
    <m/>
    <s v="170.312"/>
    <s v="Eclairage terrains de sport"/>
    <s v="CMA"/>
    <s v="17"/>
    <n v="170"/>
    <s v="312"/>
    <m/>
    <n v="0"/>
    <n v="0"/>
    <n v="0"/>
    <n v="0"/>
    <n v="0"/>
    <n v="0"/>
    <m/>
    <s v="34102"/>
    <s v="3120"/>
    <s v="01"/>
    <s v="Frais d'électricité - Pétanque"/>
    <m/>
    <m/>
    <m/>
    <m/>
    <m/>
    <m/>
    <x v="0"/>
    <x v="6"/>
    <x v="0"/>
    <x v="0"/>
    <x v="30"/>
    <x v="0"/>
    <x v="0"/>
    <x v="60"/>
    <x v="17"/>
    <x v="0"/>
    <x v="0"/>
    <x v="39"/>
    <x v="1"/>
    <x v="0"/>
    <x v="52"/>
    <m/>
    <m/>
    <m/>
  </r>
  <r>
    <n v="0"/>
    <s v="170.314"/>
    <s v="Entretien des terrains de sport"/>
    <s v="CMA"/>
    <s v="17"/>
    <n v="170"/>
    <s v="314"/>
    <m/>
    <n v="63864.2"/>
    <n v="0"/>
    <n v="63864.2"/>
    <n v="50000"/>
    <n v="0"/>
    <n v="50000"/>
    <n v="25154.65"/>
    <s v="34101"/>
    <s v="3140"/>
    <s v="00"/>
    <s v="Entretien des terrains"/>
    <n v="63864.2"/>
    <m/>
    <m/>
    <s v="Entretien 2 terrains foot, Gazon  et fertilisation  / divers travaux arrosage, transp benne (plus CHN)"/>
    <m/>
    <m/>
    <x v="0"/>
    <x v="6"/>
    <x v="0"/>
    <x v="0"/>
    <x v="25"/>
    <x v="0"/>
    <x v="0"/>
    <x v="61"/>
    <x v="16"/>
    <x v="0"/>
    <x v="0"/>
    <x v="40"/>
    <x v="0"/>
    <x v="0"/>
    <x v="53"/>
    <m/>
    <m/>
    <m/>
  </r>
  <r>
    <n v="0"/>
    <s v="170.331"/>
    <s v="Amortissement obligatoire Patr.Administratif sports"/>
    <s v="CMA"/>
    <s v="17"/>
    <n v="170"/>
    <s v="331"/>
    <m/>
    <n v="36152.78"/>
    <n v="0"/>
    <n v="36152.78"/>
    <n v="0"/>
    <n v="0"/>
    <n v="0"/>
    <n v="0"/>
    <s v="34101"/>
    <s v="3300"/>
    <s v="09"/>
    <s v="Amortissements planifiés des immobilisations corporelles PA"/>
    <n v="36152.78"/>
    <n v="0"/>
    <m/>
    <s v="Tout amorti en 2025"/>
    <m/>
    <m/>
    <x v="0"/>
    <x v="6"/>
    <x v="0"/>
    <x v="0"/>
    <x v="31"/>
    <x v="0"/>
    <x v="0"/>
    <x v="62"/>
    <x v="16"/>
    <x v="0"/>
    <x v="0"/>
    <x v="41"/>
    <x v="6"/>
    <x v="0"/>
    <x v="54"/>
    <m/>
    <m/>
    <m/>
  </r>
  <r>
    <n v="0"/>
    <s v="170.332"/>
    <s v="Amortissement suppl Patr.Administratif sports"/>
    <s v="CMA"/>
    <s v="17"/>
    <n v="170"/>
    <s v="332"/>
    <m/>
    <n v="129663.9"/>
    <n v="0"/>
    <n v="129663.9"/>
    <n v="0"/>
    <n v="0"/>
    <n v="0"/>
    <n v="0"/>
    <s v="34101"/>
    <s v="3301"/>
    <s v="09"/>
    <s v="Amortissements non planifiés des immobilisations corporelles PA"/>
    <n v="129663.9"/>
    <n v="0"/>
    <m/>
    <s v="terrain foot"/>
    <m/>
    <m/>
    <x v="0"/>
    <x v="6"/>
    <x v="0"/>
    <x v="0"/>
    <x v="20"/>
    <x v="0"/>
    <x v="0"/>
    <x v="63"/>
    <x v="16"/>
    <x v="0"/>
    <x v="0"/>
    <x v="42"/>
    <x v="6"/>
    <x v="0"/>
    <x v="32"/>
    <m/>
    <m/>
    <m/>
  </r>
  <r>
    <n v="0"/>
    <s v="170.365"/>
    <s v="Aide sports"/>
    <s v="CMA"/>
    <s v="17"/>
    <n v="170"/>
    <s v="365"/>
    <m/>
    <n v="5180"/>
    <n v="0"/>
    <n v="5180"/>
    <n v="10000"/>
    <n v="0"/>
    <n v="10000"/>
    <n v="3200"/>
    <s v="34100"/>
    <s v="3636"/>
    <s v="00"/>
    <s v="Subventions à des tiers - dons"/>
    <n v="5180"/>
    <m/>
    <m/>
    <m/>
    <m/>
    <m/>
    <x v="0"/>
    <x v="6"/>
    <x v="0"/>
    <x v="0"/>
    <x v="21"/>
    <x v="0"/>
    <x v="0"/>
    <x v="64"/>
    <x v="18"/>
    <x v="0"/>
    <x v="0"/>
    <x v="23"/>
    <x v="0"/>
    <x v="0"/>
    <x v="33"/>
    <m/>
    <m/>
    <m/>
  </r>
  <r>
    <m/>
    <s v="170.365"/>
    <s v="Aide sports"/>
    <s v="CMA"/>
    <s v="17"/>
    <n v="170"/>
    <s v="365"/>
    <m/>
    <m/>
    <m/>
    <m/>
    <m/>
    <m/>
    <m/>
    <m/>
    <s v="34100"/>
    <s v="3632"/>
    <s v="00"/>
    <s v="Subventions accordées aux communes et associations  - dons"/>
    <m/>
    <m/>
    <m/>
    <m/>
    <m/>
    <m/>
    <x v="0"/>
    <x v="6"/>
    <x v="0"/>
    <x v="0"/>
    <x v="21"/>
    <x v="0"/>
    <x v="0"/>
    <x v="64"/>
    <x v="18"/>
    <x v="0"/>
    <x v="0"/>
    <x v="24"/>
    <x v="0"/>
    <x v="0"/>
    <x v="34"/>
    <m/>
    <m/>
    <m/>
  </r>
  <r>
    <m/>
    <s v="170.365"/>
    <s v="Aide sports"/>
    <s v="CMA"/>
    <s v="17"/>
    <n v="170"/>
    <s v="365"/>
    <m/>
    <m/>
    <m/>
    <m/>
    <m/>
    <m/>
    <m/>
    <m/>
    <s v="34100"/>
    <s v="3637"/>
    <s v="00"/>
    <s v="Subventions accordées aux ménages privés - dons"/>
    <m/>
    <m/>
    <m/>
    <m/>
    <m/>
    <m/>
    <x v="0"/>
    <x v="6"/>
    <x v="0"/>
    <x v="0"/>
    <x v="21"/>
    <x v="0"/>
    <x v="0"/>
    <x v="64"/>
    <x v="18"/>
    <x v="0"/>
    <x v="0"/>
    <x v="25"/>
    <x v="0"/>
    <x v="0"/>
    <x v="35"/>
    <m/>
    <m/>
    <m/>
  </r>
  <r>
    <n v="0"/>
    <s v="170.390.1"/>
    <s v="Imputations internes sport"/>
    <s v="CMA"/>
    <s v="17"/>
    <n v="170"/>
    <s v="390"/>
    <n v="1"/>
    <n v="0"/>
    <n v="0"/>
    <n v="0"/>
    <n v="0"/>
    <n v="0"/>
    <n v="0"/>
    <n v="0"/>
    <s v="-"/>
    <s v="-"/>
    <s v="-"/>
    <m/>
    <n v="0"/>
    <m/>
    <m/>
    <m/>
    <m/>
    <m/>
    <x v="0"/>
    <x v="6"/>
    <x v="0"/>
    <x v="0"/>
    <x v="7"/>
    <x v="1"/>
    <x v="0"/>
    <x v="65"/>
    <x v="1"/>
    <x v="0"/>
    <x v="0"/>
    <x v="9"/>
    <x v="2"/>
    <x v="0"/>
    <x v="10"/>
    <m/>
    <m/>
    <m/>
  </r>
  <r>
    <n v="0"/>
    <s v="170.436"/>
    <s v="Participation de tiers sports"/>
    <s v="CMA"/>
    <s v="17"/>
    <n v="170"/>
    <s v="436"/>
    <m/>
    <n v="0"/>
    <n v="-4500"/>
    <n v="-4500"/>
    <n v="0"/>
    <n v="-4500"/>
    <n v="-4500"/>
    <n v="0"/>
    <s v="34101"/>
    <s v="4612"/>
    <s v="00"/>
    <s v="Dédommagement des communes et associations intercommunales - AISGE - loyers et entretien terrains de sport"/>
    <n v="-4500"/>
    <n v="-4500"/>
    <m/>
    <s v="Aisge, Location bâtiments scolaires (on loue le terrain de sport à l'AISGE)"/>
    <m/>
    <m/>
    <x v="0"/>
    <x v="6"/>
    <x v="0"/>
    <x v="0"/>
    <x v="13"/>
    <x v="0"/>
    <x v="0"/>
    <x v="66"/>
    <x v="16"/>
    <x v="0"/>
    <x v="0"/>
    <x v="35"/>
    <x v="0"/>
    <x v="0"/>
    <x v="55"/>
    <m/>
    <m/>
    <m/>
  </r>
  <r>
    <n v="0"/>
    <s v="170.451"/>
    <s v="Subventions cantonales"/>
    <s v="CMA"/>
    <s v="17"/>
    <n v="170"/>
    <s v="451"/>
    <m/>
    <n v="0"/>
    <n v="0"/>
    <n v="0"/>
    <n v="0"/>
    <n v="0"/>
    <n v="0"/>
    <n v="-36000"/>
    <s v="16100"/>
    <s v="4631"/>
    <s v="00"/>
    <s v="Subvention des cantons et concordats"/>
    <m/>
    <m/>
    <m/>
    <s v="DGE assinissemnet but de tir"/>
    <m/>
    <m/>
    <x v="0"/>
    <x v="6"/>
    <x v="0"/>
    <x v="0"/>
    <x v="32"/>
    <x v="0"/>
    <x v="0"/>
    <x v="67"/>
    <x v="19"/>
    <x v="0"/>
    <x v="0"/>
    <x v="43"/>
    <x v="0"/>
    <x v="0"/>
    <x v="56"/>
    <m/>
    <m/>
    <m/>
  </r>
  <r>
    <n v="0"/>
    <s v="170.480"/>
    <s v="Prél. Au fonds renouvellement (9282.1)"/>
    <s v="CMA"/>
    <s v="17"/>
    <n v="170"/>
    <s v="480"/>
    <m/>
    <n v="0"/>
    <n v="-129663.9"/>
    <n v="-129663.9"/>
    <n v="0"/>
    <n v="0"/>
    <n v="0"/>
    <n v="0"/>
    <s v="99000"/>
    <s v="4894"/>
    <s v="00"/>
    <s v="Prélèvement sur la réserve de politique budgétaire"/>
    <n v="-129663.9"/>
    <n v="0"/>
    <m/>
    <m/>
    <m/>
    <m/>
    <x v="0"/>
    <x v="6"/>
    <x v="0"/>
    <x v="0"/>
    <x v="14"/>
    <x v="0"/>
    <x v="0"/>
    <x v="68"/>
    <x v="13"/>
    <x v="0"/>
    <x v="0"/>
    <x v="29"/>
    <x v="0"/>
    <x v="0"/>
    <x v="39"/>
    <m/>
    <m/>
    <m/>
  </r>
  <r>
    <n v="0"/>
    <s v="180.318"/>
    <s v="Prestations de service ABT CFF"/>
    <s v="PCO"/>
    <s v="18"/>
    <n v="180"/>
    <s v="318"/>
    <m/>
    <n v="9784.0499999999993"/>
    <n v="0"/>
    <n v="9784.0499999999993"/>
    <n v="12000"/>
    <n v="0"/>
    <n v="12000"/>
    <n v="4569.5"/>
    <s v="62990"/>
    <n v="3130"/>
    <s v="00"/>
    <s v="Prestations de services tiers - cartes CFF"/>
    <n v="9784.0499999999993"/>
    <n v="10000"/>
    <m/>
    <s v="Selon décomptes mensuels CFF"/>
    <m/>
    <m/>
    <x v="0"/>
    <x v="7"/>
    <x v="0"/>
    <x v="0"/>
    <x v="10"/>
    <x v="0"/>
    <x v="0"/>
    <x v="69"/>
    <x v="20"/>
    <x v="0"/>
    <x v="0"/>
    <x v="16"/>
    <x v="0"/>
    <x v="0"/>
    <x v="57"/>
    <m/>
    <m/>
    <m/>
  </r>
  <r>
    <n v="0"/>
    <s v="180.351"/>
    <s v="Participation transports régionaux"/>
    <s v="PCO"/>
    <s v="18"/>
    <n v="180"/>
    <s v="351"/>
    <m/>
    <n v="182582.1"/>
    <n v="0"/>
    <n v="182582.1"/>
    <n v="210000"/>
    <n v="0"/>
    <n v="210000"/>
    <n v="0"/>
    <s v="62990"/>
    <s v="3621"/>
    <s v="00"/>
    <s v="Péréquations financière  - ligne de trafic régional - DGMR"/>
    <n v="182582.1"/>
    <n v="222000"/>
    <m/>
    <s v="Doc de la direction générale de la DGMR"/>
    <m/>
    <m/>
    <x v="0"/>
    <x v="7"/>
    <x v="0"/>
    <x v="0"/>
    <x v="33"/>
    <x v="0"/>
    <x v="0"/>
    <x v="70"/>
    <x v="20"/>
    <x v="0"/>
    <x v="0"/>
    <x v="44"/>
    <x v="0"/>
    <x v="0"/>
    <x v="58"/>
    <m/>
    <m/>
    <m/>
  </r>
  <r>
    <n v="0"/>
    <s v="180.351.1"/>
    <s v="Participation Nyon-St-Cergue"/>
    <s v="PCO"/>
    <s v="18"/>
    <n v="180"/>
    <s v="351"/>
    <n v="1"/>
    <n v="0"/>
    <n v="0"/>
    <n v="0"/>
    <n v="0"/>
    <n v="0"/>
    <n v="0"/>
    <n v="0"/>
    <s v="-"/>
    <s v="-"/>
    <s v="-"/>
    <m/>
    <m/>
    <m/>
    <m/>
    <m/>
    <m/>
    <m/>
    <x v="0"/>
    <x v="7"/>
    <x v="0"/>
    <x v="0"/>
    <x v="33"/>
    <x v="1"/>
    <x v="0"/>
    <x v="71"/>
    <x v="1"/>
    <x v="0"/>
    <x v="0"/>
    <x v="9"/>
    <x v="2"/>
    <x v="0"/>
    <x v="10"/>
    <m/>
    <m/>
    <m/>
  </r>
  <r>
    <n v="0"/>
    <s v="180.436"/>
    <s v="Participations de tiers cartes CFF"/>
    <s v="PCO"/>
    <s v="18"/>
    <n v="180"/>
    <s v="436"/>
    <m/>
    <n v="0"/>
    <n v="-10829"/>
    <n v="-10829"/>
    <n v="0"/>
    <n v="-13000"/>
    <n v="-13000"/>
    <n v="-5729"/>
    <s v="62990"/>
    <s v="4250"/>
    <s v="00"/>
    <s v="Recettes sur ventes - cartes CFF"/>
    <n v="-10829"/>
    <n v="-11000"/>
    <m/>
    <s v="Vente cartes CFF (par la caisse)"/>
    <m/>
    <m/>
    <x v="0"/>
    <x v="7"/>
    <x v="0"/>
    <x v="0"/>
    <x v="13"/>
    <x v="0"/>
    <x v="0"/>
    <x v="72"/>
    <x v="20"/>
    <x v="0"/>
    <x v="0"/>
    <x v="27"/>
    <x v="0"/>
    <x v="0"/>
    <x v="59"/>
    <m/>
    <m/>
    <m/>
  </r>
  <r>
    <n v="0"/>
    <s v="190.310"/>
    <s v="Fournitures de bureau (informatique)"/>
    <s v="GFA"/>
    <s v="19"/>
    <n v="190"/>
    <s v="310"/>
    <m/>
    <n v="0"/>
    <n v="0"/>
    <n v="0"/>
    <n v="0"/>
    <n v="0"/>
    <n v="0"/>
    <n v="0"/>
    <s v="-"/>
    <s v="-"/>
    <s v="-"/>
    <m/>
    <m/>
    <m/>
    <m/>
    <m/>
    <m/>
    <m/>
    <x v="0"/>
    <x v="8"/>
    <x v="0"/>
    <x v="0"/>
    <x v="18"/>
    <x v="0"/>
    <x v="0"/>
    <x v="73"/>
    <x v="1"/>
    <x v="0"/>
    <x v="0"/>
    <x v="9"/>
    <x v="2"/>
    <x v="0"/>
    <x v="10"/>
    <m/>
    <m/>
    <m/>
  </r>
  <r>
    <n v="0"/>
    <s v="190.311"/>
    <s v="Achats matériel et logiciels"/>
    <s v="GFA"/>
    <s v="19"/>
    <n v="190"/>
    <s v="311"/>
    <m/>
    <n v="15644.9"/>
    <n v="0"/>
    <n v="15644.9"/>
    <n v="10000"/>
    <n v="0"/>
    <n v="10000"/>
    <n v="5703.55"/>
    <s v="02201"/>
    <s v="3158"/>
    <s v="00"/>
    <s v="Entretien des immobilisations incorporelles - informatique"/>
    <n v="15644.9"/>
    <m/>
    <s v="Répartition à faire"/>
    <s v="Artionet assurance 2.5K, AZ informatique ébergeent eseance 0.8 (achat ordi 3113 / 3153 entretien maintenance informatique ordi à réparer)"/>
    <m/>
    <m/>
    <x v="0"/>
    <x v="8"/>
    <x v="0"/>
    <x v="0"/>
    <x v="6"/>
    <x v="0"/>
    <x v="0"/>
    <x v="74"/>
    <x v="5"/>
    <x v="0"/>
    <x v="0"/>
    <x v="45"/>
    <x v="0"/>
    <x v="0"/>
    <x v="60"/>
    <m/>
    <m/>
    <m/>
  </r>
  <r>
    <m/>
    <s v="190.311"/>
    <s v="Achats matériel et logiciels"/>
    <s v="GFA"/>
    <s v="19"/>
    <n v="190"/>
    <s v="311"/>
    <m/>
    <m/>
    <m/>
    <m/>
    <m/>
    <m/>
    <n v="0"/>
    <m/>
    <s v="02200"/>
    <s v="3158"/>
    <s v="00"/>
    <s v="Entretien des immobilisations incorporelles - informatique"/>
    <m/>
    <m/>
    <m/>
    <s v="Artionet, AZ Informatique, OFISA, Ninjy One, Azur, M. 365, Tipee, Rapido"/>
    <m/>
    <m/>
    <x v="0"/>
    <x v="8"/>
    <x v="0"/>
    <x v="0"/>
    <x v="6"/>
    <x v="0"/>
    <x v="0"/>
    <x v="74"/>
    <x v="4"/>
    <x v="0"/>
    <x v="0"/>
    <x v="45"/>
    <x v="0"/>
    <x v="0"/>
    <x v="60"/>
    <m/>
    <m/>
    <m/>
  </r>
  <r>
    <m/>
    <s v="190.311"/>
    <s v="Achats matériel et logiciels"/>
    <s v="GFA"/>
    <s v="19"/>
    <n v="190"/>
    <s v="311"/>
    <m/>
    <m/>
    <m/>
    <m/>
    <m/>
    <m/>
    <m/>
    <m/>
    <s v="02100"/>
    <s v="3158"/>
    <s v="00"/>
    <s v="Entretien des immobilisations incorporelles - informatique"/>
    <m/>
    <m/>
    <m/>
    <m/>
    <m/>
    <m/>
    <x v="0"/>
    <x v="8"/>
    <x v="0"/>
    <x v="0"/>
    <x v="6"/>
    <x v="0"/>
    <x v="0"/>
    <x v="74"/>
    <x v="6"/>
    <x v="0"/>
    <x v="0"/>
    <x v="45"/>
    <x v="0"/>
    <x v="0"/>
    <x v="60"/>
    <m/>
    <m/>
    <m/>
  </r>
  <r>
    <m/>
    <s v="190.311"/>
    <s v="Achats matériel et logiciels"/>
    <s v="GFA"/>
    <s v="19"/>
    <n v="190"/>
    <s v="311"/>
    <m/>
    <m/>
    <m/>
    <m/>
    <m/>
    <m/>
    <m/>
    <m/>
    <s v="02210"/>
    <s v="3158"/>
    <s v="00"/>
    <s v="Entretien des immobilisations incorporelles - informatique"/>
    <m/>
    <m/>
    <m/>
    <m/>
    <m/>
    <m/>
    <x v="0"/>
    <x v="8"/>
    <x v="0"/>
    <x v="0"/>
    <x v="6"/>
    <x v="0"/>
    <x v="0"/>
    <x v="74"/>
    <x v="7"/>
    <x v="0"/>
    <x v="0"/>
    <x v="45"/>
    <x v="0"/>
    <x v="0"/>
    <x v="60"/>
    <m/>
    <m/>
    <m/>
  </r>
  <r>
    <m/>
    <s v="190.311"/>
    <s v="Achats matériel et logiciels"/>
    <s v="GFA"/>
    <s v="19"/>
    <n v="190"/>
    <s v="311"/>
    <m/>
    <m/>
    <m/>
    <m/>
    <m/>
    <m/>
    <m/>
    <m/>
    <s v="79010"/>
    <s v="3158"/>
    <s v="00"/>
    <s v="Entretien des immobilisations incorporelles - informatique"/>
    <m/>
    <m/>
    <m/>
    <m/>
    <m/>
    <m/>
    <x v="0"/>
    <x v="8"/>
    <x v="0"/>
    <x v="0"/>
    <x v="6"/>
    <x v="0"/>
    <x v="0"/>
    <x v="74"/>
    <x v="8"/>
    <x v="0"/>
    <x v="0"/>
    <x v="45"/>
    <x v="0"/>
    <x v="0"/>
    <x v="60"/>
    <m/>
    <m/>
    <m/>
  </r>
  <r>
    <n v="0"/>
    <s v="190.315"/>
    <s v="Entretien du matériel informatique"/>
    <s v="GFA"/>
    <s v="19"/>
    <n v="190"/>
    <s v="315"/>
    <m/>
    <n v="0"/>
    <n v="0"/>
    <n v="0"/>
    <n v="0"/>
    <n v="0"/>
    <n v="0"/>
    <n v="0"/>
    <s v="-"/>
    <s v="-"/>
    <s v="-"/>
    <s v="-"/>
    <m/>
    <m/>
    <m/>
    <m/>
    <m/>
    <m/>
    <x v="0"/>
    <x v="8"/>
    <x v="0"/>
    <x v="0"/>
    <x v="24"/>
    <x v="0"/>
    <x v="0"/>
    <x v="75"/>
    <x v="1"/>
    <x v="0"/>
    <x v="0"/>
    <x v="9"/>
    <x v="2"/>
    <x v="0"/>
    <x v="17"/>
    <m/>
    <m/>
    <m/>
  </r>
  <r>
    <n v="0"/>
    <s v="190.318"/>
    <s v="Maintenance et honoraires"/>
    <s v="GFA"/>
    <s v="19"/>
    <n v="190"/>
    <s v="318"/>
    <m/>
    <n v="53175.8"/>
    <n v="0"/>
    <n v="53175.8"/>
    <n v="40000"/>
    <n v="0"/>
    <n v="40000"/>
    <n v="35669.199999999997"/>
    <s v="02201"/>
    <s v="3158"/>
    <s v="00"/>
    <s v="Entretien des immobilisations incorporelles - informatique"/>
    <n v="53175.8"/>
    <m/>
    <s v="Répartition à faire"/>
    <s v="OFISA maint 13K, Ninja One 1.56, Azur 6.2, Microsoft 365 4.4, Tipee abo 1.4, Rapido 3.7K, HKD maint annuelle 4.8, "/>
    <m/>
    <m/>
    <x v="0"/>
    <x v="8"/>
    <x v="0"/>
    <x v="0"/>
    <x v="10"/>
    <x v="0"/>
    <x v="0"/>
    <x v="76"/>
    <x v="5"/>
    <x v="0"/>
    <x v="0"/>
    <x v="45"/>
    <x v="0"/>
    <x v="0"/>
    <x v="60"/>
    <m/>
    <m/>
    <m/>
  </r>
  <r>
    <m/>
    <s v="190.318"/>
    <s v="Maintenance et honoraires"/>
    <s v="GFA"/>
    <s v="19"/>
    <n v="190"/>
    <s v="318"/>
    <m/>
    <m/>
    <m/>
    <m/>
    <m/>
    <m/>
    <m/>
    <m/>
    <s v="02200"/>
    <s v="3158"/>
    <s v="00"/>
    <s v="Entretien des immobilisations incorporelles - informatique"/>
    <m/>
    <m/>
    <m/>
    <m/>
    <m/>
    <m/>
    <x v="0"/>
    <x v="8"/>
    <x v="0"/>
    <x v="0"/>
    <x v="10"/>
    <x v="0"/>
    <x v="0"/>
    <x v="76"/>
    <x v="4"/>
    <x v="0"/>
    <x v="0"/>
    <x v="45"/>
    <x v="0"/>
    <x v="0"/>
    <x v="60"/>
    <m/>
    <m/>
    <m/>
  </r>
  <r>
    <m/>
    <s v="190.318"/>
    <s v="Maintenance et honoraires"/>
    <s v="GFA"/>
    <s v="19"/>
    <n v="190"/>
    <s v="318"/>
    <m/>
    <m/>
    <m/>
    <m/>
    <m/>
    <m/>
    <m/>
    <m/>
    <s v="02100"/>
    <s v="3158"/>
    <s v="00"/>
    <s v="Entretien des immobilisations incorporelles - informatique"/>
    <m/>
    <m/>
    <m/>
    <m/>
    <m/>
    <m/>
    <x v="0"/>
    <x v="8"/>
    <x v="0"/>
    <x v="0"/>
    <x v="10"/>
    <x v="0"/>
    <x v="0"/>
    <x v="76"/>
    <x v="6"/>
    <x v="0"/>
    <x v="0"/>
    <x v="45"/>
    <x v="0"/>
    <x v="0"/>
    <x v="60"/>
    <m/>
    <m/>
    <m/>
  </r>
  <r>
    <m/>
    <s v="190.318"/>
    <s v="Maintenance et honoraires"/>
    <s v="GFA"/>
    <s v="19"/>
    <n v="190"/>
    <s v="318"/>
    <m/>
    <m/>
    <m/>
    <m/>
    <m/>
    <m/>
    <m/>
    <m/>
    <s v="02210"/>
    <s v="3158"/>
    <s v="00"/>
    <s v="Entretien des immobilisations incorporelles - informatique"/>
    <m/>
    <m/>
    <m/>
    <m/>
    <m/>
    <m/>
    <x v="0"/>
    <x v="8"/>
    <x v="0"/>
    <x v="0"/>
    <x v="10"/>
    <x v="0"/>
    <x v="0"/>
    <x v="76"/>
    <x v="7"/>
    <x v="0"/>
    <x v="0"/>
    <x v="45"/>
    <x v="0"/>
    <x v="0"/>
    <x v="60"/>
    <m/>
    <m/>
    <m/>
  </r>
  <r>
    <m/>
    <s v="190.318"/>
    <s v="Maintenance et honoraires"/>
    <s v="GFA"/>
    <s v="19"/>
    <n v="190"/>
    <s v="318"/>
    <m/>
    <m/>
    <m/>
    <m/>
    <m/>
    <m/>
    <m/>
    <m/>
    <s v="79010"/>
    <s v="3158"/>
    <s v="00"/>
    <s v="Entretien des immobilisations incorporelles - informatique"/>
    <m/>
    <m/>
    <m/>
    <m/>
    <m/>
    <m/>
    <x v="0"/>
    <x v="8"/>
    <x v="0"/>
    <x v="0"/>
    <x v="10"/>
    <x v="0"/>
    <x v="0"/>
    <x v="76"/>
    <x v="8"/>
    <x v="0"/>
    <x v="0"/>
    <x v="45"/>
    <x v="0"/>
    <x v="0"/>
    <x v="60"/>
    <m/>
    <m/>
    <m/>
  </r>
  <r>
    <n v="0"/>
    <s v="190.380"/>
    <s v="Attribution au fonds renouvellement (9281.5)"/>
    <s v="GFA"/>
    <s v="19"/>
    <n v="190"/>
    <s v="380"/>
    <m/>
    <n v="0"/>
    <n v="0"/>
    <n v="0"/>
    <n v="0"/>
    <n v="0"/>
    <n v="0"/>
    <n v="0"/>
    <s v="-"/>
    <s v="-"/>
    <s v="-"/>
    <s v="-"/>
    <m/>
    <m/>
    <m/>
    <m/>
    <m/>
    <m/>
    <x v="0"/>
    <x v="8"/>
    <x v="0"/>
    <x v="0"/>
    <x v="22"/>
    <x v="0"/>
    <x v="0"/>
    <x v="77"/>
    <x v="1"/>
    <x v="0"/>
    <x v="0"/>
    <x v="9"/>
    <x v="2"/>
    <x v="0"/>
    <x v="17"/>
    <m/>
    <m/>
    <m/>
  </r>
  <r>
    <n v="0"/>
    <s v="190.436"/>
    <s v="Participation de tiers"/>
    <s v="GFA"/>
    <s v="19"/>
    <n v="190"/>
    <s v="436"/>
    <m/>
    <n v="0"/>
    <n v="0"/>
    <n v="0"/>
    <n v="0"/>
    <n v="0"/>
    <n v="0"/>
    <n v="0"/>
    <s v="-"/>
    <s v="-"/>
    <s v="-"/>
    <s v="-"/>
    <m/>
    <m/>
    <m/>
    <m/>
    <m/>
    <m/>
    <x v="0"/>
    <x v="8"/>
    <x v="0"/>
    <x v="0"/>
    <x v="13"/>
    <x v="0"/>
    <x v="0"/>
    <x v="78"/>
    <x v="1"/>
    <x v="0"/>
    <x v="0"/>
    <x v="9"/>
    <x v="2"/>
    <x v="0"/>
    <x v="17"/>
    <m/>
    <m/>
    <m/>
  </r>
  <r>
    <n v="0"/>
    <s v="190.451"/>
    <s v="Subventions cantonales"/>
    <s v="GFA"/>
    <s v="19"/>
    <n v="190"/>
    <s v="451"/>
    <m/>
    <n v="0"/>
    <n v="0"/>
    <n v="0"/>
    <n v="0"/>
    <n v="0"/>
    <n v="0"/>
    <n v="0"/>
    <s v="-"/>
    <s v="-"/>
    <s v="-"/>
    <s v="-"/>
    <m/>
    <m/>
    <m/>
    <m/>
    <m/>
    <m/>
    <x v="0"/>
    <x v="8"/>
    <x v="0"/>
    <x v="0"/>
    <x v="32"/>
    <x v="0"/>
    <x v="0"/>
    <x v="67"/>
    <x v="1"/>
    <x v="0"/>
    <x v="0"/>
    <x v="9"/>
    <x v="2"/>
    <x v="0"/>
    <x v="17"/>
    <m/>
    <m/>
    <m/>
  </r>
  <r>
    <n v="0"/>
    <s v="190.480"/>
    <s v="Prélèvement au fonds de renouvellement (9281.5)"/>
    <s v="GFA"/>
    <s v="19"/>
    <n v="190"/>
    <s v="480"/>
    <m/>
    <n v="0"/>
    <n v="0"/>
    <n v="0"/>
    <n v="0"/>
    <n v="0"/>
    <n v="0"/>
    <n v="0"/>
    <s v="-"/>
    <s v="-"/>
    <s v="-"/>
    <s v="-"/>
    <m/>
    <m/>
    <m/>
    <m/>
    <m/>
    <m/>
    <x v="0"/>
    <x v="8"/>
    <x v="0"/>
    <x v="0"/>
    <x v="14"/>
    <x v="0"/>
    <x v="0"/>
    <x v="79"/>
    <x v="1"/>
    <x v="0"/>
    <x v="0"/>
    <x v="9"/>
    <x v="2"/>
    <x v="0"/>
    <x v="17"/>
    <m/>
    <m/>
    <m/>
  </r>
  <r>
    <n v="0"/>
    <s v="200.301"/>
    <s v="Salaires bourse"/>
    <s v="GFA"/>
    <s v="20"/>
    <n v="200"/>
    <s v="301"/>
    <m/>
    <n v="113557.8"/>
    <n v="0"/>
    <n v="113557.8"/>
    <n v="120000"/>
    <n v="0"/>
    <n v="120000"/>
    <n v="64384.800000000003"/>
    <s v="02100"/>
    <s v="3910"/>
    <s v="00"/>
    <s v="Imputations internes - Bourse"/>
    <n v="113557.8"/>
    <m/>
    <m/>
    <s v="Imputation interne FL, FR"/>
    <m/>
    <m/>
    <x v="0"/>
    <x v="9"/>
    <x v="0"/>
    <x v="0"/>
    <x v="1"/>
    <x v="0"/>
    <x v="0"/>
    <x v="80"/>
    <x v="6"/>
    <x v="0"/>
    <x v="0"/>
    <x v="19"/>
    <x v="0"/>
    <x v="0"/>
    <x v="23"/>
    <m/>
    <m/>
    <m/>
  </r>
  <r>
    <n v="0"/>
    <s v="200.303"/>
    <s v="Cotisations AVS/AC/AF"/>
    <s v="GFA"/>
    <s v="20"/>
    <n v="200"/>
    <s v="303"/>
    <m/>
    <n v="7430.6"/>
    <n v="0"/>
    <n v="7430.6"/>
    <n v="10800"/>
    <n v="0"/>
    <n v="10800"/>
    <n v="6012.55"/>
    <s v="02100"/>
    <s v="3910"/>
    <s v="00"/>
    <s v="Imputations internes - Bourse"/>
    <n v="7430.6"/>
    <m/>
    <m/>
    <m/>
    <m/>
    <m/>
    <x v="0"/>
    <x v="9"/>
    <x v="0"/>
    <x v="0"/>
    <x v="2"/>
    <x v="0"/>
    <x v="0"/>
    <x v="10"/>
    <x v="6"/>
    <x v="0"/>
    <x v="0"/>
    <x v="19"/>
    <x v="0"/>
    <x v="0"/>
    <x v="23"/>
    <m/>
    <m/>
    <m/>
  </r>
  <r>
    <n v="0"/>
    <s v="200.304"/>
    <s v="Caisse de prévoyance LPP"/>
    <s v="GFA"/>
    <s v="20"/>
    <n v="200"/>
    <s v="304"/>
    <m/>
    <n v="7209.5"/>
    <n v="0"/>
    <n v="7209.5"/>
    <n v="12600"/>
    <n v="0"/>
    <n v="12600"/>
    <n v="6769.05"/>
    <s v="02100"/>
    <s v="3910"/>
    <s v="00"/>
    <s v="Imputations internes - Bourse"/>
    <n v="7209.5"/>
    <m/>
    <m/>
    <m/>
    <m/>
    <m/>
    <x v="0"/>
    <x v="9"/>
    <x v="0"/>
    <x v="0"/>
    <x v="8"/>
    <x v="0"/>
    <x v="0"/>
    <x v="56"/>
    <x v="6"/>
    <x v="0"/>
    <x v="0"/>
    <x v="19"/>
    <x v="0"/>
    <x v="0"/>
    <x v="23"/>
    <m/>
    <m/>
    <m/>
  </r>
  <r>
    <n v="0"/>
    <s v="200.305"/>
    <s v="Ass. Accidents/maladie"/>
    <s v="GFA"/>
    <s v="20"/>
    <n v="200"/>
    <s v="305"/>
    <m/>
    <n v="1790.5"/>
    <n v="0"/>
    <n v="1790.5"/>
    <n v="2000"/>
    <n v="0"/>
    <n v="2000"/>
    <n v="1257.75"/>
    <s v="02100"/>
    <s v="3910"/>
    <s v="00"/>
    <s v="Imputations internes - Bourse"/>
    <n v="1790.5"/>
    <m/>
    <m/>
    <m/>
    <m/>
    <m/>
    <x v="0"/>
    <x v="9"/>
    <x v="0"/>
    <x v="0"/>
    <x v="3"/>
    <x v="0"/>
    <x v="0"/>
    <x v="57"/>
    <x v="6"/>
    <x v="0"/>
    <x v="0"/>
    <x v="19"/>
    <x v="0"/>
    <x v="0"/>
    <x v="23"/>
    <m/>
    <m/>
    <m/>
  </r>
  <r>
    <n v="0"/>
    <s v="200.306"/>
    <s v="Frais du personnel"/>
    <s v="GFA"/>
    <s v="20"/>
    <n v="200"/>
    <s v="306"/>
    <m/>
    <n v="139.6"/>
    <n v="0"/>
    <n v="139.6"/>
    <n v="500"/>
    <n v="0"/>
    <n v="500"/>
    <n v="93"/>
    <s v="02100"/>
    <s v="3910"/>
    <s v="00"/>
    <s v="Imputations internes - Bourse"/>
    <n v="139.6"/>
    <m/>
    <m/>
    <m/>
    <m/>
    <m/>
    <x v="0"/>
    <x v="9"/>
    <x v="0"/>
    <x v="0"/>
    <x v="5"/>
    <x v="0"/>
    <x v="0"/>
    <x v="58"/>
    <x v="6"/>
    <x v="0"/>
    <x v="0"/>
    <x v="19"/>
    <x v="0"/>
    <x v="0"/>
    <x v="23"/>
    <m/>
    <m/>
    <m/>
  </r>
  <r>
    <m/>
    <s v="200.306"/>
    <s v="Frais du personnel"/>
    <s v="GFA"/>
    <s v="20"/>
    <n v="200"/>
    <s v="306"/>
    <m/>
    <m/>
    <m/>
    <n v="0"/>
    <m/>
    <m/>
    <n v="0"/>
    <m/>
    <s v="02100"/>
    <s v="3099"/>
    <s v="00"/>
    <s v="Autres charges du personnel"/>
    <m/>
    <m/>
    <m/>
    <m/>
    <m/>
    <m/>
    <x v="0"/>
    <x v="9"/>
    <x v="0"/>
    <x v="0"/>
    <x v="5"/>
    <x v="0"/>
    <x v="0"/>
    <x v="58"/>
    <x v="6"/>
    <x v="0"/>
    <x v="0"/>
    <x v="5"/>
    <x v="0"/>
    <x v="0"/>
    <x v="6"/>
    <m/>
    <m/>
    <m/>
  </r>
  <r>
    <n v="0"/>
    <s v="200.309"/>
    <s v="Cours et cadeaux"/>
    <s v="GFA"/>
    <s v="20"/>
    <n v="200"/>
    <s v="309"/>
    <m/>
    <n v="1452"/>
    <n v="0"/>
    <n v="1452"/>
    <n v="2000"/>
    <n v="0"/>
    <n v="2000"/>
    <n v="0"/>
    <s v="02100"/>
    <s v="3090"/>
    <s v="00"/>
    <s v="Formation et perfectionnement"/>
    <n v="1452"/>
    <m/>
    <m/>
    <s v="UCV formation"/>
    <m/>
    <m/>
    <x v="0"/>
    <x v="9"/>
    <x v="0"/>
    <x v="0"/>
    <x v="16"/>
    <x v="0"/>
    <x v="0"/>
    <x v="28"/>
    <x v="6"/>
    <x v="0"/>
    <x v="0"/>
    <x v="11"/>
    <x v="0"/>
    <x v="0"/>
    <x v="14"/>
    <m/>
    <m/>
    <m/>
  </r>
  <r>
    <m/>
    <s v="200.309"/>
    <s v="Cours et cadeaux"/>
    <s v="GFA"/>
    <s v="20"/>
    <n v="200"/>
    <s v="309"/>
    <m/>
    <m/>
    <m/>
    <n v="0"/>
    <m/>
    <m/>
    <n v="0"/>
    <m/>
    <s v="02100"/>
    <s v="3091"/>
    <s v="00"/>
    <s v="Recrutement"/>
    <m/>
    <m/>
    <m/>
    <m/>
    <m/>
    <m/>
    <x v="0"/>
    <x v="9"/>
    <x v="0"/>
    <x v="0"/>
    <x v="16"/>
    <x v="0"/>
    <x v="0"/>
    <x v="28"/>
    <x v="6"/>
    <x v="0"/>
    <x v="0"/>
    <x v="17"/>
    <x v="0"/>
    <x v="0"/>
    <x v="21"/>
    <m/>
    <m/>
    <m/>
  </r>
  <r>
    <n v="0"/>
    <s v="200.318"/>
    <s v="Frais de contentieux (Poursuites)"/>
    <s v="GFA"/>
    <s v="20"/>
    <n v="200"/>
    <s v="318"/>
    <m/>
    <n v="0"/>
    <n v="0"/>
    <n v="0"/>
    <n v="1000"/>
    <n v="0"/>
    <n v="1000"/>
    <n v="-1030.02"/>
    <s v="02100"/>
    <s v="4260"/>
    <s v="00"/>
    <s v="Autres frais de poursuite - ORR"/>
    <m/>
    <m/>
    <m/>
    <m/>
    <m/>
    <m/>
    <x v="0"/>
    <x v="9"/>
    <x v="0"/>
    <x v="0"/>
    <x v="10"/>
    <x v="0"/>
    <x v="0"/>
    <x v="81"/>
    <x v="6"/>
    <x v="0"/>
    <x v="0"/>
    <x v="46"/>
    <x v="0"/>
    <x v="0"/>
    <x v="61"/>
    <m/>
    <m/>
    <m/>
  </r>
  <r>
    <n v="0"/>
    <s v="200.390.1"/>
    <s v="Imputations internes salaires bourse"/>
    <s v="GFA"/>
    <s v="20"/>
    <n v="200"/>
    <s v="390"/>
    <n v="1"/>
    <n v="0"/>
    <n v="0"/>
    <n v="0"/>
    <n v="0"/>
    <n v="0"/>
    <n v="0"/>
    <n v="0"/>
    <s v="-"/>
    <s v="-"/>
    <s v="-"/>
    <m/>
    <m/>
    <m/>
    <m/>
    <m/>
    <m/>
    <m/>
    <x v="0"/>
    <x v="9"/>
    <x v="0"/>
    <x v="0"/>
    <x v="7"/>
    <x v="1"/>
    <x v="0"/>
    <x v="82"/>
    <x v="1"/>
    <x v="0"/>
    <x v="0"/>
    <x v="9"/>
    <x v="2"/>
    <x v="0"/>
    <x v="10"/>
    <m/>
    <m/>
    <m/>
  </r>
  <r>
    <n v="0"/>
    <s v="200.436"/>
    <s v="Remboursement de tiers DAP Frais de rappel"/>
    <s v="GFA"/>
    <s v="20"/>
    <n v="200"/>
    <s v="436"/>
    <m/>
    <n v="0"/>
    <n v="-10186.14"/>
    <n v="-10186.14"/>
    <n v="0"/>
    <n v="-5000"/>
    <n v="-5000"/>
    <n v="0"/>
    <s v="02100"/>
    <s v="4612"/>
    <s v="00"/>
    <s v="Dédommagement des communes et associations intercommunales - Chéserex"/>
    <n v="-10186.14"/>
    <m/>
    <m/>
    <s v="Commandements de payer Chéserex 4.7K et ORR"/>
    <m/>
    <m/>
    <x v="0"/>
    <x v="9"/>
    <x v="0"/>
    <x v="0"/>
    <x v="13"/>
    <x v="0"/>
    <x v="0"/>
    <x v="83"/>
    <x v="6"/>
    <x v="0"/>
    <x v="0"/>
    <x v="35"/>
    <x v="0"/>
    <x v="0"/>
    <x v="62"/>
    <m/>
    <m/>
    <m/>
  </r>
  <r>
    <m/>
    <s v="200.436"/>
    <s v="Remboursement de tiers DAP Frais de rappel"/>
    <s v="GFA"/>
    <s v="20"/>
    <n v="200"/>
    <s v="436"/>
    <m/>
    <m/>
    <m/>
    <n v="0"/>
    <m/>
    <m/>
    <n v="0"/>
    <m/>
    <s v="02100"/>
    <s v="4260"/>
    <s v="00"/>
    <s v="Autres frais de poursuite - ORR"/>
    <m/>
    <m/>
    <m/>
    <s v="retour de frais de poursuite ORR (débours)"/>
    <m/>
    <m/>
    <x v="0"/>
    <x v="9"/>
    <x v="0"/>
    <x v="0"/>
    <x v="13"/>
    <x v="0"/>
    <x v="0"/>
    <x v="83"/>
    <x v="6"/>
    <x v="0"/>
    <x v="0"/>
    <x v="46"/>
    <x v="0"/>
    <x v="0"/>
    <x v="61"/>
    <m/>
    <m/>
    <m/>
  </r>
  <r>
    <n v="0"/>
    <s v="210.318"/>
    <s v="Frais de perception"/>
    <s v="GFA"/>
    <s v="21"/>
    <n v="210"/>
    <s v="318"/>
    <m/>
    <n v="123483"/>
    <n v="0"/>
    <n v="123483"/>
    <n v="100000"/>
    <n v="0"/>
    <n v="100000"/>
    <n v="0"/>
    <s v="02100"/>
    <s v="3137"/>
    <s v="00"/>
    <s v="Commission perception  - ACI"/>
    <n v="41701"/>
    <n v="41701"/>
    <m/>
    <s v="Commission perception IS- anciennement 3186"/>
    <m/>
    <m/>
    <x v="0"/>
    <x v="10"/>
    <x v="0"/>
    <x v="0"/>
    <x v="10"/>
    <x v="0"/>
    <x v="0"/>
    <x v="84"/>
    <x v="6"/>
    <x v="0"/>
    <x v="0"/>
    <x v="47"/>
    <x v="0"/>
    <x v="0"/>
    <x v="63"/>
    <m/>
    <m/>
    <m/>
  </r>
  <r>
    <m/>
    <m/>
    <m/>
    <m/>
    <m/>
    <m/>
    <m/>
    <m/>
    <m/>
    <m/>
    <n v="0"/>
    <m/>
    <m/>
    <n v="0"/>
    <m/>
    <s v="02100"/>
    <s v="4260"/>
    <s v="01"/>
    <s v="Remboursements frais de poursuite - ACI"/>
    <m/>
    <m/>
    <m/>
    <m/>
    <m/>
    <m/>
    <x v="0"/>
    <x v="1"/>
    <x v="0"/>
    <x v="0"/>
    <x v="4"/>
    <x v="0"/>
    <x v="0"/>
    <x v="4"/>
    <x v="6"/>
    <x v="0"/>
    <x v="0"/>
    <x v="46"/>
    <x v="1"/>
    <x v="0"/>
    <x v="64"/>
    <m/>
    <m/>
    <m/>
  </r>
  <r>
    <m/>
    <m/>
    <m/>
    <m/>
    <m/>
    <m/>
    <m/>
    <m/>
    <m/>
    <m/>
    <n v="0"/>
    <m/>
    <m/>
    <n v="0"/>
    <m/>
    <s v="A trouver"/>
    <s v="A trouver"/>
    <s v="A trouver"/>
    <s v="A trouver"/>
    <n v="54405"/>
    <n v="54405"/>
    <m/>
    <s v=" Emoluments"/>
    <m/>
    <m/>
    <x v="0"/>
    <x v="1"/>
    <x v="0"/>
    <x v="0"/>
    <x v="4"/>
    <x v="0"/>
    <x v="0"/>
    <x v="4"/>
    <x v="21"/>
    <x v="0"/>
    <x v="0"/>
    <x v="48"/>
    <x v="8"/>
    <x v="0"/>
    <x v="65"/>
    <m/>
    <m/>
    <m/>
  </r>
  <r>
    <m/>
    <m/>
    <m/>
    <m/>
    <m/>
    <m/>
    <m/>
    <m/>
    <m/>
    <m/>
    <n v="0"/>
    <m/>
    <m/>
    <n v="0"/>
    <m/>
    <s v="A trouver"/>
    <s v="A trouver"/>
    <s v="A trouver"/>
    <s v="A trouver"/>
    <n v="27376.47"/>
    <n v="27376.47"/>
    <m/>
    <s v="Imputation étrangers IIE +"/>
    <m/>
    <m/>
    <x v="0"/>
    <x v="1"/>
    <x v="0"/>
    <x v="0"/>
    <x v="4"/>
    <x v="0"/>
    <x v="0"/>
    <x v="4"/>
    <x v="21"/>
    <x v="0"/>
    <x v="0"/>
    <x v="48"/>
    <x v="8"/>
    <x v="0"/>
    <x v="65"/>
    <m/>
    <m/>
    <m/>
  </r>
  <r>
    <n v="0"/>
    <s v="210.318.1"/>
    <s v="Amende de soustract. d'impôt"/>
    <s v="GFA"/>
    <s v="21"/>
    <n v="210"/>
    <s v="318"/>
    <n v="1"/>
    <n v="0"/>
    <n v="0"/>
    <n v="0"/>
    <n v="0"/>
    <n v="0"/>
    <n v="0"/>
    <n v="0"/>
    <s v="-"/>
    <s v="-"/>
    <s v="-"/>
    <s v="-"/>
    <m/>
    <m/>
    <m/>
    <m/>
    <m/>
    <m/>
    <x v="0"/>
    <x v="10"/>
    <x v="0"/>
    <x v="0"/>
    <x v="10"/>
    <x v="1"/>
    <x v="0"/>
    <x v="85"/>
    <x v="1"/>
    <x v="0"/>
    <x v="0"/>
    <x v="9"/>
    <x v="2"/>
    <x v="0"/>
    <x v="17"/>
    <m/>
    <m/>
    <m/>
  </r>
  <r>
    <n v="0"/>
    <s v="210.319"/>
    <s v="Défalcations, remises, modifications de taxes antérieures"/>
    <s v="GFA"/>
    <s v="21"/>
    <n v="210"/>
    <s v="319"/>
    <m/>
    <n v="0"/>
    <n v="0"/>
    <n v="0"/>
    <n v="0"/>
    <n v="0"/>
    <n v="0"/>
    <n v="0"/>
    <s v="-"/>
    <s v="-"/>
    <s v="-"/>
    <s v="-"/>
    <m/>
    <m/>
    <m/>
    <m/>
    <m/>
    <m/>
    <x v="0"/>
    <x v="10"/>
    <x v="0"/>
    <x v="0"/>
    <x v="19"/>
    <x v="0"/>
    <x v="0"/>
    <x v="86"/>
    <x v="1"/>
    <x v="0"/>
    <x v="0"/>
    <x v="9"/>
    <x v="2"/>
    <x v="0"/>
    <x v="17"/>
    <m/>
    <m/>
    <m/>
  </r>
  <r>
    <n v="0"/>
    <s v="210.329"/>
    <s v="Int. Rémunératoires"/>
    <s v="GFA"/>
    <s v="21"/>
    <n v="210"/>
    <s v="329"/>
    <m/>
    <n v="7867.06"/>
    <n v="0"/>
    <n v="7867.06"/>
    <n v="2000"/>
    <n v="0"/>
    <n v="2000"/>
    <n v="0"/>
    <s v="96100"/>
    <s v="3400"/>
    <s v="00"/>
    <s v="Intérêts  bonifiés, rémun, compensatoires"/>
    <n v="7867.06"/>
    <n v="8000"/>
    <s v="3212/3221"/>
    <m/>
    <m/>
    <m/>
    <x v="0"/>
    <x v="10"/>
    <x v="0"/>
    <x v="0"/>
    <x v="34"/>
    <x v="0"/>
    <x v="0"/>
    <x v="87"/>
    <x v="22"/>
    <x v="0"/>
    <x v="0"/>
    <x v="49"/>
    <x v="0"/>
    <x v="0"/>
    <x v="66"/>
    <m/>
    <m/>
    <m/>
  </r>
  <r>
    <n v="0"/>
    <s v="210.330"/>
    <s v="Défalcations"/>
    <s v="GFA"/>
    <s v="21"/>
    <n v="210"/>
    <s v="330"/>
    <m/>
    <n v="15699.13"/>
    <n v="0"/>
    <n v="15699.13"/>
    <n v="0"/>
    <n v="0"/>
    <n v="0"/>
    <n v="0"/>
    <s v="91000"/>
    <s v="3181"/>
    <s v="00"/>
    <s v="Défalcation et abandon de solde"/>
    <n v="15699.13"/>
    <n v="15699.13"/>
    <n v="3301"/>
    <s v="concerne perte sur débiteurs non connus"/>
    <m/>
    <m/>
    <x v="0"/>
    <x v="10"/>
    <x v="0"/>
    <x v="0"/>
    <x v="11"/>
    <x v="0"/>
    <x v="0"/>
    <x v="88"/>
    <x v="23"/>
    <x v="0"/>
    <x v="0"/>
    <x v="50"/>
    <x v="0"/>
    <x v="0"/>
    <x v="67"/>
    <m/>
    <m/>
    <m/>
  </r>
  <r>
    <m/>
    <s v="210.330"/>
    <s v="Défalcations"/>
    <s v="GFA"/>
    <s v="21"/>
    <n v="210"/>
    <s v="330"/>
    <m/>
    <m/>
    <m/>
    <n v="0"/>
    <m/>
    <m/>
    <n v="0"/>
    <m/>
    <s v="96100"/>
    <s v="3499"/>
    <s v="00"/>
    <s v="Remises PP et IS"/>
    <m/>
    <m/>
    <m/>
    <m/>
    <m/>
    <m/>
    <x v="0"/>
    <x v="10"/>
    <x v="0"/>
    <x v="0"/>
    <x v="11"/>
    <x v="0"/>
    <x v="0"/>
    <x v="88"/>
    <x v="22"/>
    <x v="0"/>
    <x v="0"/>
    <x v="51"/>
    <x v="0"/>
    <x v="0"/>
    <x v="68"/>
    <m/>
    <m/>
    <m/>
  </r>
  <r>
    <n v="0"/>
    <s v="210.351"/>
    <s v="Participation cantonale (RIE III + RFFA)"/>
    <s v="GFA"/>
    <s v="21"/>
    <n v="210"/>
    <s v="351"/>
    <m/>
    <n v="43133.09"/>
    <n v="0"/>
    <n v="43133.09"/>
    <n v="0"/>
    <n v="0"/>
    <n v="0"/>
    <n v="0"/>
    <s v="95000"/>
    <s v="3601"/>
    <s v="03"/>
    <s v="RFFA"/>
    <n v="43133.09"/>
    <m/>
    <m/>
    <m/>
    <m/>
    <m/>
    <x v="0"/>
    <x v="10"/>
    <x v="0"/>
    <x v="0"/>
    <x v="33"/>
    <x v="0"/>
    <x v="0"/>
    <x v="89"/>
    <x v="24"/>
    <x v="0"/>
    <x v="0"/>
    <x v="52"/>
    <x v="9"/>
    <x v="0"/>
    <x v="69"/>
    <m/>
    <m/>
    <m/>
  </r>
  <r>
    <n v="0"/>
    <s v="210.380"/>
    <s v="Attrib. Au fonds Provision sur créances d'impôts (9282.10)"/>
    <s v="GFA"/>
    <s v="21"/>
    <n v="210"/>
    <s v="380"/>
    <m/>
    <n v="130648"/>
    <n v="0"/>
    <n v="130648"/>
    <n v="0"/>
    <n v="0"/>
    <n v="0"/>
    <n v="0"/>
    <s v="91000"/>
    <s v="3180"/>
    <s v="00"/>
    <s v="Réévaluation sur créances - impôts"/>
    <n v="130648"/>
    <m/>
    <m/>
    <s v="Debit et crédit"/>
    <m/>
    <m/>
    <x v="0"/>
    <x v="10"/>
    <x v="0"/>
    <x v="0"/>
    <x v="22"/>
    <x v="0"/>
    <x v="0"/>
    <x v="90"/>
    <x v="23"/>
    <x v="0"/>
    <x v="0"/>
    <x v="53"/>
    <x v="0"/>
    <x v="0"/>
    <x v="70"/>
    <m/>
    <m/>
    <m/>
  </r>
  <r>
    <n v="0"/>
    <s v="210.400"/>
    <s v="Impôt sur le revenu PP"/>
    <s v="GFA"/>
    <s v="21"/>
    <n v="210"/>
    <s v="400"/>
    <m/>
    <n v="0"/>
    <n v="-7719194.3499999996"/>
    <n v="-7719194.3499999996"/>
    <n v="0"/>
    <n v="-6850000"/>
    <n v="-6850000"/>
    <n v="0"/>
    <s v="91000"/>
    <s v="4000"/>
    <s v="00"/>
    <s v="Impôt sur le revenu - PP"/>
    <n v="-7719194.3499999996"/>
    <n v="-7700594.3499999996"/>
    <n v="4001"/>
    <m/>
    <m/>
    <m/>
    <x v="0"/>
    <x v="10"/>
    <x v="0"/>
    <x v="0"/>
    <x v="35"/>
    <x v="0"/>
    <x v="0"/>
    <x v="91"/>
    <x v="23"/>
    <x v="0"/>
    <x v="0"/>
    <x v="54"/>
    <x v="0"/>
    <x v="0"/>
    <x v="71"/>
    <m/>
    <m/>
    <m/>
  </r>
  <r>
    <m/>
    <s v="210.400"/>
    <s v="Impôt sur le revenu PP"/>
    <s v="GFA"/>
    <s v="21"/>
    <n v="210"/>
    <s v="400"/>
    <m/>
    <m/>
    <m/>
    <n v="0"/>
    <m/>
    <m/>
    <n v="0"/>
    <m/>
    <s v="02100"/>
    <s v="4000"/>
    <s v="00"/>
    <s v="Amende de soustraction d'impôts"/>
    <m/>
    <m/>
    <m/>
    <m/>
    <m/>
    <m/>
    <x v="0"/>
    <x v="10"/>
    <x v="0"/>
    <x v="0"/>
    <x v="35"/>
    <x v="0"/>
    <x v="0"/>
    <x v="91"/>
    <x v="6"/>
    <x v="0"/>
    <x v="0"/>
    <x v="54"/>
    <x v="0"/>
    <x v="0"/>
    <x v="72"/>
    <m/>
    <m/>
    <m/>
  </r>
  <r>
    <n v="0"/>
    <s v="210.400.1"/>
    <s v="Impôt sur la fortune PP"/>
    <s v="GFA"/>
    <s v="21"/>
    <n v="210"/>
    <s v="400"/>
    <n v="1"/>
    <n v="0"/>
    <n v="-2034240.9"/>
    <n v="-2034240.9"/>
    <n v="0"/>
    <n v="-2045000"/>
    <n v="-2045000"/>
    <n v="0"/>
    <s v="91000"/>
    <s v="4001"/>
    <s v="00"/>
    <s v="Impôt sur la fortune - PP"/>
    <n v="-2034240.9"/>
    <n v="-2034240.9"/>
    <n v="4002"/>
    <m/>
    <m/>
    <m/>
    <x v="0"/>
    <x v="10"/>
    <x v="0"/>
    <x v="0"/>
    <x v="35"/>
    <x v="1"/>
    <x v="0"/>
    <x v="92"/>
    <x v="23"/>
    <x v="0"/>
    <x v="0"/>
    <x v="55"/>
    <x v="0"/>
    <x v="0"/>
    <x v="73"/>
    <m/>
    <m/>
    <m/>
  </r>
  <r>
    <n v="0"/>
    <s v="210.400.2"/>
    <s v="Impôt à la source"/>
    <s v="GFA"/>
    <s v="21"/>
    <n v="210"/>
    <s v="400"/>
    <n v="2"/>
    <n v="0"/>
    <n v="-141728.22"/>
    <n v="-141728.22"/>
    <n v="0"/>
    <n v="-75000"/>
    <n v="-75000"/>
    <n v="0"/>
    <s v="91000"/>
    <s v="4002"/>
    <s v="00"/>
    <s v="Impôt à la source"/>
    <n v="-141728.22"/>
    <n v="-141728.22"/>
    <n v="4003"/>
    <m/>
    <m/>
    <m/>
    <x v="0"/>
    <x v="10"/>
    <x v="0"/>
    <x v="0"/>
    <x v="35"/>
    <x v="2"/>
    <x v="0"/>
    <x v="93"/>
    <x v="23"/>
    <x v="0"/>
    <x v="0"/>
    <x v="56"/>
    <x v="0"/>
    <x v="0"/>
    <x v="74"/>
    <m/>
    <m/>
    <m/>
  </r>
  <r>
    <n v="0"/>
    <s v="210.400.3"/>
    <s v="Impôt sur la dépense (anc. Spécial étranger)"/>
    <s v="GFA"/>
    <s v="21"/>
    <n v="210"/>
    <s v="400"/>
    <n v="3"/>
    <n v="0"/>
    <n v="-653939.36"/>
    <n v="-653939.36"/>
    <n v="0"/>
    <n v="-520000"/>
    <n v="-520000"/>
    <n v="0"/>
    <s v="91000"/>
    <s v="4009"/>
    <s v="00"/>
    <s v="Impôt spécial étrangers"/>
    <n v="-653939.36"/>
    <n v="-653939.36"/>
    <n v="4004"/>
    <m/>
    <m/>
    <m/>
    <x v="0"/>
    <x v="10"/>
    <x v="0"/>
    <x v="0"/>
    <x v="35"/>
    <x v="3"/>
    <x v="0"/>
    <x v="94"/>
    <x v="23"/>
    <x v="0"/>
    <x v="0"/>
    <x v="57"/>
    <x v="0"/>
    <x v="0"/>
    <x v="75"/>
    <m/>
    <m/>
    <m/>
  </r>
  <r>
    <n v="0"/>
    <s v="210.401.1"/>
    <s v="Impôt sur bénéfice net PM"/>
    <s v="GFA"/>
    <s v="21"/>
    <n v="210"/>
    <s v="401"/>
    <n v="1"/>
    <n v="0"/>
    <n v="-195703.75"/>
    <n v="-195703.75"/>
    <n v="0"/>
    <n v="110000"/>
    <n v="110000"/>
    <n v="0"/>
    <s v="91000"/>
    <s v="4010"/>
    <s v="00"/>
    <s v="Impôt bénéfice PM"/>
    <n v="-195703.75"/>
    <n v="-195703.75"/>
    <n v="4011"/>
    <m/>
    <m/>
    <m/>
    <x v="0"/>
    <x v="10"/>
    <x v="0"/>
    <x v="0"/>
    <x v="36"/>
    <x v="1"/>
    <x v="0"/>
    <x v="95"/>
    <x v="23"/>
    <x v="0"/>
    <x v="0"/>
    <x v="58"/>
    <x v="0"/>
    <x v="0"/>
    <x v="76"/>
    <m/>
    <m/>
    <m/>
  </r>
  <r>
    <n v="0"/>
    <s v="210.401.2"/>
    <s v="Impôt sur le capital"/>
    <s v="GFA"/>
    <s v="21"/>
    <n v="210"/>
    <s v="401"/>
    <n v="2"/>
    <n v="0"/>
    <n v="-50600.95"/>
    <n v="-50600.95"/>
    <n v="0"/>
    <n v="-27000"/>
    <n v="-27000"/>
    <n v="0"/>
    <s v="91000"/>
    <s v="4011"/>
    <s v="00"/>
    <s v="Impôt sur le capital - PM"/>
    <n v="-50600.95"/>
    <n v="-50600.95"/>
    <n v="4012"/>
    <m/>
    <m/>
    <m/>
    <x v="0"/>
    <x v="10"/>
    <x v="0"/>
    <x v="0"/>
    <x v="36"/>
    <x v="2"/>
    <x v="0"/>
    <x v="96"/>
    <x v="23"/>
    <x v="0"/>
    <x v="0"/>
    <x v="59"/>
    <x v="0"/>
    <x v="0"/>
    <x v="77"/>
    <m/>
    <m/>
    <m/>
  </r>
  <r>
    <n v="0"/>
    <s v="210.401.3"/>
    <s v="Impôt cpl. Sur les immeubles PM"/>
    <s v="GFA"/>
    <s v="21"/>
    <n v="210"/>
    <s v="401"/>
    <n v="3"/>
    <n v="0"/>
    <n v="-49101.2"/>
    <n v="-49101.2"/>
    <n v="0"/>
    <n v="-49000"/>
    <n v="-49000"/>
    <n v="0"/>
    <s v="91000"/>
    <s v="4019"/>
    <s v="00"/>
    <s v="Impôt sur les immeubles"/>
    <n v="-49101.2"/>
    <n v="-49101.2"/>
    <n v="4013"/>
    <m/>
    <m/>
    <m/>
    <x v="0"/>
    <x v="10"/>
    <x v="0"/>
    <x v="0"/>
    <x v="36"/>
    <x v="3"/>
    <x v="0"/>
    <x v="97"/>
    <x v="23"/>
    <x v="0"/>
    <x v="0"/>
    <x v="60"/>
    <x v="0"/>
    <x v="0"/>
    <x v="78"/>
    <m/>
    <m/>
    <m/>
  </r>
  <r>
    <n v="0"/>
    <s v="210.402"/>
    <s v="Impôt foncier"/>
    <s v="GFA"/>
    <s v="21"/>
    <n v="210"/>
    <s v="402"/>
    <m/>
    <n v="0"/>
    <n v="-764831.05"/>
    <n v="-764831.05"/>
    <n v="0"/>
    <n v="-752000"/>
    <n v="-752000"/>
    <n v="0"/>
    <s v="91000"/>
    <s v="4021"/>
    <s v="00"/>
    <s v="Impôt foncier"/>
    <n v="-764831.05"/>
    <n v="-764831.05"/>
    <n v="4198"/>
    <m/>
    <m/>
    <m/>
    <x v="0"/>
    <x v="10"/>
    <x v="0"/>
    <x v="0"/>
    <x v="37"/>
    <x v="0"/>
    <x v="0"/>
    <x v="98"/>
    <x v="23"/>
    <x v="0"/>
    <x v="0"/>
    <x v="61"/>
    <x v="0"/>
    <x v="0"/>
    <x v="79"/>
    <m/>
    <m/>
    <m/>
  </r>
  <r>
    <n v="0"/>
    <s v="210.404"/>
    <s v="Impôt sur le droit de mutation"/>
    <s v="GFA"/>
    <s v="21"/>
    <n v="210"/>
    <s v="404"/>
    <m/>
    <n v="0"/>
    <n v="-589081.94999999995"/>
    <n v="-589081.94999999995"/>
    <n v="0"/>
    <n v="-382000"/>
    <n v="-382000"/>
    <n v="0"/>
    <s v="91000"/>
    <s v="4023"/>
    <s v="00"/>
    <s v="Droits de mutation"/>
    <n v="-589081.94999999995"/>
    <n v="-489081.94999999995"/>
    <n v="4041"/>
    <m/>
    <m/>
    <m/>
    <x v="0"/>
    <x v="10"/>
    <x v="0"/>
    <x v="0"/>
    <x v="38"/>
    <x v="0"/>
    <x v="0"/>
    <x v="99"/>
    <x v="23"/>
    <x v="0"/>
    <x v="0"/>
    <x v="62"/>
    <x v="0"/>
    <x v="0"/>
    <x v="80"/>
    <m/>
    <m/>
    <m/>
  </r>
  <r>
    <n v="0"/>
    <s v="210.405"/>
    <s v="Impôt Successions - donations"/>
    <s v="GFA"/>
    <s v="21"/>
    <n v="210"/>
    <s v="405"/>
    <m/>
    <n v="0"/>
    <n v="-1028831.7"/>
    <n v="-1028831.7"/>
    <n v="0"/>
    <n v="-165000"/>
    <n v="-165000"/>
    <n v="0"/>
    <s v="91000"/>
    <s v="4024"/>
    <s v="00"/>
    <s v="Impôt successions et donations"/>
    <n v="-1028831.7"/>
    <n v="-228831.69999999995"/>
    <n v="4051"/>
    <m/>
    <m/>
    <m/>
    <x v="0"/>
    <x v="10"/>
    <x v="0"/>
    <x v="0"/>
    <x v="39"/>
    <x v="0"/>
    <x v="0"/>
    <x v="100"/>
    <x v="23"/>
    <x v="0"/>
    <x v="0"/>
    <x v="63"/>
    <x v="0"/>
    <x v="0"/>
    <x v="81"/>
    <m/>
    <m/>
    <m/>
  </r>
  <r>
    <n v="0"/>
    <s v="210.406"/>
    <s v="Impôt sur les chiens"/>
    <s v="GFA"/>
    <s v="21"/>
    <n v="210"/>
    <s v="406"/>
    <m/>
    <n v="0"/>
    <n v="-9300"/>
    <n v="-9300"/>
    <n v="0"/>
    <n v="-9500"/>
    <n v="-9500"/>
    <n v="0"/>
    <s v="91000"/>
    <s v="4033"/>
    <s v="00"/>
    <s v="Impôt sur les chiens"/>
    <n v="-9300"/>
    <m/>
    <m/>
    <m/>
    <m/>
    <m/>
    <x v="0"/>
    <x v="10"/>
    <x v="0"/>
    <x v="0"/>
    <x v="28"/>
    <x v="0"/>
    <x v="0"/>
    <x v="101"/>
    <x v="23"/>
    <x v="0"/>
    <x v="0"/>
    <x v="64"/>
    <x v="0"/>
    <x v="0"/>
    <x v="82"/>
    <m/>
    <m/>
    <m/>
  </r>
  <r>
    <n v="0"/>
    <s v="210.409"/>
    <s v="Impôt récupéré après défalcation"/>
    <s v="GFA"/>
    <s v="21"/>
    <n v="210"/>
    <s v="409"/>
    <m/>
    <n v="0"/>
    <n v="-8603.9699999999993"/>
    <n v="-8603.9699999999993"/>
    <n v="0"/>
    <n v="-6000"/>
    <n v="-6000"/>
    <n v="0"/>
    <s v="91000"/>
    <s v="4009"/>
    <s v="01"/>
    <s v="Impôt récupéré après défalcation"/>
    <n v="-8603.9699999999993"/>
    <n v="-8603.9699999999993"/>
    <n v="4091"/>
    <m/>
    <m/>
    <m/>
    <x v="0"/>
    <x v="10"/>
    <x v="0"/>
    <x v="0"/>
    <x v="40"/>
    <x v="0"/>
    <x v="0"/>
    <x v="102"/>
    <x v="23"/>
    <x v="0"/>
    <x v="0"/>
    <x v="57"/>
    <x v="1"/>
    <x v="0"/>
    <x v="83"/>
    <m/>
    <m/>
    <m/>
  </r>
  <r>
    <n v="0"/>
    <s v="210.410"/>
    <s v="Patentes diverses"/>
    <s v="GFA"/>
    <s v="21"/>
    <n v="210"/>
    <s v="410"/>
    <m/>
    <n v="0"/>
    <n v="-1050.5"/>
    <n v="-1050.5"/>
    <n v="0"/>
    <n v="-200"/>
    <n v="-200"/>
    <n v="-100"/>
    <s v="14000"/>
    <s v="4120"/>
    <s v="00"/>
    <s v="Patentes et concessions"/>
    <n v="-1050.5"/>
    <m/>
    <m/>
    <s v="SPEI - police du commercie - sinon émoluments administratifs 02200.4210"/>
    <m/>
    <m/>
    <x v="0"/>
    <x v="10"/>
    <x v="0"/>
    <x v="0"/>
    <x v="41"/>
    <x v="0"/>
    <x v="0"/>
    <x v="103"/>
    <x v="25"/>
    <x v="0"/>
    <x v="0"/>
    <x v="65"/>
    <x v="0"/>
    <x v="0"/>
    <x v="84"/>
    <m/>
    <m/>
    <m/>
  </r>
  <r>
    <n v="0"/>
    <s v="210.422"/>
    <s v="Majoration int. Moratoires"/>
    <s v="GFA"/>
    <s v="21"/>
    <n v="210"/>
    <s v="422"/>
    <m/>
    <n v="0"/>
    <n v="-76657.17"/>
    <n v="-76657.17"/>
    <n v="0"/>
    <n v="-60000"/>
    <n v="-60000"/>
    <n v="0"/>
    <s v="96100"/>
    <s v="4401"/>
    <s v="00"/>
    <s v="Intérêts de retard sur factures et sur acomptes"/>
    <n v="-76657.17"/>
    <m/>
    <m/>
    <m/>
    <m/>
    <m/>
    <x v="0"/>
    <x v="10"/>
    <x v="0"/>
    <x v="0"/>
    <x v="42"/>
    <x v="0"/>
    <x v="0"/>
    <x v="104"/>
    <x v="22"/>
    <x v="0"/>
    <x v="0"/>
    <x v="66"/>
    <x v="0"/>
    <x v="0"/>
    <x v="85"/>
    <m/>
    <m/>
    <m/>
  </r>
  <r>
    <n v="0"/>
    <s v="210.441"/>
    <s v="Impôt sur les gains immobiliers"/>
    <s v="GFA"/>
    <s v="21"/>
    <n v="210"/>
    <s v="441"/>
    <m/>
    <n v="0"/>
    <n v="-612939.30000000005"/>
    <n v="-612939.30000000005"/>
    <n v="0"/>
    <n v="-650000"/>
    <n v="-650000"/>
    <n v="0"/>
    <s v="95000"/>
    <s v="4601"/>
    <s v="01"/>
    <s v="Impôt sur les gains immobiliers"/>
    <n v="-612939.30000000005"/>
    <n v="-412939.30000000005"/>
    <n v="4031"/>
    <m/>
    <m/>
    <m/>
    <x v="0"/>
    <x v="10"/>
    <x v="0"/>
    <x v="0"/>
    <x v="43"/>
    <x v="0"/>
    <x v="0"/>
    <x v="105"/>
    <x v="24"/>
    <x v="0"/>
    <x v="0"/>
    <x v="67"/>
    <x v="1"/>
    <x v="0"/>
    <x v="86"/>
    <m/>
    <m/>
    <m/>
  </r>
  <r>
    <n v="0"/>
    <s v="210.441.1"/>
    <s v="Impôt frontaliers"/>
    <s v="GFA"/>
    <s v="21"/>
    <n v="210"/>
    <s v="441"/>
    <n v="1"/>
    <n v="0"/>
    <n v="-235685.55"/>
    <n v="-235685.55"/>
    <n v="0"/>
    <n v="-286000"/>
    <n v="-286000"/>
    <n v="0"/>
    <s v="95000"/>
    <s v="4601"/>
    <s v="02"/>
    <s v="Impôt sur les frontaliers"/>
    <n v="-235685.55"/>
    <n v="-235685.55"/>
    <m/>
    <m/>
    <m/>
    <m/>
    <x v="0"/>
    <x v="10"/>
    <x v="0"/>
    <x v="0"/>
    <x v="43"/>
    <x v="1"/>
    <x v="0"/>
    <x v="106"/>
    <x v="24"/>
    <x v="0"/>
    <x v="0"/>
    <x v="67"/>
    <x v="5"/>
    <x v="0"/>
    <x v="87"/>
    <m/>
    <m/>
    <m/>
  </r>
  <r>
    <n v="0"/>
    <s v="210.451"/>
    <s v="Participation cantonale (RIE III + RFFA)"/>
    <s v="GFA"/>
    <s v="21"/>
    <n v="210"/>
    <s v="451"/>
    <m/>
    <n v="0"/>
    <n v="0"/>
    <n v="0"/>
    <n v="0"/>
    <n v="-60000"/>
    <n v="-60000"/>
    <n v="0"/>
    <s v="95000"/>
    <s v="4601"/>
    <s v="03"/>
    <s v="RFFA"/>
    <m/>
    <n v="-23417.950924262201"/>
    <m/>
    <m/>
    <m/>
    <m/>
    <x v="0"/>
    <x v="10"/>
    <x v="0"/>
    <x v="0"/>
    <x v="32"/>
    <x v="0"/>
    <x v="0"/>
    <x v="89"/>
    <x v="24"/>
    <x v="0"/>
    <x v="0"/>
    <x v="67"/>
    <x v="9"/>
    <x v="0"/>
    <x v="69"/>
    <m/>
    <m/>
    <m/>
  </r>
  <r>
    <n v="0"/>
    <s v="210.480"/>
    <s v="Prél. Au fonds (dissolution de provision sur créances d'impôt)"/>
    <s v="GFA"/>
    <s v="21"/>
    <n v="210"/>
    <s v="480"/>
    <m/>
    <n v="0"/>
    <n v="0"/>
    <n v="0"/>
    <n v="0"/>
    <n v="0"/>
    <n v="0"/>
    <n v="0"/>
    <s v="-"/>
    <s v="-"/>
    <s v="-"/>
    <m/>
    <m/>
    <m/>
    <m/>
    <m/>
    <m/>
    <m/>
    <x v="0"/>
    <x v="10"/>
    <x v="0"/>
    <x v="0"/>
    <x v="14"/>
    <x v="0"/>
    <x v="0"/>
    <x v="107"/>
    <x v="1"/>
    <x v="0"/>
    <x v="0"/>
    <x v="9"/>
    <x v="2"/>
    <x v="0"/>
    <x v="10"/>
    <m/>
    <m/>
    <m/>
  </r>
  <r>
    <n v="0"/>
    <s v="220.318"/>
    <s v="Frais Bancaires"/>
    <s v="GFA"/>
    <s v="22"/>
    <n v="220"/>
    <s v="318"/>
    <m/>
    <n v="1911.39"/>
    <n v="0"/>
    <n v="1911.39"/>
    <n v="2000"/>
    <n v="0"/>
    <n v="2000"/>
    <n v="890.7"/>
    <s v="96900"/>
    <s v="3420"/>
    <s v="00"/>
    <s v="Frais bancaires et Twint"/>
    <n v="1911.39"/>
    <m/>
    <m/>
    <m/>
    <m/>
    <m/>
    <x v="0"/>
    <x v="11"/>
    <x v="0"/>
    <x v="0"/>
    <x v="10"/>
    <x v="0"/>
    <x v="0"/>
    <x v="108"/>
    <x v="9"/>
    <x v="0"/>
    <x v="0"/>
    <x v="20"/>
    <x v="0"/>
    <x v="0"/>
    <x v="28"/>
    <m/>
    <m/>
    <m/>
  </r>
  <r>
    <n v="0"/>
    <s v="220.321"/>
    <s v="Int. s/dettes à court terme"/>
    <s v="GFA"/>
    <s v="22"/>
    <n v="220"/>
    <s v="321"/>
    <m/>
    <n v="103.75"/>
    <n v="0"/>
    <n v="103.75"/>
    <n v="500"/>
    <n v="0"/>
    <n v="500"/>
    <n v="117.45"/>
    <s v="96100"/>
    <s v="3401"/>
    <s v="00"/>
    <s v="Intérêts passifs sur emprunts"/>
    <n v="103.75"/>
    <m/>
    <m/>
    <s v="TVA decompte Q4"/>
    <m/>
    <m/>
    <x v="0"/>
    <x v="11"/>
    <x v="0"/>
    <x v="0"/>
    <x v="44"/>
    <x v="0"/>
    <x v="0"/>
    <x v="109"/>
    <x v="22"/>
    <x v="0"/>
    <x v="0"/>
    <x v="68"/>
    <x v="0"/>
    <x v="0"/>
    <x v="88"/>
    <m/>
    <m/>
    <m/>
  </r>
  <r>
    <n v="0"/>
    <s v="220.322.10"/>
    <s v="Int. Sur emprunt à court terme Caserne"/>
    <s v="GFA"/>
    <s v="22"/>
    <n v="220"/>
    <s v="322"/>
    <n v="10"/>
    <n v="0"/>
    <n v="0"/>
    <n v="0"/>
    <n v="0"/>
    <n v="0"/>
    <n v="0"/>
    <n v="3624.85"/>
    <s v="96100"/>
    <s v="3401"/>
    <s v="00"/>
    <s v="Intérêts passifs sur emprunts"/>
    <m/>
    <m/>
    <m/>
    <m/>
    <m/>
    <m/>
    <x v="0"/>
    <x v="11"/>
    <x v="0"/>
    <x v="0"/>
    <x v="45"/>
    <x v="4"/>
    <x v="0"/>
    <x v="110"/>
    <x v="22"/>
    <x v="0"/>
    <x v="0"/>
    <x v="68"/>
    <x v="0"/>
    <x v="0"/>
    <x v="88"/>
    <m/>
    <m/>
    <m/>
  </r>
  <r>
    <n v="0"/>
    <s v="220.322.11"/>
    <s v="Int. Sur emprunt à long terme Immeuble P19 Pharmacie"/>
    <s v="GFA"/>
    <s v="22"/>
    <n v="220"/>
    <s v="322"/>
    <n v="11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45"/>
    <x v="5"/>
    <x v="0"/>
    <x v="111"/>
    <x v="1"/>
    <x v="0"/>
    <x v="0"/>
    <x v="9"/>
    <x v="2"/>
    <x v="0"/>
    <x v="10"/>
    <m/>
    <m/>
    <m/>
  </r>
  <r>
    <n v="0"/>
    <s v="220.322.3"/>
    <s v="Int. sur emprunt Bâtiment 78 réfection Gym &quot;Le Gossan&quot;"/>
    <s v="GFA"/>
    <s v="22"/>
    <n v="220"/>
    <s v="322"/>
    <n v="3"/>
    <n v="5999.8"/>
    <n v="0"/>
    <n v="5999.8"/>
    <n v="6000"/>
    <n v="0"/>
    <n v="6000"/>
    <n v="6000"/>
    <s v="96100"/>
    <s v="3401"/>
    <s v="00"/>
    <s v="Intérêts passifs sur emprunts"/>
    <n v="5999.8"/>
    <n v="5999.8"/>
    <m/>
    <m/>
    <m/>
    <m/>
    <x v="0"/>
    <x v="11"/>
    <x v="0"/>
    <x v="0"/>
    <x v="45"/>
    <x v="3"/>
    <x v="0"/>
    <x v="112"/>
    <x v="22"/>
    <x v="0"/>
    <x v="0"/>
    <x v="68"/>
    <x v="0"/>
    <x v="0"/>
    <x v="88"/>
    <m/>
    <m/>
    <m/>
  </r>
  <r>
    <n v="0"/>
    <s v="220.322.4"/>
    <s v="Int. Sur emprunt à long terme routes &quot;Cézille et Duillier&quot; + Caserne"/>
    <s v="GFA"/>
    <s v="22"/>
    <n v="220"/>
    <s v="322"/>
    <n v="4"/>
    <n v="7070"/>
    <n v="0"/>
    <n v="7070"/>
    <n v="3000"/>
    <n v="0"/>
    <n v="3000"/>
    <n v="0"/>
    <s v="96100"/>
    <s v="3401"/>
    <s v="00"/>
    <s v="Intérêts passifs sur emprunts"/>
    <n v="7070"/>
    <m/>
    <m/>
    <m/>
    <m/>
    <m/>
    <x v="0"/>
    <x v="11"/>
    <x v="0"/>
    <x v="0"/>
    <x v="45"/>
    <x v="6"/>
    <x v="0"/>
    <x v="113"/>
    <x v="22"/>
    <x v="0"/>
    <x v="0"/>
    <x v="68"/>
    <x v="0"/>
    <x v="0"/>
    <x v="88"/>
    <m/>
    <m/>
    <m/>
  </r>
  <r>
    <n v="0"/>
    <s v="220.322.5"/>
    <s v="Int. Sur emprunt à long terme &quot;Fontaine à l'autre&quot;"/>
    <s v="GFA"/>
    <s v="22"/>
    <n v="220"/>
    <s v="322"/>
    <n v="5"/>
    <n v="25600"/>
    <n v="0"/>
    <n v="25600"/>
    <n v="25600"/>
    <n v="0"/>
    <n v="25600"/>
    <n v="25653.35"/>
    <s v="96100"/>
    <s v="3401"/>
    <s v="00"/>
    <s v="Intérêts passifs sur emprunts"/>
    <n v="25600"/>
    <n v="25600"/>
    <m/>
    <m/>
    <m/>
    <m/>
    <x v="0"/>
    <x v="11"/>
    <x v="0"/>
    <x v="0"/>
    <x v="45"/>
    <x v="7"/>
    <x v="0"/>
    <x v="114"/>
    <x v="22"/>
    <x v="0"/>
    <x v="0"/>
    <x v="68"/>
    <x v="0"/>
    <x v="0"/>
    <x v="88"/>
    <m/>
    <m/>
    <m/>
  </r>
  <r>
    <n v="0"/>
    <s v="220.322.6"/>
    <s v="Int. Sur emprunt à long terme &quot;Source vive&quot;"/>
    <s v="GFA"/>
    <s v="22"/>
    <n v="220"/>
    <s v="322"/>
    <n v="6"/>
    <n v="0"/>
    <n v="0"/>
    <n v="0"/>
    <n v="0"/>
    <n v="0"/>
    <n v="0"/>
    <n v="0"/>
    <s v="96100"/>
    <s v="3401"/>
    <s v="00"/>
    <s v="Intérêts passifs sur emprunts"/>
    <m/>
    <n v="65100"/>
    <m/>
    <s v="Nouveaux emprunts 2026"/>
    <m/>
    <m/>
    <x v="0"/>
    <x v="11"/>
    <x v="0"/>
    <x v="0"/>
    <x v="45"/>
    <x v="8"/>
    <x v="0"/>
    <x v="115"/>
    <x v="22"/>
    <x v="0"/>
    <x v="0"/>
    <x v="68"/>
    <x v="0"/>
    <x v="0"/>
    <x v="88"/>
    <m/>
    <m/>
    <m/>
  </r>
  <r>
    <n v="0"/>
    <s v="220.322.7"/>
    <s v="Int. Sur emprunt à long terme Caserne"/>
    <s v="GFA"/>
    <s v="22"/>
    <n v="220"/>
    <s v="322"/>
    <n v="7"/>
    <n v="13130"/>
    <n v="0"/>
    <n v="13130"/>
    <n v="5500"/>
    <n v="0"/>
    <n v="5500"/>
    <n v="0"/>
    <s v="96100"/>
    <s v="3401"/>
    <s v="00"/>
    <s v="Intérêts passifs sur emprunts"/>
    <n v="13130"/>
    <m/>
    <m/>
    <m/>
    <m/>
    <m/>
    <x v="0"/>
    <x v="11"/>
    <x v="0"/>
    <x v="0"/>
    <x v="45"/>
    <x v="9"/>
    <x v="0"/>
    <x v="116"/>
    <x v="22"/>
    <x v="0"/>
    <x v="0"/>
    <x v="68"/>
    <x v="0"/>
    <x v="0"/>
    <x v="88"/>
    <m/>
    <m/>
    <m/>
  </r>
  <r>
    <n v="0"/>
    <s v="220.322.8"/>
    <s v="Int. Sur emprunt à long terme Routes"/>
    <s v="GFA"/>
    <s v="22"/>
    <n v="220"/>
    <s v="322"/>
    <n v="8"/>
    <n v="19125.150000000001"/>
    <n v="0"/>
    <n v="19125.150000000001"/>
    <n v="19125"/>
    <n v="0"/>
    <n v="19125"/>
    <n v="19125"/>
    <s v="96100"/>
    <s v="3401"/>
    <s v="00"/>
    <s v="Intérêts passifs sur emprunts"/>
    <n v="19125.150000000001"/>
    <n v="19125.150000000001"/>
    <m/>
    <m/>
    <m/>
    <m/>
    <x v="0"/>
    <x v="11"/>
    <x v="0"/>
    <x v="0"/>
    <x v="45"/>
    <x v="10"/>
    <x v="0"/>
    <x v="117"/>
    <x v="22"/>
    <x v="0"/>
    <x v="0"/>
    <x v="68"/>
    <x v="0"/>
    <x v="0"/>
    <x v="88"/>
    <m/>
    <m/>
    <m/>
  </r>
  <r>
    <n v="0"/>
    <s v="220.322.9"/>
    <s v="Int. Sur emprunt à long terme routes &quot;Cézille et Duillier&quot;"/>
    <s v="GFA"/>
    <s v="22"/>
    <n v="220"/>
    <s v="322"/>
    <n v="9"/>
    <n v="0"/>
    <n v="0"/>
    <n v="0"/>
    <n v="0"/>
    <n v="0"/>
    <n v="0"/>
    <n v="1951.85"/>
    <s v="96100"/>
    <s v="3401"/>
    <s v="00"/>
    <s v="Intérêts passifs sur emprunts"/>
    <m/>
    <m/>
    <m/>
    <m/>
    <m/>
    <m/>
    <x v="0"/>
    <x v="11"/>
    <x v="0"/>
    <x v="0"/>
    <x v="45"/>
    <x v="11"/>
    <x v="0"/>
    <x v="118"/>
    <x v="22"/>
    <x v="0"/>
    <x v="0"/>
    <x v="68"/>
    <x v="0"/>
    <x v="0"/>
    <x v="88"/>
    <m/>
    <m/>
    <m/>
  </r>
  <r>
    <n v="0"/>
    <s v="220.329"/>
    <s v="Int moratoires"/>
    <s v="GFA"/>
    <s v="22"/>
    <n v="220"/>
    <s v="329"/>
    <m/>
    <n v="20455.55"/>
    <n v="0"/>
    <n v="20455.55"/>
    <n v="0"/>
    <n v="0"/>
    <n v="0"/>
    <n v="0"/>
    <s v="93000"/>
    <s v="3409"/>
    <s v="00"/>
    <s v="Autres intérêts passifs"/>
    <n v="20455.55"/>
    <n v="0"/>
    <m/>
    <s v="Cohésion sociale 2024 pas payée"/>
    <m/>
    <m/>
    <x v="0"/>
    <x v="11"/>
    <x v="0"/>
    <x v="0"/>
    <x v="34"/>
    <x v="0"/>
    <x v="0"/>
    <x v="119"/>
    <x v="26"/>
    <x v="0"/>
    <x v="0"/>
    <x v="69"/>
    <x v="0"/>
    <x v="0"/>
    <x v="89"/>
    <m/>
    <m/>
    <m/>
  </r>
  <r>
    <n v="0"/>
    <s v="220.330"/>
    <s v="Pertes sur débiteurs"/>
    <s v="GFA"/>
    <s v="22"/>
    <n v="220"/>
    <s v="330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11"/>
    <x v="0"/>
    <x v="0"/>
    <x v="120"/>
    <x v="1"/>
    <x v="0"/>
    <x v="0"/>
    <x v="9"/>
    <x v="2"/>
    <x v="0"/>
    <x v="10"/>
    <m/>
    <m/>
    <m/>
  </r>
  <r>
    <n v="0"/>
    <s v="220.330.2"/>
    <s v="Amortissement titres et placements"/>
    <s v="GFA"/>
    <s v="22"/>
    <n v="220"/>
    <s v="330"/>
    <n v="2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11"/>
    <x v="2"/>
    <x v="0"/>
    <x v="121"/>
    <x v="1"/>
    <x v="0"/>
    <x v="0"/>
    <x v="9"/>
    <x v="2"/>
    <x v="0"/>
    <x v="10"/>
    <m/>
    <m/>
    <m/>
  </r>
  <r>
    <n v="0"/>
    <s v="220.352"/>
    <s v="Péréquation"/>
    <s v="GFA"/>
    <s v="22"/>
    <n v="220"/>
    <s v="352"/>
    <m/>
    <n v="7604308"/>
    <n v="0"/>
    <n v="7604308"/>
    <n v="6032000"/>
    <n v="0"/>
    <n v="6032000"/>
    <n v="3015999.5"/>
    <s v="93000"/>
    <s v="3622"/>
    <s v="00"/>
    <s v="Péréquation financière - compensation charges aux communes"/>
    <n v="7604308"/>
    <n v="7254113"/>
    <m/>
    <s v="Selon fichier Péréquation"/>
    <m/>
    <m/>
    <x v="0"/>
    <x v="11"/>
    <x v="0"/>
    <x v="0"/>
    <x v="26"/>
    <x v="0"/>
    <x v="0"/>
    <x v="122"/>
    <x v="26"/>
    <x v="0"/>
    <x v="0"/>
    <x v="70"/>
    <x v="0"/>
    <x v="0"/>
    <x v="90"/>
    <m/>
    <m/>
    <m/>
  </r>
  <r>
    <m/>
    <s v="220.352"/>
    <s v="Péréquation"/>
    <s v="GFA"/>
    <s v="22"/>
    <n v="220"/>
    <s v="352"/>
    <m/>
    <m/>
    <m/>
    <n v="0"/>
    <m/>
    <m/>
    <n v="0"/>
    <m/>
    <s v="93000"/>
    <s v="3622"/>
    <s v="01"/>
    <s v="Péréquation financière - compensation charges aux communes N-1"/>
    <m/>
    <m/>
    <m/>
    <m/>
    <m/>
    <m/>
    <x v="0"/>
    <x v="11"/>
    <x v="0"/>
    <x v="0"/>
    <x v="26"/>
    <x v="0"/>
    <x v="0"/>
    <x v="122"/>
    <x v="26"/>
    <x v="0"/>
    <x v="0"/>
    <x v="70"/>
    <x v="1"/>
    <x v="0"/>
    <x v="91"/>
    <m/>
    <m/>
    <m/>
  </r>
  <r>
    <m/>
    <s v="220.352"/>
    <s v="Péréquation"/>
    <s v="GFA"/>
    <s v="22"/>
    <n v="220"/>
    <s v="352"/>
    <m/>
    <m/>
    <m/>
    <n v="0"/>
    <m/>
    <m/>
    <n v="0"/>
    <m/>
    <s v="93000"/>
    <s v="4622"/>
    <s v="00"/>
    <s v="Péréquation financière - compensation charges aux communes"/>
    <m/>
    <m/>
    <m/>
    <m/>
    <m/>
    <m/>
    <x v="0"/>
    <x v="11"/>
    <x v="0"/>
    <x v="0"/>
    <x v="26"/>
    <x v="0"/>
    <x v="0"/>
    <x v="122"/>
    <x v="26"/>
    <x v="0"/>
    <x v="0"/>
    <x v="71"/>
    <x v="0"/>
    <x v="0"/>
    <x v="90"/>
    <m/>
    <m/>
    <m/>
  </r>
  <r>
    <m/>
    <s v="220.352"/>
    <s v="Péréquation"/>
    <s v="GFA"/>
    <s v="22"/>
    <n v="220"/>
    <s v="352"/>
    <m/>
    <m/>
    <m/>
    <n v="0"/>
    <m/>
    <m/>
    <n v="0"/>
    <m/>
    <s v="93000"/>
    <s v="4622"/>
    <s v="01"/>
    <s v="Péréquation financière - compensation charges aux communes N-1"/>
    <m/>
    <m/>
    <m/>
    <m/>
    <m/>
    <m/>
    <x v="0"/>
    <x v="11"/>
    <x v="0"/>
    <x v="0"/>
    <x v="26"/>
    <x v="0"/>
    <x v="0"/>
    <x v="122"/>
    <x v="26"/>
    <x v="0"/>
    <x v="0"/>
    <x v="71"/>
    <x v="1"/>
    <x v="0"/>
    <x v="91"/>
    <m/>
    <m/>
    <m/>
  </r>
  <r>
    <n v="0"/>
    <s v="220.352.1"/>
    <s v="Péréquation année précédente"/>
    <s v="GFA"/>
    <s v="22"/>
    <n v="220"/>
    <s v="352"/>
    <n v="1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26"/>
    <x v="1"/>
    <x v="0"/>
    <x v="123"/>
    <x v="1"/>
    <x v="0"/>
    <x v="0"/>
    <x v="9"/>
    <x v="2"/>
    <x v="0"/>
    <x v="10"/>
    <m/>
    <m/>
    <m/>
  </r>
  <r>
    <n v="0"/>
    <s v="220.365"/>
    <s v="Aides, subventions"/>
    <s v="GFA"/>
    <s v="22"/>
    <n v="220"/>
    <s v="365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21"/>
    <x v="0"/>
    <x v="0"/>
    <x v="124"/>
    <x v="1"/>
    <x v="0"/>
    <x v="0"/>
    <x v="9"/>
    <x v="2"/>
    <x v="0"/>
    <x v="10"/>
    <m/>
    <m/>
    <m/>
  </r>
  <r>
    <n v="0"/>
    <s v="220.365.1"/>
    <s v="Subvention énergies renouvelables (amort. 9282.13)"/>
    <s v="GFA"/>
    <s v="22"/>
    <n v="220"/>
    <s v="365"/>
    <n v="1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21"/>
    <x v="1"/>
    <x v="0"/>
    <x v="125"/>
    <x v="1"/>
    <x v="0"/>
    <x v="0"/>
    <x v="9"/>
    <x v="2"/>
    <x v="0"/>
    <x v="10"/>
    <m/>
    <m/>
    <m/>
  </r>
  <r>
    <n v="0"/>
    <s v="220.380"/>
    <s v="Attrib. Au fonds de réserve travaux futurs (9282.1)"/>
    <s v="GFA"/>
    <s v="22"/>
    <n v="220"/>
    <s v="380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22"/>
    <x v="0"/>
    <x v="0"/>
    <x v="126"/>
    <x v="1"/>
    <x v="0"/>
    <x v="0"/>
    <x v="9"/>
    <x v="2"/>
    <x v="0"/>
    <x v="10"/>
    <m/>
    <m/>
    <m/>
  </r>
  <r>
    <n v="0"/>
    <s v="220.380.1"/>
    <s v="Attrib. Au fonds de réserve Energies renouvelables (9282.13)"/>
    <s v="GFA"/>
    <s v="22"/>
    <n v="220"/>
    <s v="380"/>
    <n v="1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22"/>
    <x v="1"/>
    <x v="0"/>
    <x v="127"/>
    <x v="1"/>
    <x v="0"/>
    <x v="0"/>
    <x v="9"/>
    <x v="2"/>
    <x v="0"/>
    <x v="10"/>
    <m/>
    <m/>
    <m/>
  </r>
  <r>
    <n v="0"/>
    <s v="220.380.2"/>
    <s v="Attrib. Au fonds de réserve intérêts publics (9282.14)"/>
    <s v="GFA"/>
    <s v="22"/>
    <n v="220"/>
    <s v="380"/>
    <n v="2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22"/>
    <x v="2"/>
    <x v="0"/>
    <x v="128"/>
    <x v="1"/>
    <x v="0"/>
    <x v="0"/>
    <x v="9"/>
    <x v="2"/>
    <x v="0"/>
    <x v="10"/>
    <m/>
    <m/>
    <m/>
  </r>
  <r>
    <n v="0"/>
    <s v="220.422"/>
    <s v="Revenus du patrimoine financier"/>
    <s v="GFA"/>
    <s v="22"/>
    <n v="220"/>
    <s v="422"/>
    <m/>
    <n v="0"/>
    <n v="-28440.45"/>
    <n v="-28440.45"/>
    <n v="0"/>
    <n v="0"/>
    <n v="0"/>
    <n v="-18000"/>
    <s v="96100"/>
    <s v="4401"/>
    <s v="01"/>
    <s v="Intérêts sur créances - CAD"/>
    <n v="-3250"/>
    <n v="-1625"/>
    <m/>
    <s v="CAD int 0.25%CHF 600'000 du 01.01 au 31.12 = 1625CHF"/>
    <m/>
    <m/>
    <x v="0"/>
    <x v="11"/>
    <x v="0"/>
    <x v="0"/>
    <x v="42"/>
    <x v="0"/>
    <x v="0"/>
    <x v="129"/>
    <x v="22"/>
    <x v="0"/>
    <x v="0"/>
    <x v="66"/>
    <x v="1"/>
    <x v="0"/>
    <x v="92"/>
    <m/>
    <m/>
    <m/>
  </r>
  <r>
    <m/>
    <s v="220.422"/>
    <s v="Revenus du patrimoine financier"/>
    <s v="GFA"/>
    <s v="22"/>
    <n v="220"/>
    <s v="422"/>
    <m/>
    <m/>
    <m/>
    <n v="0"/>
    <m/>
    <m/>
    <n v="0"/>
    <m/>
    <s v="96100"/>
    <s v="4420"/>
    <s v="00"/>
    <s v="Dividendes - actions"/>
    <n v="-18000"/>
    <n v="-18000"/>
    <m/>
    <s v=" Revnu brut actions Romande Energie 18K"/>
    <m/>
    <m/>
    <x v="0"/>
    <x v="11"/>
    <x v="0"/>
    <x v="0"/>
    <x v="42"/>
    <x v="0"/>
    <x v="0"/>
    <x v="129"/>
    <x v="22"/>
    <x v="0"/>
    <x v="0"/>
    <x v="72"/>
    <x v="0"/>
    <x v="0"/>
    <x v="93"/>
    <m/>
    <m/>
    <m/>
  </r>
  <r>
    <m/>
    <s v="220.422"/>
    <s v="Revenus du patrimoine financier"/>
    <s v="GFA"/>
    <s v="22"/>
    <n v="220"/>
    <s v="422"/>
    <m/>
    <m/>
    <m/>
    <n v="0"/>
    <m/>
    <m/>
    <n v="0"/>
    <m/>
    <s v="96100"/>
    <s v="4429"/>
    <s v="00"/>
    <s v="Autres revenus de participations - Raiffeisen"/>
    <n v="-400"/>
    <n v="-400"/>
    <m/>
    <s v="Raiffeisen, remunerations parts sociales"/>
    <m/>
    <m/>
    <x v="0"/>
    <x v="11"/>
    <x v="0"/>
    <x v="0"/>
    <x v="42"/>
    <x v="0"/>
    <x v="0"/>
    <x v="129"/>
    <x v="22"/>
    <x v="0"/>
    <x v="0"/>
    <x v="73"/>
    <x v="0"/>
    <x v="0"/>
    <x v="94"/>
    <m/>
    <m/>
    <m/>
  </r>
  <r>
    <m/>
    <s v="220.422"/>
    <s v="Revenus du patrimoine financier"/>
    <s v="GFA"/>
    <s v="22"/>
    <n v="220"/>
    <s v="422"/>
    <m/>
    <m/>
    <m/>
    <n v="0"/>
    <m/>
    <m/>
    <n v="0"/>
    <m/>
    <s v="96100"/>
    <s v="4400"/>
    <s v="00"/>
    <s v="Intérêts des liquidités- comptes courants"/>
    <n v="-6790.4500000000007"/>
    <m/>
    <m/>
    <s v="intérêts sur les CC (2025 placements)"/>
    <m/>
    <m/>
    <x v="0"/>
    <x v="11"/>
    <x v="0"/>
    <x v="0"/>
    <x v="42"/>
    <x v="0"/>
    <x v="0"/>
    <x v="129"/>
    <x v="22"/>
    <x v="0"/>
    <x v="0"/>
    <x v="74"/>
    <x v="0"/>
    <x v="0"/>
    <x v="95"/>
    <m/>
    <m/>
    <m/>
  </r>
  <r>
    <n v="0"/>
    <s v="220.423"/>
    <s v="Revenus des droits de superficie"/>
    <s v="GFA"/>
    <s v="22"/>
    <n v="220"/>
    <s v="423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46"/>
    <x v="0"/>
    <x v="0"/>
    <x v="130"/>
    <x v="1"/>
    <x v="0"/>
    <x v="0"/>
    <x v="9"/>
    <x v="2"/>
    <x v="0"/>
    <x v="10"/>
    <m/>
    <m/>
    <m/>
  </r>
  <r>
    <n v="0"/>
    <s v="220.424"/>
    <s v="Gains comptables patrimoine financier"/>
    <s v="GFA"/>
    <s v="22"/>
    <n v="220"/>
    <s v="424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47"/>
    <x v="0"/>
    <x v="0"/>
    <x v="131"/>
    <x v="1"/>
    <x v="0"/>
    <x v="0"/>
    <x v="9"/>
    <x v="2"/>
    <x v="0"/>
    <x v="10"/>
    <m/>
    <m/>
    <m/>
  </r>
  <r>
    <n v="0"/>
    <s v="220.425"/>
    <s v="Revenus du patrimoine administratif"/>
    <s v="GFA"/>
    <s v="22"/>
    <n v="220"/>
    <s v="425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48"/>
    <x v="0"/>
    <x v="0"/>
    <x v="132"/>
    <x v="1"/>
    <x v="0"/>
    <x v="0"/>
    <x v="9"/>
    <x v="2"/>
    <x v="0"/>
    <x v="10"/>
    <m/>
    <m/>
    <m/>
  </r>
  <r>
    <n v="0"/>
    <s v="220.427"/>
    <s v="Revenus des immeubles du patrimoine administratif"/>
    <s v="GFA"/>
    <s v="22"/>
    <n v="220"/>
    <s v="427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49"/>
    <x v="0"/>
    <x v="0"/>
    <x v="133"/>
    <x v="1"/>
    <x v="0"/>
    <x v="0"/>
    <x v="9"/>
    <x v="2"/>
    <x v="0"/>
    <x v="10"/>
    <m/>
    <m/>
    <m/>
  </r>
  <r>
    <n v="0"/>
    <s v="220.434"/>
    <s v="Taxe pour usage du sol Romande Energie"/>
    <s v="GFA"/>
    <s v="22"/>
    <n v="220"/>
    <s v="434"/>
    <m/>
    <n v="0"/>
    <n v="-150308.9"/>
    <n v="-150308.9"/>
    <n v="0"/>
    <n v="-100000"/>
    <n v="-100000"/>
    <n v="-49500"/>
    <s v="95000"/>
    <s v="4240"/>
    <s v="00"/>
    <s v="Taxe d'utilisation - Romande Energie"/>
    <n v="-150308.9"/>
    <n v="-99000"/>
    <m/>
    <s v="Romande Ernergie taxe usage du sol / 2025 incl 2024 pour 51K"/>
    <m/>
    <m/>
    <x v="0"/>
    <x v="11"/>
    <x v="0"/>
    <x v="0"/>
    <x v="50"/>
    <x v="0"/>
    <x v="0"/>
    <x v="134"/>
    <x v="24"/>
    <x v="0"/>
    <x v="0"/>
    <x v="37"/>
    <x v="0"/>
    <x v="0"/>
    <x v="96"/>
    <m/>
    <m/>
    <m/>
  </r>
  <r>
    <n v="0"/>
    <s v="220.441"/>
    <s v="Redistribution  taxe CO2"/>
    <s v="GFA"/>
    <s v="22"/>
    <n v="220"/>
    <s v="441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43"/>
    <x v="0"/>
    <x v="0"/>
    <x v="135"/>
    <x v="1"/>
    <x v="0"/>
    <x v="0"/>
    <x v="9"/>
    <x v="2"/>
    <x v="0"/>
    <x v="10"/>
    <m/>
    <m/>
    <m/>
  </r>
  <r>
    <n v="0"/>
    <s v="220.451"/>
    <s v="Retour Péréquation directe"/>
    <s v="GFA"/>
    <s v="22"/>
    <n v="220"/>
    <s v="451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32"/>
    <x v="0"/>
    <x v="0"/>
    <x v="136"/>
    <x v="1"/>
    <x v="0"/>
    <x v="0"/>
    <x v="9"/>
    <x v="2"/>
    <x v="0"/>
    <x v="10"/>
    <m/>
    <m/>
    <m/>
  </r>
  <r>
    <n v="0"/>
    <s v="220.452"/>
    <s v="Péréquation horizontale"/>
    <s v="GFA"/>
    <s v="22"/>
    <n v="220"/>
    <s v="452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51"/>
    <x v="0"/>
    <x v="0"/>
    <x v="137"/>
    <x v="1"/>
    <x v="0"/>
    <x v="0"/>
    <x v="9"/>
    <x v="2"/>
    <x v="0"/>
    <x v="10"/>
    <m/>
    <m/>
    <m/>
  </r>
  <r>
    <n v="0"/>
    <s v="220.452.1"/>
    <s v="Solde péréquation année précédente"/>
    <s v="GFA"/>
    <s v="22"/>
    <n v="220"/>
    <s v="452"/>
    <n v="1"/>
    <n v="0"/>
    <n v="-394"/>
    <n v="-394"/>
    <n v="0"/>
    <n v="0"/>
    <n v="0"/>
    <n v="0"/>
    <s v="11100"/>
    <s v="4611"/>
    <s v="01"/>
    <s v="Péréquation - Parts aux Cantons (Réforme) N-1"/>
    <n v="-394"/>
    <m/>
    <m/>
    <m/>
    <m/>
    <m/>
    <x v="0"/>
    <x v="11"/>
    <x v="0"/>
    <x v="0"/>
    <x v="51"/>
    <x v="1"/>
    <x v="0"/>
    <x v="138"/>
    <x v="10"/>
    <x v="0"/>
    <x v="0"/>
    <x v="28"/>
    <x v="1"/>
    <x v="0"/>
    <x v="97"/>
    <m/>
    <m/>
    <m/>
  </r>
  <r>
    <n v="0"/>
    <s v="220.452.2"/>
    <s v="Péréquation retour population"/>
    <s v="GFA"/>
    <s v="22"/>
    <n v="220"/>
    <s v="452"/>
    <n v="2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51"/>
    <x v="2"/>
    <x v="0"/>
    <x v="139"/>
    <x v="1"/>
    <x v="0"/>
    <x v="0"/>
    <x v="9"/>
    <x v="2"/>
    <x v="0"/>
    <x v="10"/>
    <m/>
    <m/>
    <m/>
  </r>
  <r>
    <n v="0"/>
    <s v="220.465"/>
    <s v="Participations de tiers"/>
    <s v="GFA"/>
    <s v="22"/>
    <n v="220"/>
    <s v="465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52"/>
    <x v="0"/>
    <x v="0"/>
    <x v="20"/>
    <x v="1"/>
    <x v="0"/>
    <x v="0"/>
    <x v="9"/>
    <x v="2"/>
    <x v="0"/>
    <x v="10"/>
    <m/>
    <m/>
    <m/>
  </r>
  <r>
    <n v="0"/>
    <s v="220.480"/>
    <s v="Prélèvement au fonds de réserve énergies renouvelables (9282.13)"/>
    <s v="GFA"/>
    <s v="22"/>
    <n v="220"/>
    <s v="480"/>
    <m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14"/>
    <x v="0"/>
    <x v="0"/>
    <x v="140"/>
    <x v="1"/>
    <x v="0"/>
    <x v="0"/>
    <x v="9"/>
    <x v="2"/>
    <x v="0"/>
    <x v="10"/>
    <m/>
    <m/>
    <m/>
  </r>
  <r>
    <n v="0"/>
    <s v="220.490.2"/>
    <s v="Imputations internes intérêts"/>
    <s v="GFA"/>
    <s v="22"/>
    <n v="220"/>
    <s v="490"/>
    <n v="2"/>
    <n v="0"/>
    <n v="0"/>
    <n v="0"/>
    <n v="0"/>
    <n v="0"/>
    <n v="0"/>
    <n v="0"/>
    <s v="-"/>
    <s v="-"/>
    <s v="-"/>
    <m/>
    <m/>
    <m/>
    <m/>
    <m/>
    <m/>
    <m/>
    <x v="0"/>
    <x v="11"/>
    <x v="0"/>
    <x v="0"/>
    <x v="15"/>
    <x v="2"/>
    <x v="0"/>
    <x v="141"/>
    <x v="1"/>
    <x v="0"/>
    <x v="0"/>
    <x v="9"/>
    <x v="2"/>
    <x v="0"/>
    <x v="10"/>
    <m/>
    <m/>
    <m/>
  </r>
  <r>
    <n v="0"/>
    <s v="230.330"/>
    <s v="Amortissement et réserves PF divers"/>
    <s v="GFA"/>
    <s v="23"/>
    <n v="230"/>
    <s v="330"/>
    <m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11"/>
    <x v="0"/>
    <x v="0"/>
    <x v="142"/>
    <x v="1"/>
    <x v="0"/>
    <x v="0"/>
    <x v="9"/>
    <x v="2"/>
    <x v="0"/>
    <x v="10"/>
    <m/>
    <m/>
    <m/>
  </r>
  <r>
    <n v="0"/>
    <s v="230.330.1"/>
    <s v="PF Terrains et bâtiments"/>
    <s v="GFA"/>
    <s v="23"/>
    <n v="230"/>
    <s v="330"/>
    <n v="1"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11"/>
    <x v="1"/>
    <x v="0"/>
    <x v="143"/>
    <x v="1"/>
    <x v="0"/>
    <x v="0"/>
    <x v="9"/>
    <x v="2"/>
    <x v="0"/>
    <x v="10"/>
    <m/>
    <m/>
    <m/>
  </r>
  <r>
    <n v="0"/>
    <s v="230.330.2"/>
    <s v="Titres et placement financiers"/>
    <s v="GFA"/>
    <s v="23"/>
    <n v="230"/>
    <s v="330"/>
    <n v="2"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11"/>
    <x v="2"/>
    <x v="0"/>
    <x v="144"/>
    <x v="1"/>
    <x v="0"/>
    <x v="0"/>
    <x v="9"/>
    <x v="2"/>
    <x v="0"/>
    <x v="10"/>
    <m/>
    <m/>
    <m/>
  </r>
  <r>
    <n v="0"/>
    <s v="230.331"/>
    <s v="Titres et Placements Administrarif"/>
    <s v="GFA"/>
    <s v="23"/>
    <n v="230"/>
    <s v="331"/>
    <m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31"/>
    <x v="0"/>
    <x v="0"/>
    <x v="145"/>
    <x v="1"/>
    <x v="0"/>
    <x v="0"/>
    <x v="9"/>
    <x v="2"/>
    <x v="0"/>
    <x v="10"/>
    <m/>
    <m/>
    <m/>
  </r>
  <r>
    <n v="0"/>
    <s v="230.332"/>
    <s v="Amortissement supplémentairesTitres"/>
    <s v="GFA"/>
    <s v="23"/>
    <n v="230"/>
    <s v="332"/>
    <m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20"/>
    <x v="0"/>
    <x v="0"/>
    <x v="146"/>
    <x v="1"/>
    <x v="0"/>
    <x v="0"/>
    <x v="9"/>
    <x v="2"/>
    <x v="0"/>
    <x v="10"/>
    <m/>
    <m/>
    <m/>
  </r>
  <r>
    <n v="0"/>
    <s v="230.380"/>
    <s v="Fonds de réserve"/>
    <s v="GFA"/>
    <s v="23"/>
    <n v="230"/>
    <s v="380"/>
    <m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22"/>
    <x v="0"/>
    <x v="0"/>
    <x v="147"/>
    <x v="1"/>
    <x v="0"/>
    <x v="0"/>
    <x v="9"/>
    <x v="2"/>
    <x v="0"/>
    <x v="10"/>
    <m/>
    <m/>
    <m/>
  </r>
  <r>
    <n v="0"/>
    <s v="230.380.8"/>
    <s v="Attrib. Au fonds de réserve Cantonal"/>
    <s v="GFA"/>
    <s v="23"/>
    <n v="230"/>
    <s v="380"/>
    <n v="8"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22"/>
    <x v="10"/>
    <x v="0"/>
    <x v="148"/>
    <x v="1"/>
    <x v="0"/>
    <x v="0"/>
    <x v="9"/>
    <x v="2"/>
    <x v="0"/>
    <x v="10"/>
    <m/>
    <m/>
    <m/>
  </r>
  <r>
    <n v="0"/>
    <s v="230.380.9"/>
    <s v="ATTRIB FDS D'EGAL DES RESULT"/>
    <s v="GFA"/>
    <s v="23"/>
    <n v="230"/>
    <s v="380"/>
    <n v="9"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22"/>
    <x v="11"/>
    <x v="0"/>
    <x v="149"/>
    <x v="1"/>
    <x v="0"/>
    <x v="0"/>
    <x v="9"/>
    <x v="2"/>
    <x v="0"/>
    <x v="10"/>
    <m/>
    <m/>
    <m/>
  </r>
  <r>
    <n v="0"/>
    <s v="230.424"/>
    <s v="Gains sur vente immobilière"/>
    <s v="GFA"/>
    <s v="23"/>
    <n v="230"/>
    <s v="424"/>
    <m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47"/>
    <x v="0"/>
    <x v="0"/>
    <x v="150"/>
    <x v="1"/>
    <x v="0"/>
    <x v="0"/>
    <x v="9"/>
    <x v="2"/>
    <x v="0"/>
    <x v="10"/>
    <m/>
    <m/>
    <m/>
  </r>
  <r>
    <n v="0"/>
    <s v="230.4361"/>
    <s v="AMORTISSEMENTS et RESERVES non-ventilés"/>
    <s v="GFA"/>
    <s v="23"/>
    <n v="230"/>
    <s v="436"/>
    <n v="1"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13"/>
    <x v="1"/>
    <x v="0"/>
    <x v="151"/>
    <x v="1"/>
    <x v="0"/>
    <x v="0"/>
    <x v="9"/>
    <x v="2"/>
    <x v="0"/>
    <x v="10"/>
    <m/>
    <m/>
    <m/>
  </r>
  <r>
    <n v="0"/>
    <s v="230.480"/>
    <s v="AMORTISSEMENTS et RESERVES  PRELEVEMENT RESERVES"/>
    <s v="GFA"/>
    <s v="23"/>
    <n v="230"/>
    <s v="480"/>
    <m/>
    <n v="0"/>
    <n v="0"/>
    <n v="0"/>
    <n v="0"/>
    <n v="0"/>
    <n v="0"/>
    <n v="0"/>
    <s v="-"/>
    <s v="-"/>
    <s v="-"/>
    <m/>
    <m/>
    <m/>
    <m/>
    <m/>
    <m/>
    <m/>
    <x v="0"/>
    <x v="12"/>
    <x v="0"/>
    <x v="0"/>
    <x v="14"/>
    <x v="0"/>
    <x v="0"/>
    <x v="152"/>
    <x v="1"/>
    <x v="0"/>
    <x v="0"/>
    <x v="9"/>
    <x v="2"/>
    <x v="0"/>
    <x v="10"/>
    <m/>
    <m/>
    <m/>
  </r>
  <r>
    <n v="0"/>
    <s v="310.311"/>
    <s v="TERRAINS  ACHATS MACHINES MATERIEL EXPL"/>
    <s v="ADA"/>
    <s v="31"/>
    <n v="310"/>
    <s v="311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6"/>
    <x v="0"/>
    <x v="0"/>
    <x v="153"/>
    <x v="1"/>
    <x v="0"/>
    <x v="0"/>
    <x v="9"/>
    <x v="2"/>
    <x v="0"/>
    <x v="10"/>
    <m/>
    <m/>
    <m/>
  </r>
  <r>
    <n v="0"/>
    <s v="310.314"/>
    <s v="TERRAINS  ENTRETIEN"/>
    <s v="ADA"/>
    <s v="31"/>
    <n v="310"/>
    <s v="314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25"/>
    <x v="0"/>
    <x v="0"/>
    <x v="154"/>
    <x v="1"/>
    <x v="0"/>
    <x v="0"/>
    <x v="9"/>
    <x v="2"/>
    <x v="0"/>
    <x v="10"/>
    <m/>
    <m/>
    <m/>
  </r>
  <r>
    <n v="0"/>
    <s v="310.314.1"/>
    <s v="TERRAINS  REAMENAGEMENT PLACE PETANQUE (inactif)"/>
    <s v="ADA"/>
    <s v="31"/>
    <n v="310"/>
    <s v="314"/>
    <n v="1"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25"/>
    <x v="1"/>
    <x v="0"/>
    <x v="155"/>
    <x v="1"/>
    <x v="0"/>
    <x v="0"/>
    <x v="9"/>
    <x v="2"/>
    <x v="0"/>
    <x v="10"/>
    <m/>
    <m/>
    <m/>
  </r>
  <r>
    <n v="0"/>
    <s v="310.314.2"/>
    <s v="TERRAINS  SYNDICATS AF et ARROSAGE SANE (inactif)"/>
    <s v="ADA"/>
    <s v="31"/>
    <n v="310"/>
    <s v="314"/>
    <n v="2"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25"/>
    <x v="2"/>
    <x v="0"/>
    <x v="156"/>
    <x v="1"/>
    <x v="0"/>
    <x v="0"/>
    <x v="9"/>
    <x v="2"/>
    <x v="0"/>
    <x v="10"/>
    <m/>
    <m/>
    <m/>
  </r>
  <r>
    <n v="0"/>
    <s v="310.318"/>
    <s v="TERRAINS  Honoraires, Prestations services"/>
    <s v="ADA"/>
    <s v="31"/>
    <n v="310"/>
    <s v="318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10"/>
    <x v="0"/>
    <x v="0"/>
    <x v="157"/>
    <x v="1"/>
    <x v="0"/>
    <x v="0"/>
    <x v="9"/>
    <x v="2"/>
    <x v="0"/>
    <x v="10"/>
    <m/>
    <m/>
    <m/>
  </r>
  <r>
    <n v="0"/>
    <s v="310.351"/>
    <s v="TERRAINS  FEU BACTERIEN / Parasites / Chenilles pros."/>
    <s v="ADA"/>
    <s v="31"/>
    <n v="310"/>
    <s v="351"/>
    <m/>
    <n v="3796"/>
    <n v="0"/>
    <n v="3796"/>
    <n v="4000"/>
    <n v="0"/>
    <n v="4000"/>
    <n v="0"/>
    <n v="96901"/>
    <s v="3431"/>
    <s v="00"/>
    <s v="Entretien courant |Terrains |"/>
    <n v="3796"/>
    <m/>
    <m/>
    <s v="Fondation du Bois de Chênes, Participation aux frais d'entretien du Bois de Chênes en 2025.,  location terrains agricoles (Baumgartner, Bolay et Wyss)"/>
    <m/>
    <m/>
    <x v="0"/>
    <x v="13"/>
    <x v="0"/>
    <x v="0"/>
    <x v="33"/>
    <x v="0"/>
    <x v="0"/>
    <x v="158"/>
    <x v="27"/>
    <x v="0"/>
    <x v="0"/>
    <x v="75"/>
    <x v="0"/>
    <x v="0"/>
    <x v="98"/>
    <m/>
    <m/>
    <m/>
  </r>
  <r>
    <n v="0"/>
    <s v="310.380"/>
    <s v="TERRAINS  ATTRIBUTION FONDS RESERVE La Chèvrerie"/>
    <s v="ADA"/>
    <s v="31"/>
    <n v="310"/>
    <s v="380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22"/>
    <x v="0"/>
    <x v="0"/>
    <x v="159"/>
    <x v="1"/>
    <x v="0"/>
    <x v="0"/>
    <x v="9"/>
    <x v="2"/>
    <x v="0"/>
    <x v="10"/>
    <m/>
    <m/>
    <m/>
  </r>
  <r>
    <n v="0"/>
    <s v="310.380.1"/>
    <s v="TERRAINS  ATTRIBUTION FONDS. RESERVE Ventes"/>
    <s v="ADA"/>
    <s v="31"/>
    <n v="310"/>
    <s v="380"/>
    <n v="1"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22"/>
    <x v="1"/>
    <x v="0"/>
    <x v="160"/>
    <x v="1"/>
    <x v="0"/>
    <x v="0"/>
    <x v="9"/>
    <x v="2"/>
    <x v="0"/>
    <x v="10"/>
    <m/>
    <m/>
    <m/>
  </r>
  <r>
    <n v="0"/>
    <s v="310.423"/>
    <s v="TERRAINS  LOCATIONS DIVERSES"/>
    <s v="ADA"/>
    <s v="31"/>
    <n v="310"/>
    <s v="423"/>
    <m/>
    <n v="0"/>
    <n v="-82752.149999999994"/>
    <n v="-82752.149999999994"/>
    <n v="0"/>
    <n v="-78000"/>
    <n v="-78000"/>
    <n v="-7020"/>
    <n v="96901"/>
    <s v="4430"/>
    <s v="00"/>
    <s v="Loyers et fermages | Terrains |"/>
    <n v="-73192.149999999994"/>
    <m/>
    <m/>
    <s v="Locations : kiosque, terrains communaux Bolay - Wyss - Tissot - Baugartner (rucher), places parking, bois de Chêne, la Colonie 39K,"/>
    <m/>
    <m/>
    <x v="0"/>
    <x v="13"/>
    <x v="0"/>
    <x v="0"/>
    <x v="46"/>
    <x v="0"/>
    <x v="0"/>
    <x v="161"/>
    <x v="27"/>
    <x v="0"/>
    <x v="0"/>
    <x v="76"/>
    <x v="0"/>
    <x v="0"/>
    <x v="99"/>
    <m/>
    <m/>
    <m/>
  </r>
  <r>
    <m/>
    <s v="310.423"/>
    <s v="TERRAINS  LOCATIONS DIVERSES"/>
    <s v="ADA"/>
    <s v="31"/>
    <n v="310"/>
    <s v="423"/>
    <m/>
    <m/>
    <m/>
    <m/>
    <m/>
    <m/>
    <n v="0"/>
    <m/>
    <s v="34100"/>
    <s v="4612"/>
    <s v="00"/>
    <s v="Dédommagement des communes et associations intercommunales - AISGE - loyers et entretien terrains de sport"/>
    <n v="-1200"/>
    <n v="-1200"/>
    <m/>
    <s v="AISGE TERRAIN D'ATHLETISME : 1'200 m2 x CHF 1.00 (dès 1.1.2012)"/>
    <m/>
    <m/>
    <x v="0"/>
    <x v="13"/>
    <x v="0"/>
    <x v="0"/>
    <x v="46"/>
    <x v="0"/>
    <x v="0"/>
    <x v="161"/>
    <x v="18"/>
    <x v="0"/>
    <x v="0"/>
    <x v="35"/>
    <x v="0"/>
    <x v="0"/>
    <x v="55"/>
    <m/>
    <m/>
    <m/>
  </r>
  <r>
    <m/>
    <s v="310.423"/>
    <s v="TERRAINS  LOCATIONS DIVERSES"/>
    <s v="ADA"/>
    <s v="31"/>
    <n v="310"/>
    <s v="423"/>
    <m/>
    <m/>
    <m/>
    <m/>
    <m/>
    <m/>
    <n v="0"/>
    <m/>
    <s v="02900"/>
    <s v="4612"/>
    <s v="00"/>
    <s v="Dédommagement des communes et associations intercommunales - AISGE - Loyers PA - Bât non mentionnés ailleurs | Salle du 700e / Anc. Station pompage che. De la Source / locaux chaufferie du CAD / Cordex-Oujon |"/>
    <n v="-8360"/>
    <n v="-8360"/>
    <m/>
    <s v="AISGE TERRAIN DU COMPLEXE SCOLAIRE &quot;CORDEX &amp; OUJON&quot; : 8'360 m2 x CHF 1.00 "/>
    <m/>
    <m/>
    <x v="0"/>
    <x v="13"/>
    <x v="0"/>
    <x v="0"/>
    <x v="46"/>
    <x v="0"/>
    <x v="0"/>
    <x v="161"/>
    <x v="28"/>
    <x v="0"/>
    <x v="0"/>
    <x v="35"/>
    <x v="0"/>
    <x v="0"/>
    <x v="100"/>
    <m/>
    <m/>
    <m/>
  </r>
  <r>
    <n v="0"/>
    <s v="310.424"/>
    <s v="TERRAINS  GAINS COMPTABLE PATR FIN : VENTES"/>
    <s v="ADA"/>
    <s v="31"/>
    <n v="310"/>
    <s v="424"/>
    <m/>
    <n v="0"/>
    <n v="0"/>
    <n v="0"/>
    <n v="0"/>
    <n v="0"/>
    <n v="0"/>
    <n v="-20250"/>
    <n v="96901"/>
    <s v="4411"/>
    <s v="00"/>
    <s v="Gain provenant des ventes des immobilisations PF |Terrains |"/>
    <m/>
    <m/>
    <m/>
    <m/>
    <m/>
    <m/>
    <x v="0"/>
    <x v="13"/>
    <x v="0"/>
    <x v="0"/>
    <x v="47"/>
    <x v="0"/>
    <x v="0"/>
    <x v="162"/>
    <x v="27"/>
    <x v="0"/>
    <x v="0"/>
    <x v="77"/>
    <x v="0"/>
    <x v="0"/>
    <x v="101"/>
    <m/>
    <m/>
    <m/>
  </r>
  <r>
    <n v="0"/>
    <s v="310.424.1"/>
    <s v="TERRAINS  GAINS COMPTABLE (Vente - prel fnds res)"/>
    <s v="ADA"/>
    <s v="31"/>
    <n v="310"/>
    <s v="424"/>
    <n v="1"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47"/>
    <x v="1"/>
    <x v="0"/>
    <x v="163"/>
    <x v="1"/>
    <x v="0"/>
    <x v="0"/>
    <x v="9"/>
    <x v="2"/>
    <x v="0"/>
    <x v="10"/>
    <m/>
    <m/>
    <m/>
  </r>
  <r>
    <n v="0"/>
    <s v="310.427"/>
    <s v="TERRAINS  LOCATION BOIS-DE-CHENES (inactif)"/>
    <s v="ADA"/>
    <s v="31"/>
    <n v="310"/>
    <s v="427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49"/>
    <x v="0"/>
    <x v="0"/>
    <x v="164"/>
    <x v="1"/>
    <x v="0"/>
    <x v="0"/>
    <x v="9"/>
    <x v="2"/>
    <x v="0"/>
    <x v="10"/>
    <m/>
    <m/>
    <m/>
  </r>
  <r>
    <n v="0"/>
    <s v="310.435"/>
    <s v="TERRAINS  FACTURATION A DES TIERS"/>
    <s v="ADA"/>
    <s v="31"/>
    <n v="310"/>
    <s v="436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13"/>
    <x v="0"/>
    <x v="0"/>
    <x v="165"/>
    <x v="1"/>
    <x v="0"/>
    <x v="0"/>
    <x v="9"/>
    <x v="2"/>
    <x v="0"/>
    <x v="10"/>
    <m/>
    <m/>
    <m/>
  </r>
  <r>
    <n v="0"/>
    <s v="310.451"/>
    <s v="TERRAINS  REMB FEU BACTERIEN"/>
    <s v="ADA"/>
    <s v="31"/>
    <n v="310"/>
    <s v="451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32"/>
    <x v="0"/>
    <x v="0"/>
    <x v="166"/>
    <x v="1"/>
    <x v="0"/>
    <x v="0"/>
    <x v="9"/>
    <x v="2"/>
    <x v="0"/>
    <x v="10"/>
    <m/>
    <m/>
    <m/>
  </r>
  <r>
    <n v="0"/>
    <s v="310.465"/>
    <s v="TERRAINS  Subventions cantonales"/>
    <s v="ADA"/>
    <s v="31"/>
    <n v="310"/>
    <s v="465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52"/>
    <x v="0"/>
    <x v="0"/>
    <x v="167"/>
    <x v="1"/>
    <x v="0"/>
    <x v="0"/>
    <x v="9"/>
    <x v="2"/>
    <x v="0"/>
    <x v="10"/>
    <m/>
    <m/>
    <m/>
  </r>
  <r>
    <n v="0"/>
    <s v="310.480"/>
    <s v="TERRAINS  PREL RESERVE (9280.6)"/>
    <s v="ADA"/>
    <s v="31"/>
    <n v="310"/>
    <s v="480"/>
    <m/>
    <n v="0"/>
    <n v="0"/>
    <n v="0"/>
    <n v="0"/>
    <n v="0"/>
    <n v="0"/>
    <n v="0"/>
    <s v="-"/>
    <s v="-"/>
    <s v="-"/>
    <m/>
    <m/>
    <m/>
    <m/>
    <m/>
    <m/>
    <m/>
    <x v="0"/>
    <x v="13"/>
    <x v="0"/>
    <x v="0"/>
    <x v="14"/>
    <x v="0"/>
    <x v="0"/>
    <x v="168"/>
    <x v="1"/>
    <x v="0"/>
    <x v="0"/>
    <x v="9"/>
    <x v="2"/>
    <x v="0"/>
    <x v="10"/>
    <m/>
    <m/>
    <m/>
  </r>
  <r>
    <n v="0"/>
    <s v="320.314"/>
    <s v="FORETS  ENTRETIEN HORS &quot;COLLINE&quot;"/>
    <s v="ADA"/>
    <s v="320"/>
    <n v="320"/>
    <s v="314"/>
    <m/>
    <n v="46263.42"/>
    <n v="0"/>
    <n v="46263.42"/>
    <n v="15000"/>
    <n v="0"/>
    <n v="15000"/>
    <n v="0"/>
    <n v="82000"/>
    <s v="3145"/>
    <s v="00"/>
    <s v="Entretien des forêts - Autres"/>
    <n v="46263.42"/>
    <m/>
    <m/>
    <s v="Parc Jura Vaudois"/>
    <m/>
    <m/>
    <x v="0"/>
    <x v="14"/>
    <x v="0"/>
    <x v="0"/>
    <x v="25"/>
    <x v="0"/>
    <x v="0"/>
    <x v="169"/>
    <x v="29"/>
    <x v="0"/>
    <x v="0"/>
    <x v="78"/>
    <x v="0"/>
    <x v="0"/>
    <x v="102"/>
    <m/>
    <m/>
    <m/>
  </r>
  <r>
    <m/>
    <s v="320.314"/>
    <s v="FORETS  ENTRETIEN HORS &quot;COLLINE&quot;"/>
    <s v="ADA"/>
    <s v="320"/>
    <n v="320"/>
    <s v="314"/>
    <m/>
    <m/>
    <m/>
    <n v="0"/>
    <m/>
    <m/>
    <n v="0"/>
    <m/>
    <n v="82000"/>
    <s v="3612"/>
    <s v="00"/>
    <s v="Parts aux communes et assoc intercomm - Entretien des forêts - Group. Forest. La Colline (hors contrat)"/>
    <m/>
    <m/>
    <m/>
    <s v="La Colline ( démontage passerelle / sapins Noel / abattage chablis)"/>
    <m/>
    <m/>
    <x v="0"/>
    <x v="14"/>
    <x v="0"/>
    <x v="0"/>
    <x v="25"/>
    <x v="0"/>
    <x v="0"/>
    <x v="169"/>
    <x v="29"/>
    <x v="0"/>
    <x v="0"/>
    <x v="13"/>
    <x v="0"/>
    <x v="0"/>
    <x v="103"/>
    <m/>
    <m/>
    <m/>
  </r>
  <r>
    <n v="0"/>
    <s v="320.318"/>
    <s v="FORETS  TAXES VHC COTISATIONS ASS. TEL"/>
    <s v="ADA"/>
    <s v="320"/>
    <n v="320"/>
    <s v="318"/>
    <m/>
    <n v="20.7"/>
    <n v="0"/>
    <n v="20.7"/>
    <n v="0"/>
    <n v="0"/>
    <n v="0"/>
    <n v="20.7"/>
    <n v="82000"/>
    <s v="3134"/>
    <s v="00"/>
    <s v="Frais assurances"/>
    <n v="20.7"/>
    <m/>
    <m/>
    <m/>
    <m/>
    <m/>
    <x v="0"/>
    <x v="14"/>
    <x v="0"/>
    <x v="0"/>
    <x v="10"/>
    <x v="0"/>
    <x v="0"/>
    <x v="170"/>
    <x v="29"/>
    <x v="0"/>
    <x v="0"/>
    <x v="21"/>
    <x v="0"/>
    <x v="0"/>
    <x v="104"/>
    <m/>
    <m/>
    <m/>
  </r>
  <r>
    <n v="0"/>
    <s v="320.319"/>
    <s v="FORÊTS  FRAIS DIVERS TAXES TVA"/>
    <s v="ADA"/>
    <s v="320"/>
    <n v="320"/>
    <s v="319"/>
    <m/>
    <n v="0"/>
    <n v="0"/>
    <n v="0"/>
    <n v="0"/>
    <n v="0"/>
    <n v="0"/>
    <n v="0"/>
    <s v="-"/>
    <s v="-"/>
    <s v="-"/>
    <m/>
    <m/>
    <m/>
    <m/>
    <m/>
    <m/>
    <m/>
    <x v="0"/>
    <x v="14"/>
    <x v="0"/>
    <x v="0"/>
    <x v="19"/>
    <x v="0"/>
    <x v="0"/>
    <x v="171"/>
    <x v="1"/>
    <x v="0"/>
    <x v="0"/>
    <x v="9"/>
    <x v="2"/>
    <x v="0"/>
    <x v="10"/>
    <m/>
    <m/>
    <m/>
  </r>
  <r>
    <n v="0"/>
    <s v="320.331"/>
    <s v="Amortissement desserte forestière"/>
    <s v="ADA"/>
    <s v="320"/>
    <n v="320"/>
    <s v="331"/>
    <m/>
    <n v="0"/>
    <n v="0"/>
    <n v="0"/>
    <n v="0"/>
    <n v="0"/>
    <n v="0"/>
    <n v="0"/>
    <s v="-"/>
    <s v="-"/>
    <s v="-"/>
    <m/>
    <m/>
    <m/>
    <m/>
    <m/>
    <m/>
    <m/>
    <x v="0"/>
    <x v="14"/>
    <x v="0"/>
    <x v="0"/>
    <x v="31"/>
    <x v="0"/>
    <x v="0"/>
    <x v="172"/>
    <x v="1"/>
    <x v="0"/>
    <x v="0"/>
    <x v="9"/>
    <x v="2"/>
    <x v="0"/>
    <x v="10"/>
    <m/>
    <m/>
    <m/>
  </r>
  <r>
    <n v="0"/>
    <s v="320.332"/>
    <s v="Amortissement Forêts"/>
    <s v="ADA"/>
    <s v="320"/>
    <n v="320"/>
    <s v="332"/>
    <m/>
    <n v="1"/>
    <n v="0"/>
    <n v="1"/>
    <n v="0"/>
    <n v="0"/>
    <n v="0"/>
    <n v="0"/>
    <s v="-"/>
    <s v="-"/>
    <s v="-"/>
    <m/>
    <n v="1"/>
    <m/>
    <m/>
    <m/>
    <m/>
    <m/>
    <x v="0"/>
    <x v="14"/>
    <x v="0"/>
    <x v="0"/>
    <x v="20"/>
    <x v="0"/>
    <x v="0"/>
    <x v="173"/>
    <x v="1"/>
    <x v="0"/>
    <x v="0"/>
    <x v="9"/>
    <x v="2"/>
    <x v="0"/>
    <x v="10"/>
    <m/>
    <m/>
    <m/>
  </r>
  <r>
    <n v="0"/>
    <s v="320.352"/>
    <s v="FORETS  FRAIS TRIAGE &quot;LA COLLINE&quot;"/>
    <s v="ADA"/>
    <s v="320"/>
    <n v="320"/>
    <s v="352"/>
    <m/>
    <n v="85286.85"/>
    <n v="0"/>
    <n v="85286.85"/>
    <n v="100000"/>
    <n v="0"/>
    <n v="100000"/>
    <n v="99087"/>
    <n v="82000"/>
    <s v="3612"/>
    <s v="01"/>
    <s v="Parts aux communes et assoc intercomm - Entretien des forêts - Frais de triage - Contrat Group. Forest. La Colline"/>
    <n v="85286.85"/>
    <m/>
    <m/>
    <s v="La Colline selon xxx (3x 31K + solde)"/>
    <m/>
    <m/>
    <x v="0"/>
    <x v="14"/>
    <x v="0"/>
    <x v="0"/>
    <x v="26"/>
    <x v="0"/>
    <x v="0"/>
    <x v="174"/>
    <x v="29"/>
    <x v="0"/>
    <x v="0"/>
    <x v="13"/>
    <x v="1"/>
    <x v="0"/>
    <x v="105"/>
    <m/>
    <m/>
    <m/>
  </r>
  <r>
    <n v="0"/>
    <s v="320.352.1"/>
    <s v="FORETS  Participation exploitation Bois-de-Chênes"/>
    <s v="ADA"/>
    <s v="320"/>
    <n v="320"/>
    <s v="352"/>
    <n v="1"/>
    <n v="22217"/>
    <n v="0"/>
    <n v="22217"/>
    <n v="20000"/>
    <n v="0"/>
    <n v="20000"/>
    <n v="0"/>
    <n v="82000"/>
    <s v="3632"/>
    <s v="00"/>
    <s v="Subventions accordées aux communes et associations  - Fondation du Bois de Chênes"/>
    <n v="22217"/>
    <m/>
    <m/>
    <s v="Participation frais entretien (règlement)"/>
    <m/>
    <m/>
    <x v="0"/>
    <x v="14"/>
    <x v="0"/>
    <x v="0"/>
    <x v="26"/>
    <x v="1"/>
    <x v="0"/>
    <x v="175"/>
    <x v="29"/>
    <x v="0"/>
    <x v="0"/>
    <x v="24"/>
    <x v="0"/>
    <x v="0"/>
    <x v="106"/>
    <m/>
    <m/>
    <m/>
  </r>
  <r>
    <n v="0"/>
    <s v="320.380"/>
    <s v="FORETS  ATTRIB FONDS RESERVE BOIS DE CHÊNES"/>
    <s v="ADA"/>
    <s v="320"/>
    <n v="320"/>
    <s v="380"/>
    <m/>
    <n v="0"/>
    <n v="0"/>
    <n v="0"/>
    <n v="0"/>
    <n v="0"/>
    <n v="0"/>
    <n v="0"/>
    <s v="-"/>
    <s v="-"/>
    <s v="-"/>
    <m/>
    <m/>
    <m/>
    <m/>
    <m/>
    <m/>
    <m/>
    <x v="0"/>
    <x v="14"/>
    <x v="0"/>
    <x v="0"/>
    <x v="22"/>
    <x v="0"/>
    <x v="0"/>
    <x v="176"/>
    <x v="1"/>
    <x v="0"/>
    <x v="0"/>
    <x v="9"/>
    <x v="2"/>
    <x v="0"/>
    <x v="10"/>
    <m/>
    <m/>
    <m/>
  </r>
  <r>
    <n v="0"/>
    <s v="320.435"/>
    <s v="FORETS  VENTE BOIS"/>
    <s v="ADA"/>
    <s v="320"/>
    <n v="320"/>
    <s v="435"/>
    <m/>
    <n v="0"/>
    <n v="0"/>
    <n v="0"/>
    <n v="0"/>
    <n v="0"/>
    <n v="0"/>
    <n v="0"/>
    <s v="-"/>
    <s v="-"/>
    <s v="-"/>
    <m/>
    <m/>
    <m/>
    <m/>
    <m/>
    <m/>
    <m/>
    <x v="0"/>
    <x v="14"/>
    <x v="0"/>
    <x v="0"/>
    <x v="12"/>
    <x v="0"/>
    <x v="0"/>
    <x v="177"/>
    <x v="1"/>
    <x v="0"/>
    <x v="0"/>
    <x v="9"/>
    <x v="2"/>
    <x v="0"/>
    <x v="10"/>
    <m/>
    <m/>
    <m/>
  </r>
  <r>
    <n v="0"/>
    <s v="320.465"/>
    <s v="FORETS  PARTICIPATIONS et SUBVENTIONS DE TIERS"/>
    <s v="ADA"/>
    <s v="320"/>
    <n v="320"/>
    <s v="465"/>
    <m/>
    <n v="0"/>
    <n v="-37554.050000000003"/>
    <n v="-37554.050000000003"/>
    <n v="0"/>
    <n v="0"/>
    <n v="0"/>
    <n v="0"/>
    <n v="82000"/>
    <s v="4631"/>
    <s v="00"/>
    <s v="Subvention des cantons et concordats"/>
    <n v="-37554.050000000003"/>
    <m/>
    <m/>
    <s v="DGE / Subventions parc jura vaudois"/>
    <m/>
    <m/>
    <x v="0"/>
    <x v="14"/>
    <x v="0"/>
    <x v="0"/>
    <x v="52"/>
    <x v="0"/>
    <x v="0"/>
    <x v="178"/>
    <x v="29"/>
    <x v="0"/>
    <x v="0"/>
    <x v="43"/>
    <x v="0"/>
    <x v="0"/>
    <x v="56"/>
    <m/>
    <m/>
    <m/>
  </r>
  <r>
    <m/>
    <s v="320.465"/>
    <s v="FORETS  PARTICIPATIONS et SUBVENTIONS DE TIERS"/>
    <s v="ADA"/>
    <s v="320"/>
    <n v="320"/>
    <s v="465"/>
    <m/>
    <m/>
    <m/>
    <n v="0"/>
    <m/>
    <m/>
    <n v="0"/>
    <n v="0"/>
    <n v="82000"/>
    <s v="4632"/>
    <s v="00"/>
    <s v="Subvention des communes et associations intercommunales"/>
    <m/>
    <m/>
    <m/>
    <s v="Parc Jura Vaudois = association 35 communes"/>
    <m/>
    <m/>
    <x v="0"/>
    <x v="14"/>
    <x v="0"/>
    <x v="0"/>
    <x v="52"/>
    <x v="0"/>
    <x v="0"/>
    <x v="178"/>
    <x v="29"/>
    <x v="0"/>
    <x v="0"/>
    <x v="79"/>
    <x v="0"/>
    <x v="0"/>
    <x v="107"/>
    <m/>
    <m/>
    <m/>
  </r>
  <r>
    <n v="0"/>
    <s v="320.480"/>
    <s v="FORETS Prélèvement fonds de reserve BDC (9282.6)"/>
    <s v="ADA"/>
    <s v="320"/>
    <n v="320"/>
    <s v="480"/>
    <m/>
    <n v="0"/>
    <n v="-1"/>
    <n v="-1"/>
    <n v="0"/>
    <n v="0"/>
    <n v="0"/>
    <n v="0"/>
    <s v="99000"/>
    <s v="4894"/>
    <s v="00"/>
    <s v="Prélèvement sur la réserve de politique budgétaire"/>
    <n v="-1"/>
    <m/>
    <m/>
    <m/>
    <m/>
    <m/>
    <x v="0"/>
    <x v="14"/>
    <x v="0"/>
    <x v="0"/>
    <x v="14"/>
    <x v="0"/>
    <x v="0"/>
    <x v="179"/>
    <x v="13"/>
    <x v="0"/>
    <x v="0"/>
    <x v="29"/>
    <x v="0"/>
    <x v="0"/>
    <x v="39"/>
    <m/>
    <m/>
    <m/>
  </r>
  <r>
    <n v="0"/>
    <s v="321.311"/>
    <s v="PATURAGES  ACHATS MACHINE MATERIEL"/>
    <s v="ADA"/>
    <s v="321"/>
    <n v="321"/>
    <s v="311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6"/>
    <x v="0"/>
    <x v="0"/>
    <x v="180"/>
    <x v="1"/>
    <x v="0"/>
    <x v="0"/>
    <x v="9"/>
    <x v="2"/>
    <x v="0"/>
    <x v="10"/>
    <m/>
    <m/>
    <m/>
  </r>
  <r>
    <n v="0"/>
    <s v="321.313"/>
    <s v="PATURAGES  ACHATS MARCHANDISES"/>
    <s v="ADA"/>
    <s v="321"/>
    <n v="321"/>
    <s v="313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53"/>
    <x v="0"/>
    <x v="0"/>
    <x v="181"/>
    <x v="1"/>
    <x v="0"/>
    <x v="0"/>
    <x v="9"/>
    <x v="2"/>
    <x v="0"/>
    <x v="10"/>
    <m/>
    <m/>
    <m/>
  </r>
  <r>
    <n v="0"/>
    <s v="321.314"/>
    <s v="PATURAGES  ENT CHALETS CLÔTURES ROUTES ALPAGES MURETS"/>
    <s v="ADA"/>
    <s v="321"/>
    <n v="321"/>
    <s v="314"/>
    <m/>
    <n v="26616.87"/>
    <n v="0"/>
    <n v="26616.87"/>
    <n v="15000"/>
    <n v="0"/>
    <n v="15000"/>
    <n v="575.75"/>
    <n v="96902"/>
    <s v="3431"/>
    <s v="00"/>
    <s v="Entretien courant | Terrains et Pâturages |"/>
    <n v="26616.87"/>
    <m/>
    <m/>
    <s v="incl. La Colline car pas dans la convention / incl amodiataires"/>
    <m/>
    <m/>
    <x v="0"/>
    <x v="15"/>
    <x v="0"/>
    <x v="0"/>
    <x v="25"/>
    <x v="0"/>
    <x v="0"/>
    <x v="182"/>
    <x v="30"/>
    <x v="0"/>
    <x v="0"/>
    <x v="75"/>
    <x v="0"/>
    <x v="0"/>
    <x v="108"/>
    <m/>
    <m/>
    <m/>
  </r>
  <r>
    <m/>
    <s v="321.314"/>
    <s v="PATURAGES  ENT CHALETS CLÔTURES ROUTES ALPAGES MURETS"/>
    <s v="ADA"/>
    <s v="321"/>
    <n v="321"/>
    <s v="314"/>
    <m/>
    <m/>
    <m/>
    <n v="0"/>
    <m/>
    <m/>
    <n v="0"/>
    <m/>
    <n v="96902"/>
    <s v="3430"/>
    <s v="00"/>
    <s v="Entretien ponctuel | Terrains et Pâturages |"/>
    <m/>
    <m/>
    <m/>
    <m/>
    <m/>
    <m/>
    <x v="0"/>
    <x v="15"/>
    <x v="0"/>
    <x v="0"/>
    <x v="25"/>
    <x v="0"/>
    <x v="0"/>
    <x v="182"/>
    <x v="30"/>
    <x v="0"/>
    <x v="0"/>
    <x v="80"/>
    <x v="0"/>
    <x v="0"/>
    <x v="109"/>
    <m/>
    <m/>
    <m/>
  </r>
  <r>
    <n v="0"/>
    <s v="321.314.1"/>
    <s v="PATURAGES  PART AUX AMODIATAIRES P/ENTRETIEN"/>
    <s v="ADA"/>
    <s v="321"/>
    <n v="321"/>
    <s v="314"/>
    <n v="1"/>
    <n v="10524"/>
    <n v="0"/>
    <n v="10524"/>
    <n v="10500"/>
    <n v="0"/>
    <n v="10500"/>
    <n v="0"/>
    <n v="96902"/>
    <s v="3431"/>
    <s v="00"/>
    <s v="Entretien courant | Terrains et Pâturages |"/>
    <n v="10524"/>
    <m/>
    <m/>
    <m/>
    <m/>
    <m/>
    <x v="0"/>
    <x v="15"/>
    <x v="0"/>
    <x v="0"/>
    <x v="25"/>
    <x v="1"/>
    <x v="0"/>
    <x v="183"/>
    <x v="30"/>
    <x v="0"/>
    <x v="0"/>
    <x v="75"/>
    <x v="0"/>
    <x v="0"/>
    <x v="108"/>
    <m/>
    <m/>
    <m/>
  </r>
  <r>
    <n v="0"/>
    <s v="321.318"/>
    <s v="PATURAGES  ASSURANCES RC ECA"/>
    <s v="ADA"/>
    <s v="321"/>
    <n v="321"/>
    <s v="318"/>
    <m/>
    <n v="3771.1"/>
    <n v="0"/>
    <n v="3771.1"/>
    <n v="3900"/>
    <n v="0"/>
    <n v="3900"/>
    <n v="3823.1"/>
    <n v="96902"/>
    <s v="3439"/>
    <s v="00"/>
    <s v="Autres charges de biens-fonds PF | Terrains et Pâturages | Assurances"/>
    <n v="3771.1"/>
    <m/>
    <m/>
    <m/>
    <m/>
    <m/>
    <x v="0"/>
    <x v="15"/>
    <x v="0"/>
    <x v="0"/>
    <x v="10"/>
    <x v="0"/>
    <x v="0"/>
    <x v="184"/>
    <x v="30"/>
    <x v="0"/>
    <x v="0"/>
    <x v="81"/>
    <x v="0"/>
    <x v="0"/>
    <x v="110"/>
    <m/>
    <m/>
    <m/>
  </r>
  <r>
    <n v="0"/>
    <s v="321.331"/>
    <s v="PATURAGES  AMORTISSEMENT P ADM"/>
    <s v="ADA"/>
    <s v="321"/>
    <n v="321"/>
    <s v="331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31"/>
    <x v="0"/>
    <x v="0"/>
    <x v="185"/>
    <x v="1"/>
    <x v="0"/>
    <x v="0"/>
    <x v="9"/>
    <x v="2"/>
    <x v="0"/>
    <x v="10"/>
    <m/>
    <m/>
    <m/>
  </r>
  <r>
    <n v="0"/>
    <s v="321.332"/>
    <s v="PATURAGES  AMORTISSEMENT SUPPL P ADM"/>
    <s v="ADA"/>
    <s v="321"/>
    <n v="321"/>
    <s v="332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20"/>
    <x v="0"/>
    <x v="0"/>
    <x v="186"/>
    <x v="1"/>
    <x v="0"/>
    <x v="0"/>
    <x v="9"/>
    <x v="2"/>
    <x v="0"/>
    <x v="10"/>
    <m/>
    <m/>
    <m/>
  </r>
  <r>
    <n v="0"/>
    <s v="321.380.1"/>
    <s v="PATURAGES  ATTRB. FONDS DE RESERVE CHALETS, PATURAGES"/>
    <s v="ADA"/>
    <s v="321"/>
    <n v="321"/>
    <s v="380"/>
    <n v="1"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22"/>
    <x v="1"/>
    <x v="0"/>
    <x v="187"/>
    <x v="1"/>
    <x v="0"/>
    <x v="0"/>
    <x v="9"/>
    <x v="2"/>
    <x v="0"/>
    <x v="10"/>
    <m/>
    <m/>
    <m/>
  </r>
  <r>
    <n v="0"/>
    <s v="321.423"/>
    <s v="PATURAGES  LOCATIONS PATURAGES"/>
    <s v="ADA"/>
    <s v="321"/>
    <n v="321"/>
    <s v="423"/>
    <m/>
    <n v="0"/>
    <n v="-40035"/>
    <n v="-40035"/>
    <n v="0"/>
    <n v="-41500"/>
    <n v="-41500"/>
    <n v="0"/>
    <n v="96902"/>
    <s v="4430"/>
    <s v="00"/>
    <s v="Loyers et fermages, immeubles du PF | Terrains et Pâturages |"/>
    <n v="-40035"/>
    <m/>
    <m/>
    <m/>
    <m/>
    <m/>
    <x v="0"/>
    <x v="15"/>
    <x v="0"/>
    <x v="0"/>
    <x v="46"/>
    <x v="0"/>
    <x v="0"/>
    <x v="188"/>
    <x v="30"/>
    <x v="0"/>
    <x v="0"/>
    <x v="76"/>
    <x v="0"/>
    <x v="0"/>
    <x v="111"/>
    <m/>
    <m/>
    <m/>
  </r>
  <r>
    <n v="0"/>
    <s v="321.435"/>
    <s v="PATURAGES  VENTE BOIS &amp; Divers"/>
    <s v="ADA"/>
    <s v="321"/>
    <n v="321"/>
    <s v="435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12"/>
    <x v="0"/>
    <x v="0"/>
    <x v="189"/>
    <x v="1"/>
    <x v="0"/>
    <x v="0"/>
    <x v="9"/>
    <x v="2"/>
    <x v="0"/>
    <x v="10"/>
    <m/>
    <m/>
    <m/>
  </r>
  <r>
    <n v="0"/>
    <s v="321.436"/>
    <s v="PATURAGES  PART AMODIATAIRES ENT ALPAGES, CLÔTURES"/>
    <s v="ADA"/>
    <s v="321"/>
    <n v="321"/>
    <s v="436"/>
    <m/>
    <n v="0"/>
    <n v="-15786"/>
    <n v="-15786"/>
    <n v="0"/>
    <n v="-16000"/>
    <n v="-16000"/>
    <n v="0"/>
    <n v="96902"/>
    <s v="4430"/>
    <s v="00"/>
    <s v="Loyers et fermages, immeubles du PF | Terrains et Pâturages |"/>
    <n v="-15786"/>
    <m/>
    <m/>
    <s v="loyers aux amodiataires"/>
    <m/>
    <m/>
    <x v="0"/>
    <x v="15"/>
    <x v="0"/>
    <x v="0"/>
    <x v="13"/>
    <x v="0"/>
    <x v="0"/>
    <x v="190"/>
    <x v="30"/>
    <x v="0"/>
    <x v="0"/>
    <x v="76"/>
    <x v="0"/>
    <x v="0"/>
    <x v="111"/>
    <m/>
    <m/>
    <m/>
  </r>
  <r>
    <n v="0"/>
    <s v="321.436.1"/>
    <s v="PATURAGES  PART DE TIERS ASSURANCES ECA"/>
    <s v="ADA"/>
    <s v="321"/>
    <n v="321"/>
    <s v="436"/>
    <n v="1"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13"/>
    <x v="1"/>
    <x v="0"/>
    <x v="191"/>
    <x v="1"/>
    <x v="0"/>
    <x v="0"/>
    <x v="9"/>
    <x v="2"/>
    <x v="0"/>
    <x v="10"/>
    <m/>
    <m/>
    <m/>
  </r>
  <r>
    <n v="0"/>
    <s v="321.451"/>
    <s v="PATURAGES  PART DU CANTON, SUBVENTION"/>
    <s v="ADA"/>
    <s v="321"/>
    <n v="321"/>
    <s v="451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32"/>
    <x v="0"/>
    <x v="0"/>
    <x v="192"/>
    <x v="1"/>
    <x v="0"/>
    <x v="0"/>
    <x v="9"/>
    <x v="2"/>
    <x v="0"/>
    <x v="10"/>
    <m/>
    <m/>
    <m/>
  </r>
  <r>
    <n v="0"/>
    <s v="321.465"/>
    <s v="PATURAGES  Subventions et participations de tiers"/>
    <s v="ADA"/>
    <s v="321"/>
    <n v="321"/>
    <s v="465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52"/>
    <x v="0"/>
    <x v="0"/>
    <x v="193"/>
    <x v="1"/>
    <x v="0"/>
    <x v="0"/>
    <x v="9"/>
    <x v="2"/>
    <x v="0"/>
    <x v="10"/>
    <m/>
    <m/>
    <m/>
  </r>
  <r>
    <n v="0"/>
    <s v="321.480"/>
    <s v="PATURAGES  PRELEVEMENT RESERVE"/>
    <s v="ADA"/>
    <s v="321"/>
    <n v="321"/>
    <s v="480"/>
    <m/>
    <n v="0"/>
    <n v="0"/>
    <n v="0"/>
    <n v="0"/>
    <n v="0"/>
    <n v="0"/>
    <n v="0"/>
    <s v="-"/>
    <s v="-"/>
    <s v="-"/>
    <m/>
    <m/>
    <m/>
    <m/>
    <m/>
    <m/>
    <m/>
    <x v="0"/>
    <x v="15"/>
    <x v="0"/>
    <x v="0"/>
    <x v="14"/>
    <x v="0"/>
    <x v="0"/>
    <x v="194"/>
    <x v="1"/>
    <x v="0"/>
    <x v="0"/>
    <x v="9"/>
    <x v="2"/>
    <x v="0"/>
    <x v="10"/>
    <m/>
    <m/>
    <m/>
  </r>
  <r>
    <n v="0"/>
    <s v="3500.301"/>
    <s v="BATI. COMM CONCIERGERIE"/>
    <s v="PCO"/>
    <s v="3500"/>
    <n v="3500"/>
    <s v="301"/>
    <m/>
    <n v="24900.3"/>
    <n v="0"/>
    <n v="24900.3"/>
    <n v="23000"/>
    <n v="0"/>
    <n v="23000"/>
    <n v="15076.95"/>
    <s v="61500"/>
    <s v="3010"/>
    <s v="00"/>
    <s v="Salaire du personnel administratif"/>
    <n v="24900.3"/>
    <n v="0"/>
    <s v="Regroupement en 61500 et 73000"/>
    <s v="Paulo sous les salaires de la voirie - sinon tout seul dans 1 compte"/>
    <m/>
    <m/>
    <x v="0"/>
    <x v="16"/>
    <x v="0"/>
    <x v="0"/>
    <x v="1"/>
    <x v="0"/>
    <x v="0"/>
    <x v="195"/>
    <x v="15"/>
    <x v="0"/>
    <x v="0"/>
    <x v="15"/>
    <x v="0"/>
    <x v="0"/>
    <x v="19"/>
    <m/>
    <m/>
    <m/>
  </r>
  <r>
    <m/>
    <s v="3500.301"/>
    <s v="BATI. COMM CONCIERGERIE"/>
    <s v="PCO"/>
    <s v="3500"/>
    <n v="3500"/>
    <s v="301"/>
    <m/>
    <m/>
    <m/>
    <m/>
    <m/>
    <m/>
    <n v="0"/>
    <m/>
    <s v="61500"/>
    <s v="3010"/>
    <s v="99"/>
    <s v="Remboursements IJM"/>
    <m/>
    <m/>
    <m/>
    <m/>
    <m/>
    <m/>
    <x v="0"/>
    <x v="16"/>
    <x v="0"/>
    <x v="0"/>
    <x v="1"/>
    <x v="0"/>
    <x v="0"/>
    <x v="195"/>
    <x v="15"/>
    <x v="0"/>
    <x v="0"/>
    <x v="15"/>
    <x v="4"/>
    <x v="0"/>
    <x v="20"/>
    <m/>
    <m/>
    <m/>
  </r>
  <r>
    <n v="0"/>
    <s v="3500.303"/>
    <s v="BATI. COMM COTISATIONS AVS AC AF"/>
    <s v="PCO"/>
    <s v="3500"/>
    <n v="3500"/>
    <s v="303"/>
    <m/>
    <n v="2347.75"/>
    <n v="0"/>
    <n v="2347.75"/>
    <n v="2000"/>
    <n v="0"/>
    <n v="2000"/>
    <n v="1426.6"/>
    <s v="61500"/>
    <s v="3050"/>
    <s v="00"/>
    <s v="Cotisations AVS, AI, APG, AC, frais adm"/>
    <n v="2347.75"/>
    <m/>
    <m/>
    <m/>
    <m/>
    <m/>
    <x v="0"/>
    <x v="16"/>
    <x v="0"/>
    <x v="0"/>
    <x v="2"/>
    <x v="0"/>
    <x v="0"/>
    <x v="196"/>
    <x v="15"/>
    <x v="0"/>
    <x v="0"/>
    <x v="1"/>
    <x v="0"/>
    <x v="0"/>
    <x v="2"/>
    <m/>
    <m/>
    <m/>
  </r>
  <r>
    <m/>
    <s v="3500.303"/>
    <s v="BATI. COMM COTISATIONS AVS AC AF"/>
    <s v="PCO"/>
    <s v="3500"/>
    <n v="3500"/>
    <s v="303"/>
    <m/>
    <m/>
    <m/>
    <m/>
    <m/>
    <m/>
    <n v="0"/>
    <m/>
    <s v="61500"/>
    <s v="3054"/>
    <s v="00"/>
    <s v="Cotisations CAF"/>
    <m/>
    <m/>
    <m/>
    <m/>
    <m/>
    <m/>
    <x v="0"/>
    <x v="16"/>
    <x v="0"/>
    <x v="0"/>
    <x v="2"/>
    <x v="0"/>
    <x v="0"/>
    <x v="196"/>
    <x v="15"/>
    <x v="0"/>
    <x v="0"/>
    <x v="2"/>
    <x v="0"/>
    <x v="0"/>
    <x v="3"/>
    <m/>
    <m/>
    <m/>
  </r>
  <r>
    <n v="0"/>
    <s v="3500.304"/>
    <s v="BATI. COMM CAISSE PREVOYANCE LPP"/>
    <s v="PCO"/>
    <s v="3500"/>
    <n v="3500"/>
    <s v="304"/>
    <m/>
    <n v="1046.5"/>
    <n v="0"/>
    <n v="1046.5"/>
    <n v="850"/>
    <n v="0"/>
    <n v="850"/>
    <n v="1426.5"/>
    <s v="61500"/>
    <s v="3052"/>
    <s v="00"/>
    <s v="Cotisations patronales aux caisses de pensions"/>
    <n v="1046.5"/>
    <m/>
    <m/>
    <m/>
    <m/>
    <m/>
    <x v="0"/>
    <x v="16"/>
    <x v="0"/>
    <x v="0"/>
    <x v="8"/>
    <x v="0"/>
    <x v="0"/>
    <x v="197"/>
    <x v="15"/>
    <x v="0"/>
    <x v="0"/>
    <x v="4"/>
    <x v="0"/>
    <x v="0"/>
    <x v="5"/>
    <m/>
    <m/>
    <m/>
  </r>
  <r>
    <n v="0"/>
    <s v="3500.305"/>
    <s v="BATI. COMM ASS ACCIDENTS et MALADIE"/>
    <s v="PCO"/>
    <s v="3500"/>
    <n v="3500"/>
    <s v="305"/>
    <m/>
    <n v="579.70000000000005"/>
    <n v="0"/>
    <n v="579.70000000000005"/>
    <n v="500"/>
    <n v="0"/>
    <n v="500"/>
    <n v="360.5"/>
    <s v="61500"/>
    <s v="3053"/>
    <s v="00"/>
    <s v="Cotisations patronales aux assurance-accidents"/>
    <n v="579.70000000000005"/>
    <m/>
    <m/>
    <m/>
    <m/>
    <m/>
    <x v="0"/>
    <x v="16"/>
    <x v="0"/>
    <x v="0"/>
    <x v="3"/>
    <x v="0"/>
    <x v="0"/>
    <x v="198"/>
    <x v="15"/>
    <x v="0"/>
    <x v="0"/>
    <x v="3"/>
    <x v="0"/>
    <x v="0"/>
    <x v="4"/>
    <m/>
    <m/>
    <m/>
  </r>
  <r>
    <n v="0"/>
    <s v="3500.306"/>
    <s v="BATI. COMMUNAUX  FRAIS DU PERSONNEL"/>
    <s v="PCO"/>
    <s v="3500"/>
    <n v="3500"/>
    <s v="306"/>
    <m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5"/>
    <x v="0"/>
    <x v="0"/>
    <x v="199"/>
    <x v="1"/>
    <x v="0"/>
    <x v="0"/>
    <x v="9"/>
    <x v="2"/>
    <x v="0"/>
    <x v="10"/>
    <m/>
    <m/>
    <m/>
  </r>
  <r>
    <m/>
    <s v="3500.306"/>
    <s v="BATI. COMMUNAUX  FRAIS DU PERSONNEL"/>
    <s v="PCO"/>
    <s v="3500"/>
    <n v="3500"/>
    <s v="306"/>
    <m/>
    <m/>
    <m/>
    <m/>
    <m/>
    <m/>
    <n v="0"/>
    <m/>
    <s v="61500"/>
    <s v="3049"/>
    <s v="00"/>
    <s v="Autres indemnités forfaitaires - natels"/>
    <m/>
    <m/>
    <m/>
    <m/>
    <m/>
    <m/>
    <x v="0"/>
    <x v="16"/>
    <x v="0"/>
    <x v="0"/>
    <x v="5"/>
    <x v="0"/>
    <x v="0"/>
    <x v="199"/>
    <x v="15"/>
    <x v="0"/>
    <x v="0"/>
    <x v="6"/>
    <x v="0"/>
    <x v="0"/>
    <x v="7"/>
    <m/>
    <m/>
    <m/>
  </r>
  <r>
    <m/>
    <s v="3500.306"/>
    <s v="BATI. COMMUNAUX  FRAIS DU PERSONNEL"/>
    <s v="PCO"/>
    <s v="3500"/>
    <n v="3500"/>
    <s v="306"/>
    <m/>
    <m/>
    <m/>
    <m/>
    <m/>
    <m/>
    <n v="0"/>
    <m/>
    <s v="61500"/>
    <s v="3170"/>
    <s v="00"/>
    <s v="Remboursements de frais effectifs km"/>
    <m/>
    <m/>
    <m/>
    <m/>
    <m/>
    <m/>
    <x v="0"/>
    <x v="16"/>
    <x v="0"/>
    <x v="0"/>
    <x v="5"/>
    <x v="0"/>
    <x v="0"/>
    <x v="199"/>
    <x v="15"/>
    <x v="0"/>
    <x v="0"/>
    <x v="7"/>
    <x v="0"/>
    <x v="0"/>
    <x v="8"/>
    <m/>
    <m/>
    <m/>
  </r>
  <r>
    <m/>
    <s v="3500.306"/>
    <s v="BATI. COMMUNAUX  FRAIS DU PERSONNEL"/>
    <s v="PCO"/>
    <s v="3500"/>
    <n v="3500"/>
    <s v="306"/>
    <m/>
    <m/>
    <m/>
    <m/>
    <m/>
    <m/>
    <n v="0"/>
    <m/>
    <s v="61500"/>
    <s v="3090"/>
    <s v="00"/>
    <s v="Formation et perfectionnement"/>
    <m/>
    <m/>
    <m/>
    <m/>
    <m/>
    <m/>
    <x v="0"/>
    <x v="16"/>
    <x v="0"/>
    <x v="0"/>
    <x v="5"/>
    <x v="0"/>
    <x v="0"/>
    <x v="199"/>
    <x v="15"/>
    <x v="0"/>
    <x v="0"/>
    <x v="11"/>
    <x v="0"/>
    <x v="0"/>
    <x v="14"/>
    <m/>
    <m/>
    <m/>
  </r>
  <r>
    <m/>
    <s v="3500.306"/>
    <s v="BATI. COMMUNAUX  FRAIS DU PERSONNEL"/>
    <s v="PCO"/>
    <s v="3500"/>
    <n v="3500"/>
    <s v="306"/>
    <m/>
    <m/>
    <m/>
    <m/>
    <m/>
    <m/>
    <n v="0"/>
    <m/>
    <s v="61500"/>
    <s v="3091"/>
    <s v="00"/>
    <s v="Recrutement"/>
    <m/>
    <m/>
    <m/>
    <m/>
    <m/>
    <m/>
    <x v="0"/>
    <x v="16"/>
    <x v="0"/>
    <x v="0"/>
    <x v="5"/>
    <x v="0"/>
    <x v="0"/>
    <x v="199"/>
    <x v="15"/>
    <x v="0"/>
    <x v="0"/>
    <x v="17"/>
    <x v="0"/>
    <x v="0"/>
    <x v="21"/>
    <m/>
    <m/>
    <m/>
  </r>
  <r>
    <m/>
    <s v="3500.306"/>
    <s v="BATI. COMMUNAUX  FRAIS DU PERSONNEL"/>
    <s v="PCO"/>
    <s v="3500"/>
    <n v="3500"/>
    <s v="306"/>
    <m/>
    <m/>
    <m/>
    <m/>
    <m/>
    <m/>
    <n v="0"/>
    <m/>
    <s v="61500"/>
    <s v="3099"/>
    <s v="00"/>
    <s v="Autres charges du personnel"/>
    <m/>
    <m/>
    <m/>
    <m/>
    <m/>
    <m/>
    <x v="0"/>
    <x v="16"/>
    <x v="0"/>
    <x v="0"/>
    <x v="5"/>
    <x v="0"/>
    <x v="0"/>
    <x v="199"/>
    <x v="15"/>
    <x v="0"/>
    <x v="0"/>
    <x v="5"/>
    <x v="0"/>
    <x v="0"/>
    <x v="6"/>
    <m/>
    <m/>
    <m/>
  </r>
  <r>
    <n v="0"/>
    <s v="3500.311"/>
    <s v="BATI. COMM ACHATS MOBILIER MACH. MATERIEL COMMUNAL"/>
    <s v="PCO"/>
    <s v="3500"/>
    <n v="3500"/>
    <s v="311"/>
    <m/>
    <n v="862.65"/>
    <n v="0"/>
    <n v="862.65"/>
    <n v="1500"/>
    <n v="0"/>
    <n v="1500"/>
    <n v="0"/>
    <s v="02901"/>
    <s v="3101"/>
    <s v="00"/>
    <s v="Matériel d'exploitation, petites fournitures"/>
    <n v="862.65"/>
    <m/>
    <m/>
    <m/>
    <m/>
    <m/>
    <x v="0"/>
    <x v="16"/>
    <x v="0"/>
    <x v="0"/>
    <x v="6"/>
    <x v="0"/>
    <x v="0"/>
    <x v="200"/>
    <x v="31"/>
    <x v="0"/>
    <x v="0"/>
    <x v="30"/>
    <x v="0"/>
    <x v="0"/>
    <x v="40"/>
    <m/>
    <m/>
    <m/>
  </r>
  <r>
    <m/>
    <s v="3500.311"/>
    <s v="BATI. COMM ACHATS MOBILIER MACH. MATERIEL COMMUNAL"/>
    <s v="PCO"/>
    <m/>
    <n v="3500"/>
    <s v="311"/>
    <m/>
    <m/>
    <m/>
    <n v="0"/>
    <m/>
    <m/>
    <n v="0"/>
    <m/>
    <s v="02900"/>
    <s v="3110"/>
    <s v="00"/>
    <s v="Meubles et appareils de bureau"/>
    <m/>
    <m/>
    <m/>
    <m/>
    <m/>
    <m/>
    <x v="0"/>
    <x v="16"/>
    <x v="0"/>
    <x v="0"/>
    <x v="6"/>
    <x v="0"/>
    <x v="0"/>
    <x v="200"/>
    <x v="28"/>
    <x v="0"/>
    <x v="0"/>
    <x v="82"/>
    <x v="0"/>
    <x v="0"/>
    <x v="112"/>
    <m/>
    <m/>
    <m/>
  </r>
  <r>
    <m/>
    <s v="3500.311"/>
    <s v="BATI. COMM ACHATS MOBILIER MACH. MATERIEL COMMUNAL"/>
    <s v="PCO"/>
    <m/>
    <n v="3500"/>
    <s v="311"/>
    <m/>
    <m/>
    <m/>
    <n v="0"/>
    <m/>
    <m/>
    <n v="0"/>
    <m/>
    <s v="02900"/>
    <s v="3111"/>
    <s v="00"/>
    <s v="Machines, appareils et véhicules"/>
    <m/>
    <m/>
    <m/>
    <m/>
    <m/>
    <m/>
    <x v="0"/>
    <x v="16"/>
    <x v="0"/>
    <x v="0"/>
    <x v="6"/>
    <x v="0"/>
    <x v="0"/>
    <x v="200"/>
    <x v="28"/>
    <x v="0"/>
    <x v="0"/>
    <x v="38"/>
    <x v="0"/>
    <x v="0"/>
    <x v="50"/>
    <m/>
    <m/>
    <m/>
  </r>
  <r>
    <n v="0"/>
    <s v="3500.312"/>
    <s v="BATI. COMM ACHATS ELECTRICITE EAU COMMUNAL"/>
    <s v="PCO"/>
    <s v="3500"/>
    <n v="3500"/>
    <s v="312"/>
    <m/>
    <n v="2134.35"/>
    <n v="0"/>
    <n v="2134.35"/>
    <n v="4700"/>
    <n v="0"/>
    <n v="4700"/>
    <n v="269.8"/>
    <s v="02901"/>
    <s v="3120"/>
    <s v="02"/>
    <s v="Frais d'eau"/>
    <n v="2134.35"/>
    <m/>
    <m/>
    <m/>
    <m/>
    <m/>
    <x v="0"/>
    <x v="16"/>
    <x v="0"/>
    <x v="0"/>
    <x v="30"/>
    <x v="0"/>
    <x v="0"/>
    <x v="201"/>
    <x v="31"/>
    <x v="0"/>
    <x v="0"/>
    <x v="39"/>
    <x v="5"/>
    <x v="0"/>
    <x v="113"/>
    <m/>
    <m/>
    <m/>
  </r>
  <r>
    <m/>
    <s v="3500.312"/>
    <s v="BATI. COMM ACHATS ELECTRICITE EAU COMMUNAL"/>
    <s v="PCO"/>
    <s v="3500"/>
    <n v="3500"/>
    <s v="312"/>
    <m/>
    <m/>
    <m/>
    <n v="0"/>
    <m/>
    <m/>
    <n v="0"/>
    <m/>
    <s v="02901"/>
    <s v="3120"/>
    <s v="01"/>
    <s v="Frais d'électricité"/>
    <m/>
    <m/>
    <m/>
    <m/>
    <m/>
    <m/>
    <x v="0"/>
    <x v="16"/>
    <x v="0"/>
    <x v="0"/>
    <x v="30"/>
    <x v="0"/>
    <x v="0"/>
    <x v="201"/>
    <x v="31"/>
    <x v="0"/>
    <x v="0"/>
    <x v="39"/>
    <x v="1"/>
    <x v="0"/>
    <x v="114"/>
    <m/>
    <m/>
    <m/>
  </r>
  <r>
    <n v="0"/>
    <s v="3500.312.1"/>
    <s v="BATI. COMM ACHATS COMBUSTIBLE CAD COMMUNAL (inactif)"/>
    <s v="PCO"/>
    <s v="3500"/>
    <n v="3500"/>
    <s v="312"/>
    <n v="1"/>
    <n v="0"/>
    <n v="0"/>
    <n v="0"/>
    <n v="0"/>
    <n v="0"/>
    <n v="0"/>
    <n v="0"/>
    <s v="02900"/>
    <s v="3120"/>
    <s v="00"/>
    <s v="Frais de chauffage"/>
    <m/>
    <m/>
    <m/>
    <m/>
    <m/>
    <m/>
    <x v="0"/>
    <x v="16"/>
    <x v="0"/>
    <x v="0"/>
    <x v="30"/>
    <x v="1"/>
    <x v="0"/>
    <x v="202"/>
    <x v="28"/>
    <x v="0"/>
    <x v="0"/>
    <x v="39"/>
    <x v="0"/>
    <x v="0"/>
    <x v="115"/>
    <m/>
    <m/>
    <m/>
  </r>
  <r>
    <n v="0"/>
    <s v="3500.313"/>
    <s v="BATI. COMM ACHATS MARCH PROD ENT COMMUNAL"/>
    <s v="PCO"/>
    <s v="3500"/>
    <n v="3500"/>
    <s v="313"/>
    <m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53"/>
    <x v="0"/>
    <x v="0"/>
    <x v="203"/>
    <x v="1"/>
    <x v="0"/>
    <x v="0"/>
    <x v="9"/>
    <x v="2"/>
    <x v="0"/>
    <x v="10"/>
    <m/>
    <m/>
    <m/>
  </r>
  <r>
    <n v="0"/>
    <s v="3500.314"/>
    <s v="BATI. COMM ENTRETIEN COMMUNAL"/>
    <s v="PCO"/>
    <s v="3500"/>
    <n v="3500"/>
    <s v="314"/>
    <m/>
    <n v="1831.75"/>
    <n v="0"/>
    <n v="1831.75"/>
    <n v="11000"/>
    <n v="0"/>
    <n v="11000"/>
    <n v="0"/>
    <s v="02901"/>
    <s v="3101"/>
    <s v="00"/>
    <s v="Matériel d'exploitation, petites fournitures"/>
    <n v="1831.75"/>
    <m/>
    <m/>
    <m/>
    <m/>
    <m/>
    <x v="0"/>
    <x v="16"/>
    <x v="0"/>
    <x v="0"/>
    <x v="25"/>
    <x v="0"/>
    <x v="0"/>
    <x v="204"/>
    <x v="31"/>
    <x v="0"/>
    <x v="0"/>
    <x v="30"/>
    <x v="0"/>
    <x v="0"/>
    <x v="40"/>
    <m/>
    <m/>
    <m/>
  </r>
  <r>
    <n v="0"/>
    <s v="3500.314.1"/>
    <s v="BATI. COMM CONTRATS ENTRETIEN BÂT"/>
    <s v="PCO"/>
    <s v="3500"/>
    <n v="3500"/>
    <s v="314"/>
    <n v="1"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25"/>
    <x v="1"/>
    <x v="0"/>
    <x v="205"/>
    <x v="1"/>
    <x v="0"/>
    <x v="0"/>
    <x v="9"/>
    <x v="2"/>
    <x v="0"/>
    <x v="10"/>
    <m/>
    <m/>
    <m/>
  </r>
  <r>
    <n v="0"/>
    <s v="3500.314.2"/>
    <s v="BATI. COMM DECPTE CHARGES REGIE SPG - VALAUR SA"/>
    <s v="PCO"/>
    <s v="3500"/>
    <n v="3500"/>
    <s v="314"/>
    <n v="2"/>
    <n v="33237.19"/>
    <n v="0"/>
    <n v="33237.19"/>
    <n v="20000"/>
    <n v="0"/>
    <n v="20000"/>
    <n v="0"/>
    <s v="96301"/>
    <s v="3439"/>
    <s v="00"/>
    <s v="Autres charges de biens-fonds PF  | Maison Gothique / Village 3 | Assurances"/>
    <n v="33237.19"/>
    <m/>
    <m/>
    <m/>
    <m/>
    <m/>
    <x v="0"/>
    <x v="16"/>
    <x v="0"/>
    <x v="0"/>
    <x v="25"/>
    <x v="2"/>
    <x v="0"/>
    <x v="206"/>
    <x v="32"/>
    <x v="0"/>
    <x v="0"/>
    <x v="81"/>
    <x v="0"/>
    <x v="0"/>
    <x v="116"/>
    <m/>
    <m/>
    <m/>
  </r>
  <r>
    <m/>
    <s v="3500.314.2"/>
    <s v="BATI. COMM DECPTE CHARGES REGIE SPG - VALAUR SA"/>
    <s v="PCO"/>
    <s v="3500"/>
    <n v="3500"/>
    <s v="314"/>
    <n v="2"/>
    <m/>
    <m/>
    <n v="0"/>
    <m/>
    <m/>
    <n v="0"/>
    <m/>
    <s v="96301"/>
    <s v="3439"/>
    <s v="01"/>
    <s v="Autres charges de biens-fonds PF| Maison Gothique / Village 3 |  Eau"/>
    <m/>
    <m/>
    <m/>
    <m/>
    <m/>
    <m/>
    <x v="0"/>
    <x v="16"/>
    <x v="0"/>
    <x v="0"/>
    <x v="25"/>
    <x v="2"/>
    <x v="0"/>
    <x v="206"/>
    <x v="32"/>
    <x v="0"/>
    <x v="0"/>
    <x v="81"/>
    <x v="1"/>
    <x v="0"/>
    <x v="117"/>
    <m/>
    <m/>
    <m/>
  </r>
  <r>
    <m/>
    <s v="3500.314.2"/>
    <s v="BATI. COMM DECPTE CHARGES REGIE SPG - VALAUR SA"/>
    <s v="PCO"/>
    <s v="3500"/>
    <n v="3500"/>
    <s v="314"/>
    <n v="2"/>
    <m/>
    <m/>
    <n v="0"/>
    <m/>
    <m/>
    <n v="0"/>
    <m/>
    <s v="96301"/>
    <s v="3439"/>
    <s v="02"/>
    <s v="Autres charges de biens-fonds PF | Maison Gothique / Village 3 | Electricité"/>
    <m/>
    <m/>
    <m/>
    <m/>
    <m/>
    <m/>
    <x v="0"/>
    <x v="16"/>
    <x v="0"/>
    <x v="0"/>
    <x v="25"/>
    <x v="2"/>
    <x v="0"/>
    <x v="206"/>
    <x v="32"/>
    <x v="0"/>
    <x v="0"/>
    <x v="81"/>
    <x v="5"/>
    <x v="0"/>
    <x v="118"/>
    <m/>
    <m/>
    <m/>
  </r>
  <r>
    <m/>
    <s v="3500.314.2"/>
    <s v="BATI. COMM DECPTE CHARGES REGIE SPG - VALAUR SA"/>
    <s v="PCO"/>
    <s v="3500"/>
    <n v="3500"/>
    <s v="314"/>
    <n v="2"/>
    <m/>
    <m/>
    <n v="0"/>
    <m/>
    <m/>
    <n v="0"/>
    <m/>
    <s v="96301"/>
    <s v="3439"/>
    <s v="03"/>
    <s v="Autres charges de biens-fonds PF | Maison Gothique / Village 3 | Chauffage"/>
    <m/>
    <m/>
    <m/>
    <m/>
    <m/>
    <m/>
    <x v="0"/>
    <x v="16"/>
    <x v="0"/>
    <x v="0"/>
    <x v="25"/>
    <x v="2"/>
    <x v="0"/>
    <x v="206"/>
    <x v="32"/>
    <x v="0"/>
    <x v="0"/>
    <x v="81"/>
    <x v="9"/>
    <x v="0"/>
    <x v="119"/>
    <m/>
    <m/>
    <m/>
  </r>
  <r>
    <m/>
    <s v="3500.314.2"/>
    <s v="BATI. COMM DECPTE CHARGES REGIE SPG - VALAUR SA"/>
    <s v="PCO"/>
    <s v="3500"/>
    <n v="3500"/>
    <s v="314"/>
    <n v="2"/>
    <m/>
    <m/>
    <n v="0"/>
    <m/>
    <m/>
    <n v="0"/>
    <m/>
    <s v="96301"/>
    <s v="3439"/>
    <s v="04"/>
    <s v="Autres charges de biens-fonds PF | Maison Gothique / Village 3 | Frais de gérance"/>
    <m/>
    <m/>
    <m/>
    <m/>
    <m/>
    <m/>
    <x v="0"/>
    <x v="16"/>
    <x v="0"/>
    <x v="0"/>
    <x v="25"/>
    <x v="2"/>
    <x v="0"/>
    <x v="206"/>
    <x v="32"/>
    <x v="0"/>
    <x v="0"/>
    <x v="81"/>
    <x v="3"/>
    <x v="0"/>
    <x v="120"/>
    <m/>
    <m/>
    <m/>
  </r>
  <r>
    <m/>
    <s v="3500.314.2"/>
    <s v="BATI. COMM DECPTE CHARGES REGIE SPG - VALAUR SA"/>
    <s v="PCO"/>
    <s v="3500"/>
    <n v="3500"/>
    <s v="314"/>
    <n v="2"/>
    <m/>
    <m/>
    <n v="0"/>
    <m/>
    <m/>
    <n v="0"/>
    <m/>
    <s v="96301"/>
    <s v="3439"/>
    <s v="07"/>
    <s v="Autres charges de biens-fonds PF | Maison Gothique / Village 3 | Achat mobilier"/>
    <m/>
    <m/>
    <m/>
    <m/>
    <m/>
    <m/>
    <x v="0"/>
    <x v="16"/>
    <x v="0"/>
    <x v="0"/>
    <x v="25"/>
    <x v="2"/>
    <x v="0"/>
    <x v="206"/>
    <x v="32"/>
    <x v="0"/>
    <x v="0"/>
    <x v="81"/>
    <x v="10"/>
    <x v="0"/>
    <x v="121"/>
    <m/>
    <m/>
    <m/>
  </r>
  <r>
    <m/>
    <s v="3500.314.2"/>
    <s v="BATI. COMM DECPTE CHARGES REGIE SPG - VALAUR SA"/>
    <s v="PCO"/>
    <s v="3500"/>
    <n v="3500"/>
    <s v="314"/>
    <n v="2"/>
    <m/>
    <m/>
    <n v="0"/>
    <m/>
    <m/>
    <n v="0"/>
    <m/>
    <s v="96301"/>
    <s v="3430"/>
    <s v="00"/>
    <s v="Tavaux Ponctuels, biens-fonds PF | Maison Gothique / Village 3 |"/>
    <m/>
    <m/>
    <m/>
    <m/>
    <m/>
    <m/>
    <x v="0"/>
    <x v="16"/>
    <x v="0"/>
    <x v="0"/>
    <x v="25"/>
    <x v="2"/>
    <x v="0"/>
    <x v="206"/>
    <x v="32"/>
    <x v="0"/>
    <x v="0"/>
    <x v="80"/>
    <x v="0"/>
    <x v="0"/>
    <x v="122"/>
    <m/>
    <m/>
    <m/>
  </r>
  <r>
    <m/>
    <s v="3500.314.2"/>
    <s v="BATI. COMM DECPTE CHARGES REGIE SPG - VALAUR SA"/>
    <s v="PCO"/>
    <s v="3500"/>
    <n v="3500"/>
    <s v="314"/>
    <n v="2"/>
    <m/>
    <m/>
    <n v="0"/>
    <m/>
    <m/>
    <n v="0"/>
    <m/>
    <s v="96301"/>
    <s v="3431"/>
    <s v="00"/>
    <s v="Entretien courant, biens-fonds PF | Maison Gothique / Village 3 |"/>
    <m/>
    <m/>
    <m/>
    <m/>
    <m/>
    <m/>
    <x v="0"/>
    <x v="16"/>
    <x v="0"/>
    <x v="0"/>
    <x v="25"/>
    <x v="2"/>
    <x v="0"/>
    <x v="206"/>
    <x v="32"/>
    <x v="0"/>
    <x v="0"/>
    <x v="75"/>
    <x v="0"/>
    <x v="0"/>
    <x v="123"/>
    <m/>
    <m/>
    <m/>
  </r>
  <r>
    <n v="0"/>
    <s v="3500.314.3"/>
    <s v="Stand de Tir - Frais entretien courants (convention)"/>
    <s v="PCO"/>
    <s v="3500"/>
    <n v="3500"/>
    <s v="314"/>
    <n v="3"/>
    <n v="0"/>
    <n v="0"/>
    <n v="0"/>
    <n v="0"/>
    <n v="0"/>
    <n v="0"/>
    <n v="0"/>
    <s v="16100"/>
    <s v="3431"/>
    <s v="00"/>
    <s v="Entretien courant, biens-fonds PF | Sand de tir |"/>
    <m/>
    <m/>
    <m/>
    <m/>
    <m/>
    <m/>
    <x v="0"/>
    <x v="16"/>
    <x v="0"/>
    <x v="0"/>
    <x v="25"/>
    <x v="3"/>
    <x v="0"/>
    <x v="207"/>
    <x v="19"/>
    <x v="0"/>
    <x v="0"/>
    <x v="75"/>
    <x v="0"/>
    <x v="0"/>
    <x v="124"/>
    <m/>
    <m/>
    <m/>
  </r>
  <r>
    <n v="0"/>
    <s v="3500.314.4"/>
    <s v="Stand de tir - Frais entretien ponctuels (convention)"/>
    <s v="PCO"/>
    <s v="3500"/>
    <n v="3500"/>
    <s v="314"/>
    <n v="4"/>
    <n v="0"/>
    <n v="0"/>
    <n v="0"/>
    <n v="0"/>
    <n v="0"/>
    <n v="0"/>
    <n v="0"/>
    <s v="16100"/>
    <s v="3430"/>
    <s v="00"/>
    <s v="Tavaux Ponctuels, biens-fonds PF | Stand de tir |"/>
    <m/>
    <m/>
    <m/>
    <m/>
    <m/>
    <m/>
    <x v="0"/>
    <x v="16"/>
    <x v="0"/>
    <x v="0"/>
    <x v="25"/>
    <x v="6"/>
    <x v="0"/>
    <x v="208"/>
    <x v="19"/>
    <x v="0"/>
    <x v="0"/>
    <x v="80"/>
    <x v="0"/>
    <x v="0"/>
    <x v="125"/>
    <m/>
    <m/>
    <m/>
  </r>
  <r>
    <n v="0"/>
    <s v="3500.315"/>
    <s v="BATI. COMM ENT MOBILIER INST TECH COMMUNAL"/>
    <s v="PCO"/>
    <s v="3500"/>
    <n v="3500"/>
    <s v="315"/>
    <m/>
    <n v="2051.15"/>
    <n v="0"/>
    <n v="2051.15"/>
    <n v="9300"/>
    <n v="0"/>
    <n v="9300"/>
    <n v="8553.57"/>
    <s v="02901"/>
    <s v="3144"/>
    <s v="00"/>
    <s v="Entretien des bâtiments, immeubles PA - Bâtiment communaux"/>
    <n v="2051.15"/>
    <m/>
    <m/>
    <m/>
    <m/>
    <m/>
    <x v="0"/>
    <x v="16"/>
    <x v="0"/>
    <x v="0"/>
    <x v="24"/>
    <x v="0"/>
    <x v="0"/>
    <x v="209"/>
    <x v="31"/>
    <x v="0"/>
    <x v="0"/>
    <x v="83"/>
    <x v="0"/>
    <x v="0"/>
    <x v="126"/>
    <m/>
    <m/>
    <m/>
  </r>
  <r>
    <n v="0"/>
    <s v="3500.315.1"/>
    <s v="BATI. COMM CONTRATS ENT INST TECH COMMUNAL"/>
    <s v="PCO"/>
    <s v="3500"/>
    <n v="3500"/>
    <s v="315"/>
    <n v="1"/>
    <n v="10688.95"/>
    <n v="0"/>
    <n v="10688.95"/>
    <n v="11700"/>
    <n v="0"/>
    <n v="11700"/>
    <n v="10688.95"/>
    <s v="02901"/>
    <s v="3144"/>
    <s v="00"/>
    <s v="Entretien des bâtiments, immeubles PA - Bâtiment communaux"/>
    <n v="10688.95"/>
    <m/>
    <m/>
    <m/>
    <m/>
    <m/>
    <x v="0"/>
    <x v="16"/>
    <x v="0"/>
    <x v="0"/>
    <x v="24"/>
    <x v="1"/>
    <x v="0"/>
    <x v="210"/>
    <x v="31"/>
    <x v="0"/>
    <x v="0"/>
    <x v="83"/>
    <x v="0"/>
    <x v="0"/>
    <x v="126"/>
    <m/>
    <m/>
    <m/>
  </r>
  <r>
    <n v="0"/>
    <s v="3500.318"/>
    <s v="BATI. COMM PREST ASS et HONORAIRES COMMUNAL"/>
    <s v="PCO"/>
    <s v="3500"/>
    <n v="3500"/>
    <s v="318"/>
    <m/>
    <n v="20132.7"/>
    <n v="0"/>
    <n v="20132.7"/>
    <n v="16500"/>
    <n v="0"/>
    <n v="16500"/>
    <n v="17798.849999999999"/>
    <s v="02901"/>
    <s v="3134"/>
    <s v="00"/>
    <s v="Frais Assurances"/>
    <n v="20132.7"/>
    <m/>
    <m/>
    <s v="dans le réel split selon les bâtiments"/>
    <m/>
    <m/>
    <x v="0"/>
    <x v="16"/>
    <x v="0"/>
    <x v="0"/>
    <x v="10"/>
    <x v="0"/>
    <x v="0"/>
    <x v="211"/>
    <x v="31"/>
    <x v="0"/>
    <x v="0"/>
    <x v="21"/>
    <x v="0"/>
    <x v="0"/>
    <x v="104"/>
    <m/>
    <m/>
    <m/>
  </r>
  <r>
    <m/>
    <s v="3500.318"/>
    <s v="BATI. COMM PREST ASS et HONORAIRES COMMUNAL"/>
    <s v="PCO"/>
    <s v="3500"/>
    <n v="3500"/>
    <s v="318"/>
    <m/>
    <m/>
    <m/>
    <n v="0"/>
    <m/>
    <m/>
    <n v="0"/>
    <m/>
    <s v="02900"/>
    <s v="3134"/>
    <s v="00"/>
    <s v="Frais Assurances"/>
    <m/>
    <m/>
    <m/>
    <m/>
    <m/>
    <m/>
    <x v="0"/>
    <x v="16"/>
    <x v="0"/>
    <x v="0"/>
    <x v="10"/>
    <x v="0"/>
    <x v="0"/>
    <x v="211"/>
    <x v="28"/>
    <x v="0"/>
    <x v="0"/>
    <x v="21"/>
    <x v="0"/>
    <x v="0"/>
    <x v="104"/>
    <m/>
    <m/>
    <m/>
  </r>
  <r>
    <n v="0"/>
    <s v="3500.330"/>
    <s v="AMORT PATR FIN COMMUNAL"/>
    <s v="PCO"/>
    <s v="3500"/>
    <n v="3500"/>
    <s v="330"/>
    <m/>
    <n v="446935.2"/>
    <n v="0"/>
    <n v="446935.2"/>
    <n v="0"/>
    <n v="0"/>
    <n v="0"/>
    <n v="0"/>
    <n v="96901"/>
    <n v="3441"/>
    <s v="09"/>
    <s v="Amortissements non planifiés des immobilisations corporelles PF | Terrains |"/>
    <n v="446935.2"/>
    <m/>
    <m/>
    <s v="terrain et patrimoine financier"/>
    <m/>
    <m/>
    <x v="0"/>
    <x v="16"/>
    <x v="0"/>
    <x v="0"/>
    <x v="11"/>
    <x v="0"/>
    <x v="0"/>
    <x v="212"/>
    <x v="27"/>
    <x v="0"/>
    <x v="0"/>
    <x v="84"/>
    <x v="6"/>
    <x v="0"/>
    <x v="127"/>
    <m/>
    <m/>
    <m/>
  </r>
  <r>
    <n v="0"/>
    <s v="3500.331"/>
    <s v="BATI. COMM AMORT PATR ADM COMMUNAL"/>
    <s v="PCO"/>
    <s v="3500"/>
    <n v="3500"/>
    <s v="331"/>
    <m/>
    <n v="0"/>
    <n v="0"/>
    <n v="0"/>
    <n v="0"/>
    <n v="0"/>
    <n v="0"/>
    <n v="0"/>
    <s v="-"/>
    <m/>
    <s v="-"/>
    <m/>
    <m/>
    <m/>
    <m/>
    <m/>
    <m/>
    <m/>
    <x v="0"/>
    <x v="16"/>
    <x v="0"/>
    <x v="0"/>
    <x v="31"/>
    <x v="0"/>
    <x v="0"/>
    <x v="213"/>
    <x v="1"/>
    <x v="0"/>
    <x v="0"/>
    <x v="85"/>
    <x v="2"/>
    <x v="0"/>
    <x v="10"/>
    <m/>
    <m/>
    <m/>
  </r>
  <r>
    <n v="0"/>
    <s v="3500.332"/>
    <s v="BATI. COMM AMORT PATR ADM SUPPL COMMUNAL"/>
    <s v="PCO"/>
    <s v="3500"/>
    <n v="3500"/>
    <s v="332"/>
    <m/>
    <n v="2"/>
    <n v="0"/>
    <n v="2"/>
    <n v="0"/>
    <n v="0"/>
    <n v="0"/>
    <n v="0"/>
    <s v="02901"/>
    <s v="3301"/>
    <s v="09"/>
    <s v="Amortissements non planifiés des immobilisations corporelles PA"/>
    <n v="2"/>
    <m/>
    <m/>
    <m/>
    <m/>
    <m/>
    <x v="0"/>
    <x v="16"/>
    <x v="0"/>
    <x v="0"/>
    <x v="20"/>
    <x v="0"/>
    <x v="0"/>
    <x v="214"/>
    <x v="31"/>
    <x v="0"/>
    <x v="0"/>
    <x v="42"/>
    <x v="6"/>
    <x v="0"/>
    <x v="32"/>
    <m/>
    <m/>
    <m/>
  </r>
  <r>
    <n v="0"/>
    <s v="3500.380"/>
    <s v="BATI. COMM ATTRIB FONDS RESERVE BOIS-CHENES (9282.6)"/>
    <s v="PCO"/>
    <s v="3500"/>
    <n v="3500"/>
    <s v="380"/>
    <m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22"/>
    <x v="0"/>
    <x v="0"/>
    <x v="215"/>
    <x v="1"/>
    <x v="0"/>
    <x v="0"/>
    <x v="9"/>
    <x v="2"/>
    <x v="0"/>
    <x v="10"/>
    <m/>
    <m/>
    <m/>
  </r>
  <r>
    <n v="0"/>
    <s v="3500.380.1"/>
    <s v="BATI. COMM ATTRIB FONDS RENOVATION (9281.6)"/>
    <s v="PCO"/>
    <s v="3500"/>
    <n v="3500"/>
    <s v="380"/>
    <n v="1"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22"/>
    <x v="1"/>
    <x v="0"/>
    <x v="216"/>
    <x v="1"/>
    <x v="0"/>
    <x v="0"/>
    <x v="9"/>
    <x v="2"/>
    <x v="0"/>
    <x v="10"/>
    <m/>
    <m/>
    <m/>
  </r>
  <r>
    <n v="0"/>
    <s v="3500.380.2"/>
    <s v="BATI. COMM ATTRIBUT FONDS RESERVE INFRASTRUCTURES (9282.8)"/>
    <s v="PCO"/>
    <s v="3500"/>
    <n v="3500"/>
    <s v="380"/>
    <n v="2"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22"/>
    <x v="2"/>
    <x v="0"/>
    <x v="217"/>
    <x v="1"/>
    <x v="0"/>
    <x v="0"/>
    <x v="9"/>
    <x v="2"/>
    <x v="0"/>
    <x v="10"/>
    <m/>
    <m/>
    <m/>
  </r>
  <r>
    <n v="0"/>
    <s v="3500.390.1"/>
    <s v="BATI. COMM IMPUTATIONS INT SALAIRES"/>
    <s v="PCO"/>
    <s v="3500"/>
    <n v="3500"/>
    <s v="390"/>
    <n v="1"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7"/>
    <x v="1"/>
    <x v="0"/>
    <x v="218"/>
    <x v="1"/>
    <x v="0"/>
    <x v="0"/>
    <x v="9"/>
    <x v="2"/>
    <x v="0"/>
    <x v="10"/>
    <m/>
    <m/>
    <m/>
  </r>
  <r>
    <n v="0"/>
    <s v="3500.427"/>
    <s v="BATI. COMM LOYERS COMMUNAUX"/>
    <s v="PCO"/>
    <s v="3500"/>
    <n v="3500"/>
    <s v="427"/>
    <m/>
    <n v="0"/>
    <n v="-34588"/>
    <n v="-34588"/>
    <n v="0"/>
    <n v="-32000"/>
    <n v="-32000"/>
    <n v="-31908"/>
    <s v="02900"/>
    <s v="4470"/>
    <s v="00"/>
    <s v="Loyers et fermages des biens-fonds PA - Bât non mentionnés ailleurs | Salle du 700e / Anc. Station pompage che. De la Source / locaux chaufferie du CAD |"/>
    <n v="-15088"/>
    <m/>
    <s v="OUI"/>
    <s v="Genolier CAD SA , Location locaux chauffreie CAD 2025"/>
    <m/>
    <m/>
    <x v="0"/>
    <x v="16"/>
    <x v="0"/>
    <x v="0"/>
    <x v="49"/>
    <x v="0"/>
    <x v="0"/>
    <x v="219"/>
    <x v="28"/>
    <x v="0"/>
    <x v="0"/>
    <x v="86"/>
    <x v="0"/>
    <x v="0"/>
    <x v="128"/>
    <m/>
    <m/>
    <m/>
  </r>
  <r>
    <m/>
    <s v="3500.427"/>
    <s v="BATI. COMM LOYERS COMMUNAUX"/>
    <s v="PCO"/>
    <s v="3500"/>
    <n v="3500"/>
    <s v="427"/>
    <m/>
    <m/>
    <m/>
    <n v="0"/>
    <m/>
    <m/>
    <n v="0"/>
    <m/>
    <s v="-"/>
    <s v="-"/>
    <s v="-"/>
    <m/>
    <m/>
    <m/>
    <m/>
    <s v="EDI et Mac -&gt; à transférer chez Valaur ?"/>
    <m/>
    <m/>
    <x v="0"/>
    <x v="16"/>
    <x v="0"/>
    <x v="0"/>
    <x v="49"/>
    <x v="0"/>
    <x v="0"/>
    <x v="219"/>
    <x v="1"/>
    <x v="0"/>
    <x v="0"/>
    <x v="9"/>
    <x v="2"/>
    <x v="0"/>
    <x v="10"/>
    <m/>
    <m/>
    <m/>
  </r>
  <r>
    <m/>
    <s v="3500.427"/>
    <s v="BATI. COMM LOYERS COMMUNAUX"/>
    <s v="PCO"/>
    <s v="3500"/>
    <n v="3500"/>
    <s v="427"/>
    <m/>
    <m/>
    <m/>
    <n v="0"/>
    <m/>
    <m/>
    <n v="0"/>
    <m/>
    <s v="35000"/>
    <s v="4470"/>
    <s v="00"/>
    <s v="Loyers et fermages des biens-fonds PA - antenne Salt"/>
    <n v="-9000"/>
    <m/>
    <m/>
    <s v="Salt Mobile SA, R. 1900009726 du 31.01.2025"/>
    <m/>
    <m/>
    <x v="0"/>
    <x v="16"/>
    <x v="0"/>
    <x v="0"/>
    <x v="49"/>
    <x v="0"/>
    <x v="0"/>
    <x v="219"/>
    <x v="33"/>
    <x v="0"/>
    <x v="0"/>
    <x v="86"/>
    <x v="0"/>
    <x v="0"/>
    <x v="129"/>
    <m/>
    <m/>
    <m/>
  </r>
  <r>
    <m/>
    <s v="3500.427"/>
    <s v="BATI. COMM LOYERS COMMUNAUX"/>
    <s v="PCO"/>
    <s v="3500"/>
    <n v="3500"/>
    <s v="427"/>
    <m/>
    <m/>
    <m/>
    <n v="0"/>
    <m/>
    <m/>
    <n v="0"/>
    <m/>
    <s v="35000"/>
    <s v="4470"/>
    <s v="00"/>
    <s v="Loyers et fermages des biens-fonds PA - antenne Swisscom"/>
    <n v="-10500"/>
    <m/>
    <m/>
    <s v="Swisscom, Loyer 2025, antenne clocher église Parc. 52"/>
    <m/>
    <m/>
    <x v="0"/>
    <x v="16"/>
    <x v="0"/>
    <x v="0"/>
    <x v="49"/>
    <x v="0"/>
    <x v="0"/>
    <x v="219"/>
    <x v="33"/>
    <x v="0"/>
    <x v="0"/>
    <x v="86"/>
    <x v="0"/>
    <x v="0"/>
    <x v="130"/>
    <m/>
    <m/>
    <m/>
  </r>
  <r>
    <m/>
    <s v="3500.427"/>
    <s v="BATI. COMM LOYERS COMMUNAUX"/>
    <s v="PCO"/>
    <s v="3500"/>
    <n v="3500"/>
    <s v="427"/>
    <m/>
    <m/>
    <m/>
    <n v="0"/>
    <m/>
    <m/>
    <n v="0"/>
    <m/>
    <s v="61510"/>
    <s v="4470"/>
    <s v="00"/>
    <s v="Loyers et fermages des biens-fonds PA - parkings"/>
    <m/>
    <m/>
    <m/>
    <s v="Locations annuelles place de parking"/>
    <m/>
    <m/>
    <x v="0"/>
    <x v="16"/>
    <x v="0"/>
    <x v="0"/>
    <x v="49"/>
    <x v="0"/>
    <x v="0"/>
    <x v="219"/>
    <x v="34"/>
    <x v="0"/>
    <x v="0"/>
    <x v="86"/>
    <x v="0"/>
    <x v="0"/>
    <x v="131"/>
    <m/>
    <m/>
    <m/>
  </r>
  <r>
    <m/>
    <s v="3500.427"/>
    <s v="BATI. COMM LOYERS COMMUNAUX"/>
    <s v="PCO"/>
    <s v="3500"/>
    <n v="3500"/>
    <s v="427"/>
    <m/>
    <m/>
    <m/>
    <n v="0"/>
    <m/>
    <m/>
    <n v="0"/>
    <m/>
    <s v="02900"/>
    <s v="4470"/>
    <s v="00"/>
    <s v="Loyers et fermages des biens-fonds PA - Bât non mentionnés ailleurs | Salle du 700e / Anc. Station pompage che. De la Source / locaux chaufferie du CAD |"/>
    <m/>
    <m/>
    <m/>
    <s v="von Wyl Adrian, Bail à loyer : ancienne station de pompage-Ch de la source"/>
    <m/>
    <m/>
    <x v="0"/>
    <x v="16"/>
    <x v="0"/>
    <x v="0"/>
    <x v="49"/>
    <x v="0"/>
    <x v="0"/>
    <x v="219"/>
    <x v="28"/>
    <x v="0"/>
    <x v="0"/>
    <x v="86"/>
    <x v="0"/>
    <x v="0"/>
    <x v="128"/>
    <m/>
    <m/>
    <m/>
  </r>
  <r>
    <n v="0"/>
    <s v="3500.427.1"/>
    <s v="BATI. COMM LOYERS BOIS-DE-CHENE PATR ADM"/>
    <s v="PCO"/>
    <s v="3500"/>
    <n v="3500"/>
    <s v="427"/>
    <n v="1"/>
    <n v="0"/>
    <n v="0"/>
    <n v="0"/>
    <n v="0"/>
    <n v="0"/>
    <n v="0"/>
    <n v="0"/>
    <s v="-"/>
    <s v="-"/>
    <s v="-"/>
    <m/>
    <m/>
    <m/>
    <m/>
    <m/>
    <m/>
    <m/>
    <x v="0"/>
    <x v="16"/>
    <x v="0"/>
    <x v="0"/>
    <x v="49"/>
    <x v="1"/>
    <x v="0"/>
    <x v="220"/>
    <x v="1"/>
    <x v="0"/>
    <x v="0"/>
    <x v="9"/>
    <x v="2"/>
    <x v="0"/>
    <x v="10"/>
    <m/>
    <m/>
    <m/>
  </r>
  <r>
    <n v="0"/>
    <s v="3500.427.2"/>
    <s v="BATI. COMM DECPTE LOYERS REGIE SPG - VALAUR SA"/>
    <s v="PCO"/>
    <s v="3500"/>
    <n v="3500"/>
    <s v="427"/>
    <n v="2"/>
    <n v="0"/>
    <n v="-85920.7"/>
    <n v="-85920.7"/>
    <n v="0"/>
    <n v="-71800"/>
    <n v="-71800"/>
    <n v="0"/>
    <s v="96301"/>
    <s v="4430"/>
    <s v="00"/>
    <s v="Loyers et fermages, immeubles du PF | Maison Gothique / Village 3 |"/>
    <n v="-85920.7"/>
    <m/>
    <m/>
    <m/>
    <m/>
    <m/>
    <x v="0"/>
    <x v="16"/>
    <x v="0"/>
    <x v="0"/>
    <x v="49"/>
    <x v="2"/>
    <x v="0"/>
    <x v="221"/>
    <x v="32"/>
    <x v="0"/>
    <x v="0"/>
    <x v="76"/>
    <x v="0"/>
    <x v="0"/>
    <x v="132"/>
    <m/>
    <m/>
    <m/>
  </r>
  <r>
    <n v="0"/>
    <s v="3500.436"/>
    <s v="BATI. COMM PART DE TIERS"/>
    <s v="PCO"/>
    <s v="3500"/>
    <n v="3500"/>
    <s v="436"/>
    <m/>
    <n v="0"/>
    <n v="-6520.7"/>
    <n v="-6520.7"/>
    <n v="0"/>
    <n v="-5500"/>
    <n v="-5500"/>
    <n v="-5754.5"/>
    <s v="02903"/>
    <s v="4612"/>
    <s v="00"/>
    <s v="Dédommagement des communes et associations intercommunales - AISGE - Vidéosurveillance"/>
    <n v="-5344.5"/>
    <n v="-5344.5"/>
    <m/>
    <s v="AISGE - Vidéosurveillance"/>
    <m/>
    <m/>
    <x v="0"/>
    <x v="16"/>
    <x v="0"/>
    <x v="0"/>
    <x v="13"/>
    <x v="0"/>
    <x v="0"/>
    <x v="222"/>
    <x v="35"/>
    <x v="0"/>
    <x v="0"/>
    <x v="35"/>
    <x v="0"/>
    <x v="0"/>
    <x v="133"/>
    <m/>
    <m/>
    <m/>
  </r>
  <r>
    <m/>
    <s v="3500.436"/>
    <s v="BATI. COMM PART DE TIERS"/>
    <s v="PCO"/>
    <s v="3500"/>
    <n v="3500"/>
    <s v="436"/>
    <m/>
    <m/>
    <m/>
    <n v="0"/>
    <m/>
    <m/>
    <n v="0"/>
    <m/>
    <s v="96303"/>
    <s v="4432"/>
    <s v="00"/>
    <s v="Paiement pour utilisation des immeubles PF | Bât Auberge communale / Village 9 |"/>
    <n v="-1176.1999999999998"/>
    <m/>
    <m/>
    <s v="jetons buanderie"/>
    <m/>
    <m/>
    <x v="0"/>
    <x v="16"/>
    <x v="0"/>
    <x v="0"/>
    <x v="13"/>
    <x v="0"/>
    <x v="0"/>
    <x v="222"/>
    <x v="36"/>
    <x v="0"/>
    <x v="0"/>
    <x v="87"/>
    <x v="0"/>
    <x v="0"/>
    <x v="134"/>
    <m/>
    <m/>
    <m/>
  </r>
  <r>
    <m/>
    <s v="3500.436"/>
    <s v="BATI. COMM PART DE TIERS"/>
    <s v="PCO"/>
    <s v="3500"/>
    <n v="3500"/>
    <s v="436"/>
    <m/>
    <m/>
    <m/>
    <n v="0"/>
    <m/>
    <m/>
    <n v="0"/>
    <m/>
    <s v="16200"/>
    <s v="4499"/>
    <s v="00"/>
    <s v="Autres revenus financiers - locations du générateur"/>
    <m/>
    <m/>
    <m/>
    <m/>
    <m/>
    <m/>
    <x v="0"/>
    <x v="16"/>
    <x v="0"/>
    <x v="0"/>
    <x v="13"/>
    <x v="0"/>
    <x v="0"/>
    <x v="222"/>
    <x v="37"/>
    <x v="0"/>
    <x v="0"/>
    <x v="88"/>
    <x v="0"/>
    <x v="0"/>
    <x v="135"/>
    <m/>
    <m/>
    <m/>
  </r>
  <r>
    <n v="0"/>
    <s v="3500.452.3"/>
    <s v="Stand de Tir - Refacuration (convention)"/>
    <s v="PCO"/>
    <s v="3500"/>
    <n v="3500"/>
    <s v="452"/>
    <n v="3"/>
    <n v="0"/>
    <n v="0"/>
    <n v="0"/>
    <n v="0"/>
    <n v="0"/>
    <n v="0"/>
    <n v="-40000"/>
    <s v="16100"/>
    <s v="4439"/>
    <s v="04"/>
    <s v="Autres produits des immeubles PF |stand de tir |"/>
    <m/>
    <m/>
    <m/>
    <s v="Stand de Tir - Refacuration (convention)"/>
    <m/>
    <m/>
    <x v="0"/>
    <x v="16"/>
    <x v="0"/>
    <x v="0"/>
    <x v="51"/>
    <x v="3"/>
    <x v="0"/>
    <x v="223"/>
    <x v="19"/>
    <x v="0"/>
    <x v="0"/>
    <x v="89"/>
    <x v="3"/>
    <x v="0"/>
    <x v="136"/>
    <m/>
    <m/>
    <m/>
  </r>
  <r>
    <n v="0"/>
    <s v="3500.480"/>
    <s v="BATI. COMM PRELEVEMENT FONDS RESERVE INFRASTRUCTURES (9282.8)"/>
    <s v="PCO"/>
    <s v="3500"/>
    <n v="3500"/>
    <s v="480"/>
    <m/>
    <n v="0"/>
    <n v="-446937.2"/>
    <n v="-446937.2"/>
    <n v="0"/>
    <n v="0"/>
    <n v="0"/>
    <n v="0"/>
    <s v="99000"/>
    <s v="4894"/>
    <s v="00"/>
    <s v="Prélèvement sur la réserve de politique budgétaire"/>
    <n v="-446937.2"/>
    <m/>
    <m/>
    <m/>
    <m/>
    <m/>
    <x v="0"/>
    <x v="16"/>
    <x v="0"/>
    <x v="0"/>
    <x v="14"/>
    <x v="0"/>
    <x v="0"/>
    <x v="224"/>
    <x v="13"/>
    <x v="0"/>
    <x v="0"/>
    <x v="29"/>
    <x v="0"/>
    <x v="0"/>
    <x v="39"/>
    <m/>
    <m/>
    <m/>
  </r>
  <r>
    <n v="0"/>
    <s v="3501.311"/>
    <s v="ANCIENNE POSTE  ACHATS MOBILIER MACH. MATERIEL COMMUNAL"/>
    <s v="PCO"/>
    <s v="3501"/>
    <n v="3501"/>
    <s v="311"/>
    <m/>
    <n v="0"/>
    <n v="0"/>
    <n v="0"/>
    <n v="9000"/>
    <n v="0"/>
    <n v="9000"/>
    <n v="329"/>
    <s v="96302"/>
    <s v="3439"/>
    <s v="07"/>
    <s v="Autres charges de biens-fonds PF  | Bât Epicerie / Cézille 2 | Achat mobilier"/>
    <m/>
    <m/>
    <m/>
    <m/>
    <m/>
    <m/>
    <x v="0"/>
    <x v="17"/>
    <x v="0"/>
    <x v="0"/>
    <x v="6"/>
    <x v="0"/>
    <x v="0"/>
    <x v="225"/>
    <x v="38"/>
    <x v="0"/>
    <x v="0"/>
    <x v="81"/>
    <x v="10"/>
    <x v="0"/>
    <x v="137"/>
    <m/>
    <m/>
    <m/>
  </r>
  <r>
    <n v="0"/>
    <s v="3501.312"/>
    <s v="ANCIENNE POSTE  ACHATS ELECTRICITE COMMUNAL"/>
    <s v="PCO"/>
    <s v="3501"/>
    <n v="3501"/>
    <s v="312"/>
    <m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30"/>
    <x v="0"/>
    <x v="0"/>
    <x v="226"/>
    <x v="1"/>
    <x v="0"/>
    <x v="0"/>
    <x v="9"/>
    <x v="2"/>
    <x v="0"/>
    <x v="10"/>
    <m/>
    <m/>
    <m/>
  </r>
  <r>
    <n v="0"/>
    <s v="3501.312.1"/>
    <s v="ANCIENNE POSTE  ACHATS COMBUSTIBLE COMMUNAL"/>
    <s v="PCO"/>
    <s v="3501"/>
    <n v="3501"/>
    <s v="312"/>
    <n v="1"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30"/>
    <x v="1"/>
    <x v="0"/>
    <x v="227"/>
    <x v="1"/>
    <x v="0"/>
    <x v="0"/>
    <x v="9"/>
    <x v="2"/>
    <x v="0"/>
    <x v="10"/>
    <m/>
    <m/>
    <m/>
  </r>
  <r>
    <n v="0"/>
    <s v="3501.313"/>
    <s v="ANCIENNE POSTE  ACHATS MARCH PROD ENT"/>
    <s v="PCO"/>
    <s v="3501"/>
    <n v="3501"/>
    <s v="313"/>
    <m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53"/>
    <x v="0"/>
    <x v="0"/>
    <x v="228"/>
    <x v="1"/>
    <x v="0"/>
    <x v="0"/>
    <x v="9"/>
    <x v="2"/>
    <x v="0"/>
    <x v="10"/>
    <m/>
    <m/>
    <m/>
  </r>
  <r>
    <n v="0"/>
    <s v="3501.314"/>
    <s v="ANCIENNE POSTE  ENTRETIEN COMMUNAL"/>
    <s v="PCO"/>
    <s v="3501"/>
    <n v="3501"/>
    <s v="314"/>
    <m/>
    <n v="0"/>
    <n v="0"/>
    <n v="0"/>
    <n v="1000"/>
    <n v="0"/>
    <n v="1000"/>
    <n v="0"/>
    <s v="96302"/>
    <s v="3430"/>
    <s v="00"/>
    <s v="Tavaux Ponctuels, biens-fonds PF | Bât Epicerie / Cézille 2 |"/>
    <m/>
    <m/>
    <m/>
    <m/>
    <m/>
    <m/>
    <x v="0"/>
    <x v="17"/>
    <x v="0"/>
    <x v="0"/>
    <x v="25"/>
    <x v="0"/>
    <x v="0"/>
    <x v="229"/>
    <x v="38"/>
    <x v="0"/>
    <x v="0"/>
    <x v="80"/>
    <x v="0"/>
    <x v="0"/>
    <x v="138"/>
    <m/>
    <m/>
    <m/>
  </r>
  <r>
    <n v="0"/>
    <s v="3501.314.1"/>
    <s v="ANCIENNE POSTE  CONTRATS ENTRETIEN BÂT"/>
    <s v="PCO"/>
    <s v="3501"/>
    <n v="3501"/>
    <s v="314"/>
    <n v="1"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25"/>
    <x v="1"/>
    <x v="0"/>
    <x v="230"/>
    <x v="1"/>
    <x v="0"/>
    <x v="0"/>
    <x v="9"/>
    <x v="2"/>
    <x v="0"/>
    <x v="10"/>
    <m/>
    <m/>
    <m/>
  </r>
  <r>
    <n v="0"/>
    <s v="3501.314.2"/>
    <s v="ANCIENNE POSTE  DECPTE CHARGES REGIE SPG - VALAUR SA"/>
    <s v="PCO"/>
    <s v="3501"/>
    <n v="3501"/>
    <s v="314"/>
    <n v="2"/>
    <n v="9721.11"/>
    <n v="0"/>
    <n v="9721.11"/>
    <n v="12000"/>
    <n v="0"/>
    <n v="12000"/>
    <n v="0"/>
    <s v="96302"/>
    <s v="3431"/>
    <s v="00"/>
    <s v="Entretien courant, biens-fonds PF Bât | Bât Epicerie / Cézille 2 |"/>
    <n v="9721.11"/>
    <n v="10000"/>
    <m/>
    <m/>
    <m/>
    <m/>
    <x v="0"/>
    <x v="17"/>
    <x v="0"/>
    <x v="0"/>
    <x v="25"/>
    <x v="2"/>
    <x v="0"/>
    <x v="231"/>
    <x v="38"/>
    <x v="0"/>
    <x v="0"/>
    <x v="75"/>
    <x v="0"/>
    <x v="0"/>
    <x v="139"/>
    <m/>
    <m/>
    <m/>
  </r>
  <r>
    <m/>
    <s v="3501.314.2"/>
    <s v="ANCIENNE POSTE  DECPTE CHARGES REGIE SPG - VALAUR SA"/>
    <s v="PCO"/>
    <s v="3501"/>
    <n v="3501"/>
    <s v="314"/>
    <n v="2"/>
    <m/>
    <m/>
    <n v="0"/>
    <m/>
    <m/>
    <n v="0"/>
    <m/>
    <s v="96302"/>
    <s v="3439"/>
    <s v="00"/>
    <s v="Autres charges de biens-fonds PF | Bât Epicerie / Cézille 2 | Assurances"/>
    <m/>
    <m/>
    <m/>
    <m/>
    <m/>
    <m/>
    <x v="0"/>
    <x v="17"/>
    <x v="0"/>
    <x v="0"/>
    <x v="25"/>
    <x v="2"/>
    <x v="0"/>
    <x v="231"/>
    <x v="38"/>
    <x v="0"/>
    <x v="0"/>
    <x v="81"/>
    <x v="0"/>
    <x v="0"/>
    <x v="140"/>
    <m/>
    <m/>
    <m/>
  </r>
  <r>
    <m/>
    <s v="3501.314.2"/>
    <s v="ANCIENNE POSTE  DECPTE CHARGES REGIE SPG - VALAUR SA"/>
    <s v="PCO"/>
    <s v="3501"/>
    <n v="3501"/>
    <s v="314"/>
    <n v="2"/>
    <m/>
    <m/>
    <n v="0"/>
    <m/>
    <m/>
    <n v="0"/>
    <m/>
    <s v="96302"/>
    <s v="3439"/>
    <s v="01"/>
    <s v="Autres charges de biens-fonds PF | Bât Epicerie / Cézille 2 | Eau"/>
    <m/>
    <m/>
    <m/>
    <m/>
    <m/>
    <m/>
    <x v="0"/>
    <x v="17"/>
    <x v="0"/>
    <x v="0"/>
    <x v="25"/>
    <x v="2"/>
    <x v="0"/>
    <x v="231"/>
    <x v="38"/>
    <x v="0"/>
    <x v="0"/>
    <x v="81"/>
    <x v="1"/>
    <x v="0"/>
    <x v="141"/>
    <m/>
    <m/>
    <m/>
  </r>
  <r>
    <m/>
    <s v="3501.314.2"/>
    <s v="ANCIENNE POSTE  DECPTE CHARGES REGIE SPG - VALAUR SA"/>
    <s v="PCO"/>
    <s v="3501"/>
    <n v="3501"/>
    <s v="314"/>
    <n v="2"/>
    <m/>
    <m/>
    <n v="0"/>
    <m/>
    <m/>
    <n v="0"/>
    <m/>
    <s v="96302"/>
    <s v="3439"/>
    <s v="02"/>
    <s v="Autres charges de biens-fonds PF | Bât Epicerie / Cézille 2 | Electricité"/>
    <m/>
    <m/>
    <m/>
    <m/>
    <m/>
    <m/>
    <x v="0"/>
    <x v="17"/>
    <x v="0"/>
    <x v="0"/>
    <x v="25"/>
    <x v="2"/>
    <x v="0"/>
    <x v="231"/>
    <x v="38"/>
    <x v="0"/>
    <x v="0"/>
    <x v="81"/>
    <x v="5"/>
    <x v="0"/>
    <x v="142"/>
    <m/>
    <m/>
    <m/>
  </r>
  <r>
    <m/>
    <s v="3501.314.2"/>
    <s v="ANCIENNE POSTE  DECPTE CHARGES REGIE SPG - VALAUR SA"/>
    <s v="PCO"/>
    <s v="3501"/>
    <n v="3501"/>
    <s v="314"/>
    <n v="2"/>
    <m/>
    <m/>
    <n v="0"/>
    <m/>
    <m/>
    <n v="0"/>
    <m/>
    <s v="96302"/>
    <s v="3439"/>
    <s v="03"/>
    <s v="Autres charges de biens-fonds PF | Bât Epicerie / Cézille 2 | Chauffage"/>
    <m/>
    <m/>
    <m/>
    <m/>
    <m/>
    <m/>
    <x v="0"/>
    <x v="17"/>
    <x v="0"/>
    <x v="0"/>
    <x v="25"/>
    <x v="2"/>
    <x v="0"/>
    <x v="231"/>
    <x v="38"/>
    <x v="0"/>
    <x v="0"/>
    <x v="81"/>
    <x v="9"/>
    <x v="0"/>
    <x v="143"/>
    <m/>
    <m/>
    <m/>
  </r>
  <r>
    <m/>
    <s v="3501.314.2"/>
    <s v="ANCIENNE POSTE  DECPTE CHARGES REGIE SPG - VALAUR SA"/>
    <s v="PCO"/>
    <s v="3501"/>
    <n v="3501"/>
    <s v="314"/>
    <n v="2"/>
    <m/>
    <m/>
    <n v="0"/>
    <m/>
    <m/>
    <n v="0"/>
    <m/>
    <s v="96302"/>
    <s v="3439"/>
    <s v="04"/>
    <s v="Autres charges de biens-fonds PF | Bât Epicerie / Cézille 2 | Frais de gérance"/>
    <m/>
    <m/>
    <m/>
    <m/>
    <m/>
    <m/>
    <x v="0"/>
    <x v="17"/>
    <x v="0"/>
    <x v="0"/>
    <x v="25"/>
    <x v="2"/>
    <x v="0"/>
    <x v="231"/>
    <x v="38"/>
    <x v="0"/>
    <x v="0"/>
    <x v="81"/>
    <x v="3"/>
    <x v="0"/>
    <x v="144"/>
    <m/>
    <m/>
    <m/>
  </r>
  <r>
    <m/>
    <s v="3501.314.2"/>
    <s v="ANCIENNE POSTE  DECPTE CHARGES REGIE SPG - VALAUR SA"/>
    <s v="PCO"/>
    <s v="3501"/>
    <n v="3501"/>
    <s v="314"/>
    <n v="2"/>
    <m/>
    <m/>
    <n v="0"/>
    <m/>
    <m/>
    <n v="0"/>
    <m/>
    <s v="96302"/>
    <s v="3430"/>
    <s v="00"/>
    <s v="Tavaux Ponctuels, biens-fonds PF | Bât Epicerie / Cézille 2 |"/>
    <m/>
    <m/>
    <m/>
    <m/>
    <m/>
    <m/>
    <x v="0"/>
    <x v="17"/>
    <x v="0"/>
    <x v="0"/>
    <x v="25"/>
    <x v="2"/>
    <x v="0"/>
    <x v="231"/>
    <x v="38"/>
    <x v="0"/>
    <x v="0"/>
    <x v="80"/>
    <x v="0"/>
    <x v="0"/>
    <x v="138"/>
    <m/>
    <m/>
    <m/>
  </r>
  <r>
    <n v="0"/>
    <s v="3501.315"/>
    <s v="ANCIENNE POSTE  ENT MOB et INST TECH COMMUNAL"/>
    <s v="PCO"/>
    <s v="3501"/>
    <n v="3501"/>
    <s v="315"/>
    <m/>
    <n v="0"/>
    <n v="0"/>
    <n v="0"/>
    <n v="1000"/>
    <n v="0"/>
    <n v="1000"/>
    <n v="0"/>
    <s v="96302"/>
    <s v="3431"/>
    <s v="00"/>
    <s v="Entretien courant, biens-fonds PF| Bât Epicerie / Cézille 2 |"/>
    <m/>
    <m/>
    <m/>
    <m/>
    <m/>
    <m/>
    <x v="0"/>
    <x v="17"/>
    <x v="0"/>
    <x v="0"/>
    <x v="24"/>
    <x v="0"/>
    <x v="0"/>
    <x v="232"/>
    <x v="38"/>
    <x v="0"/>
    <x v="0"/>
    <x v="75"/>
    <x v="0"/>
    <x v="0"/>
    <x v="145"/>
    <m/>
    <m/>
    <m/>
  </r>
  <r>
    <n v="0"/>
    <s v="3501.315.1"/>
    <s v="ANCIENNE POSTE  CONTRATS ENT INST TECH COMMUNAL"/>
    <s v="PCO"/>
    <s v="3501"/>
    <n v="3501"/>
    <s v="315"/>
    <n v="1"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24"/>
    <x v="1"/>
    <x v="0"/>
    <x v="233"/>
    <x v="1"/>
    <x v="0"/>
    <x v="0"/>
    <x v="9"/>
    <x v="2"/>
    <x v="0"/>
    <x v="10"/>
    <m/>
    <m/>
    <m/>
  </r>
  <r>
    <n v="0"/>
    <s v="3501.318"/>
    <s v="ANCIENNE POSTE  PREST ASS, HONORAIRES, Frais divers"/>
    <s v="PCO"/>
    <s v="3501"/>
    <n v="3501"/>
    <s v="318"/>
    <m/>
    <n v="1819.8"/>
    <n v="0"/>
    <n v="1819.8"/>
    <n v="500"/>
    <n v="0"/>
    <n v="500"/>
    <n v="349.2"/>
    <s v="02900"/>
    <n v="3130"/>
    <s v="02"/>
    <s v="Prestations de services tiers - télécommunications"/>
    <n v="1819.8"/>
    <m/>
    <m/>
    <s v="wifi 700e"/>
    <m/>
    <m/>
    <x v="0"/>
    <x v="17"/>
    <x v="0"/>
    <x v="0"/>
    <x v="10"/>
    <x v="0"/>
    <x v="0"/>
    <x v="234"/>
    <x v="28"/>
    <x v="0"/>
    <x v="0"/>
    <x v="16"/>
    <x v="5"/>
    <x v="0"/>
    <x v="29"/>
    <m/>
    <m/>
    <m/>
  </r>
  <r>
    <n v="0"/>
    <s v="3501.380"/>
    <s v="ANCIENNE POSTE  ATTRIB FONDS RENOV ATION (9281.7)"/>
    <s v="PCO"/>
    <s v="3501"/>
    <n v="3501"/>
    <s v="380"/>
    <m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22"/>
    <x v="0"/>
    <x v="0"/>
    <x v="235"/>
    <x v="1"/>
    <x v="0"/>
    <x v="0"/>
    <x v="9"/>
    <x v="2"/>
    <x v="0"/>
    <x v="10"/>
    <m/>
    <m/>
    <m/>
  </r>
  <r>
    <n v="0"/>
    <s v="3501.427"/>
    <s v="ANCIENNE POSTE LOYERS COMMUNAUX"/>
    <s v="PCO"/>
    <s v="3501"/>
    <n v="3501"/>
    <s v="427"/>
    <m/>
    <n v="0"/>
    <n v="-2640"/>
    <n v="-2640"/>
    <n v="0"/>
    <n v="-2410"/>
    <n v="-2410"/>
    <n v="-2040"/>
    <s v="61510"/>
    <s v="4470"/>
    <s v="00"/>
    <s v="Loyers et fermages des biens-fonds PA - parkings"/>
    <n v="-2640"/>
    <m/>
    <m/>
    <s v="Parking, poulets, pizza"/>
    <m/>
    <m/>
    <x v="0"/>
    <x v="17"/>
    <x v="0"/>
    <x v="0"/>
    <x v="49"/>
    <x v="0"/>
    <x v="0"/>
    <x v="236"/>
    <x v="34"/>
    <x v="0"/>
    <x v="0"/>
    <x v="86"/>
    <x v="0"/>
    <x v="0"/>
    <x v="131"/>
    <m/>
    <m/>
    <m/>
  </r>
  <r>
    <n v="0"/>
    <s v="3501.427.2"/>
    <s v="ANCIENNE POSTE DECPTE LOYERS REGIE SPG - VALAUR SA"/>
    <s v="PCO"/>
    <s v="3501"/>
    <n v="3501"/>
    <s v="427"/>
    <n v="2"/>
    <n v="0"/>
    <n v="-93513.4"/>
    <n v="-93513.4"/>
    <n v="0"/>
    <n v="-70800"/>
    <n v="-70800"/>
    <n v="0"/>
    <s v="96302"/>
    <s v="4430"/>
    <s v="00"/>
    <s v="Loyers et fermages, immeubles du PF | Bât Epicerie / Cézille 2 | Frais de gérance"/>
    <n v="-93513.4"/>
    <m/>
    <m/>
    <m/>
    <m/>
    <m/>
    <x v="0"/>
    <x v="17"/>
    <x v="0"/>
    <x v="0"/>
    <x v="49"/>
    <x v="2"/>
    <x v="0"/>
    <x v="237"/>
    <x v="38"/>
    <x v="0"/>
    <x v="0"/>
    <x v="76"/>
    <x v="0"/>
    <x v="0"/>
    <x v="146"/>
    <m/>
    <m/>
    <m/>
  </r>
  <r>
    <n v="0"/>
    <s v="3501.436"/>
    <s v="ANCIENNE POSTE  PART DE TIERS"/>
    <s v="PCO"/>
    <s v="3501"/>
    <n v="3501"/>
    <s v="436"/>
    <m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13"/>
    <x v="0"/>
    <x v="0"/>
    <x v="238"/>
    <x v="1"/>
    <x v="0"/>
    <x v="0"/>
    <x v="9"/>
    <x v="2"/>
    <x v="0"/>
    <x v="10"/>
    <m/>
    <m/>
    <m/>
  </r>
  <r>
    <n v="0"/>
    <s v="3501.480"/>
    <s v="ANCIENNE POSTE PRELEVEMENT FONDS DE RESERVE"/>
    <s v="PCO"/>
    <s v="3501"/>
    <n v="3501"/>
    <s v="480"/>
    <m/>
    <n v="0"/>
    <n v="0"/>
    <n v="0"/>
    <n v="0"/>
    <n v="0"/>
    <n v="0"/>
    <n v="0"/>
    <s v="-"/>
    <s v="-"/>
    <s v="-"/>
    <m/>
    <m/>
    <m/>
    <m/>
    <m/>
    <m/>
    <m/>
    <x v="0"/>
    <x v="17"/>
    <x v="0"/>
    <x v="0"/>
    <x v="14"/>
    <x v="0"/>
    <x v="0"/>
    <x v="239"/>
    <x v="1"/>
    <x v="0"/>
    <x v="0"/>
    <x v="9"/>
    <x v="2"/>
    <x v="0"/>
    <x v="10"/>
    <m/>
    <m/>
    <m/>
  </r>
  <r>
    <n v="0"/>
    <s v="3503.311"/>
    <s v="AUBERGE et APPT  ACHATS MOB MACH MATERIEL CNE"/>
    <s v="PCO"/>
    <s v="3503"/>
    <n v="3503"/>
    <s v="311"/>
    <m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6"/>
    <x v="0"/>
    <x v="0"/>
    <x v="240"/>
    <x v="1"/>
    <x v="0"/>
    <x v="0"/>
    <x v="9"/>
    <x v="2"/>
    <x v="0"/>
    <x v="10"/>
    <m/>
    <m/>
    <m/>
  </r>
  <r>
    <n v="0"/>
    <s v="3503.312"/>
    <s v="AUBERGE et APPT  ACHATS ELECTRICITE"/>
    <s v="PCO"/>
    <s v="3503"/>
    <n v="3503"/>
    <s v="312"/>
    <m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30"/>
    <x v="0"/>
    <x v="0"/>
    <x v="241"/>
    <x v="1"/>
    <x v="0"/>
    <x v="0"/>
    <x v="9"/>
    <x v="2"/>
    <x v="0"/>
    <x v="10"/>
    <m/>
    <m/>
    <m/>
  </r>
  <r>
    <n v="0"/>
    <s v="3503.312.1"/>
    <s v="AUBERGE et APPT  ACHATS COMBUSTIBLE CAD"/>
    <s v="PCO"/>
    <s v="3503"/>
    <n v="3503"/>
    <s v="312"/>
    <n v="1"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30"/>
    <x v="1"/>
    <x v="0"/>
    <x v="242"/>
    <x v="1"/>
    <x v="0"/>
    <x v="0"/>
    <x v="9"/>
    <x v="2"/>
    <x v="0"/>
    <x v="10"/>
    <m/>
    <m/>
    <m/>
  </r>
  <r>
    <n v="0"/>
    <s v="3503.313"/>
    <s v="AUBERGE et APPT  ACHATS MARCHANDISES PROD ENTRETIEN"/>
    <s v="PCO"/>
    <s v="3503"/>
    <n v="3503"/>
    <s v="313"/>
    <m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53"/>
    <x v="0"/>
    <x v="0"/>
    <x v="243"/>
    <x v="1"/>
    <x v="0"/>
    <x v="0"/>
    <x v="9"/>
    <x v="2"/>
    <x v="0"/>
    <x v="10"/>
    <m/>
    <m/>
    <m/>
  </r>
  <r>
    <n v="0"/>
    <s v="3503.314"/>
    <s v="AUBERGE et APPT  ENTRETIEN COMMUNAL"/>
    <s v="PCO"/>
    <s v="3503"/>
    <n v="3503"/>
    <s v="314"/>
    <m/>
    <n v="17950"/>
    <n v="0"/>
    <n v="17950"/>
    <n v="5000"/>
    <n v="0"/>
    <n v="5000"/>
    <n v="7607.45"/>
    <s v="96303"/>
    <s v="3431"/>
    <s v="00"/>
    <s v="Entretien courant, biens-fonds PF | Bât Auberge communale / Village 9 |"/>
    <m/>
    <m/>
    <m/>
    <m/>
    <m/>
    <m/>
    <x v="0"/>
    <x v="18"/>
    <x v="0"/>
    <x v="0"/>
    <x v="25"/>
    <x v="0"/>
    <x v="0"/>
    <x v="244"/>
    <x v="36"/>
    <x v="0"/>
    <x v="0"/>
    <x v="75"/>
    <x v="0"/>
    <x v="0"/>
    <x v="147"/>
    <m/>
    <m/>
    <m/>
  </r>
  <r>
    <n v="0"/>
    <s v="3503.314.1"/>
    <s v="AUBERGE et APPT  CONTRATS ENTRETIEN BÂT"/>
    <s v="PCO"/>
    <s v="3503"/>
    <n v="3503"/>
    <s v="314"/>
    <n v="1"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25"/>
    <x v="1"/>
    <x v="0"/>
    <x v="245"/>
    <x v="1"/>
    <x v="0"/>
    <x v="0"/>
    <x v="9"/>
    <x v="2"/>
    <x v="0"/>
    <x v="10"/>
    <m/>
    <m/>
    <m/>
  </r>
  <r>
    <n v="0"/>
    <s v="3503.314.2"/>
    <s v="AUBERGE et APPT DECPTE CHARGES REGIE SPG - VALAUR SA"/>
    <s v="PCO"/>
    <s v="3503"/>
    <n v="3503"/>
    <s v="314"/>
    <n v="2"/>
    <n v="34297.449999999997"/>
    <n v="0"/>
    <n v="34297.449999999997"/>
    <n v="15000"/>
    <n v="0"/>
    <n v="15000"/>
    <n v="0"/>
    <s v="96303"/>
    <s v="3431"/>
    <s v="00"/>
    <s v="Entretien courant, biens-fonds PF | Bât Auberge communale / Village 9 |"/>
    <n v="59480.25"/>
    <m/>
    <m/>
    <m/>
    <m/>
    <m/>
    <x v="0"/>
    <x v="18"/>
    <x v="0"/>
    <x v="0"/>
    <x v="25"/>
    <x v="2"/>
    <x v="0"/>
    <x v="246"/>
    <x v="36"/>
    <x v="0"/>
    <x v="0"/>
    <x v="75"/>
    <x v="0"/>
    <x v="0"/>
    <x v="147"/>
    <m/>
    <m/>
    <m/>
  </r>
  <r>
    <m/>
    <s v="3503.314.2"/>
    <s v="AUBERGE et APPT DECPTE CHARGES REGIE SPG - VALAUR SA"/>
    <s v="PCO"/>
    <s v="3503"/>
    <n v="3503"/>
    <s v="314"/>
    <n v="2"/>
    <m/>
    <m/>
    <n v="0"/>
    <m/>
    <m/>
    <n v="0"/>
    <m/>
    <s v="96303"/>
    <s v="3439"/>
    <s v="02"/>
    <s v="Autres charges de biens-fonds PF | Bât Auberge communale / Village 9 | Electricité"/>
    <m/>
    <m/>
    <m/>
    <m/>
    <m/>
    <m/>
    <x v="0"/>
    <x v="18"/>
    <x v="0"/>
    <x v="0"/>
    <x v="25"/>
    <x v="2"/>
    <x v="0"/>
    <x v="246"/>
    <x v="36"/>
    <x v="0"/>
    <x v="0"/>
    <x v="81"/>
    <x v="5"/>
    <x v="0"/>
    <x v="148"/>
    <m/>
    <m/>
    <m/>
  </r>
  <r>
    <m/>
    <s v="3503.314.2"/>
    <s v="AUBERGE et APPT DECPTE CHARGES REGIE SPG - VALAUR SA"/>
    <s v="PCO"/>
    <s v="3503"/>
    <n v="3503"/>
    <s v="314"/>
    <n v="2"/>
    <m/>
    <m/>
    <n v="0"/>
    <m/>
    <m/>
    <n v="0"/>
    <m/>
    <s v="96303"/>
    <s v="3439"/>
    <s v="03"/>
    <s v="Autres charges de biens-fonds PF | Bât Auberge communale / Village 9 | Chauffage"/>
    <m/>
    <m/>
    <m/>
    <m/>
    <m/>
    <m/>
    <x v="0"/>
    <x v="18"/>
    <x v="0"/>
    <x v="0"/>
    <x v="25"/>
    <x v="2"/>
    <x v="0"/>
    <x v="246"/>
    <x v="36"/>
    <x v="0"/>
    <x v="0"/>
    <x v="81"/>
    <x v="9"/>
    <x v="0"/>
    <x v="149"/>
    <m/>
    <m/>
    <m/>
  </r>
  <r>
    <m/>
    <s v="3503.314.2"/>
    <s v="AUBERGE et APPT DECPTE CHARGES REGIE SPG - VALAUR SA"/>
    <s v="PCO"/>
    <s v="3503"/>
    <n v="3503"/>
    <s v="314"/>
    <n v="2"/>
    <m/>
    <m/>
    <n v="0"/>
    <m/>
    <m/>
    <n v="0"/>
    <m/>
    <s v="96303"/>
    <s v="3439"/>
    <s v="04"/>
    <s v="Autres charges de biens-fonds PF | Bât Auberge communale / Village 9 | Frais de gérance"/>
    <m/>
    <m/>
    <m/>
    <m/>
    <m/>
    <m/>
    <x v="0"/>
    <x v="18"/>
    <x v="0"/>
    <x v="0"/>
    <x v="25"/>
    <x v="2"/>
    <x v="0"/>
    <x v="246"/>
    <x v="36"/>
    <x v="0"/>
    <x v="0"/>
    <x v="81"/>
    <x v="3"/>
    <x v="0"/>
    <x v="150"/>
    <m/>
    <m/>
    <m/>
  </r>
  <r>
    <m/>
    <s v="3503.314.2"/>
    <s v="AUBERGE et APPT DECPTE CHARGES REGIE SPG - VALAUR SA"/>
    <s v="PCO"/>
    <s v="3503"/>
    <n v="3503"/>
    <s v="314"/>
    <n v="2"/>
    <m/>
    <m/>
    <n v="0"/>
    <m/>
    <m/>
    <n v="0"/>
    <m/>
    <s v="96303"/>
    <s v="3430"/>
    <s v="00"/>
    <s v="Tavaux Ponctuels, biens-fonds PF | Bât Auberge communale / Village 9 |"/>
    <m/>
    <m/>
    <m/>
    <m/>
    <m/>
    <m/>
    <x v="0"/>
    <x v="18"/>
    <x v="0"/>
    <x v="0"/>
    <x v="25"/>
    <x v="2"/>
    <x v="0"/>
    <x v="246"/>
    <x v="36"/>
    <x v="0"/>
    <x v="0"/>
    <x v="80"/>
    <x v="0"/>
    <x v="0"/>
    <x v="151"/>
    <m/>
    <m/>
    <m/>
  </r>
  <r>
    <m/>
    <s v="3503.314.2"/>
    <s v="AUBERGE et APPT DECPTE CHARGES REGIE SPG - VALAUR SA"/>
    <s v="PCO"/>
    <s v="3503"/>
    <n v="3503"/>
    <s v="314"/>
    <n v="2"/>
    <m/>
    <m/>
    <n v="0"/>
    <m/>
    <m/>
    <n v="0"/>
    <m/>
    <s v="96303"/>
    <s v="3439"/>
    <s v="01"/>
    <s v="Autres charges de biens-fonds PF | Bât Auberge communale / Village 9 | Eau"/>
    <m/>
    <m/>
    <m/>
    <m/>
    <m/>
    <m/>
    <x v="0"/>
    <x v="18"/>
    <x v="0"/>
    <x v="0"/>
    <x v="25"/>
    <x v="2"/>
    <x v="0"/>
    <x v="246"/>
    <x v="36"/>
    <x v="0"/>
    <x v="0"/>
    <x v="81"/>
    <x v="1"/>
    <x v="0"/>
    <x v="152"/>
    <m/>
    <m/>
    <m/>
  </r>
  <r>
    <n v="0"/>
    <s v="3503.315"/>
    <s v="AUBERGE et APPT  ENTRETIEN MOB et INST TECH"/>
    <s v="PCO"/>
    <s v="3503"/>
    <n v="3503"/>
    <s v="315"/>
    <m/>
    <n v="7232.8"/>
    <n v="0"/>
    <n v="7232.8"/>
    <n v="5000"/>
    <n v="0"/>
    <n v="5000"/>
    <n v="0"/>
    <s v="96303"/>
    <s v="3431"/>
    <s v="00"/>
    <s v="Entretien courant, biens-fonds PF | Bât Auberge communale / Village 9 |"/>
    <m/>
    <m/>
    <m/>
    <m/>
    <m/>
    <m/>
    <x v="0"/>
    <x v="18"/>
    <x v="0"/>
    <x v="0"/>
    <x v="24"/>
    <x v="0"/>
    <x v="0"/>
    <x v="247"/>
    <x v="36"/>
    <x v="0"/>
    <x v="0"/>
    <x v="75"/>
    <x v="0"/>
    <x v="0"/>
    <x v="147"/>
    <m/>
    <m/>
    <m/>
  </r>
  <r>
    <n v="0"/>
    <s v="3503.315.1"/>
    <s v="AUBERGE et APPT  CONTRATS ENT INST TECH"/>
    <s v="PCO"/>
    <s v="3503"/>
    <n v="3503"/>
    <s v="315"/>
    <n v="1"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24"/>
    <x v="1"/>
    <x v="0"/>
    <x v="248"/>
    <x v="1"/>
    <x v="0"/>
    <x v="0"/>
    <x v="9"/>
    <x v="2"/>
    <x v="0"/>
    <x v="10"/>
    <m/>
    <m/>
    <m/>
  </r>
  <r>
    <n v="0"/>
    <s v="3503.318"/>
    <s v="AUBERGE et APPT PREST ASSURANCES et HONORAIRES"/>
    <s v="PCO"/>
    <s v="3503"/>
    <n v="3503"/>
    <s v="318"/>
    <m/>
    <n v="2683.25"/>
    <n v="0"/>
    <n v="2683.25"/>
    <n v="2500"/>
    <n v="0"/>
    <n v="2500"/>
    <n v="0"/>
    <s v="96303"/>
    <s v="3439"/>
    <s v="00"/>
    <s v="Autres charges de biens-fonds PF | Bât Auberge communale / Village 9 |  Assurances"/>
    <n v="2683.25"/>
    <m/>
    <m/>
    <m/>
    <m/>
    <m/>
    <x v="0"/>
    <x v="18"/>
    <x v="0"/>
    <x v="0"/>
    <x v="10"/>
    <x v="0"/>
    <x v="0"/>
    <x v="249"/>
    <x v="36"/>
    <x v="0"/>
    <x v="0"/>
    <x v="81"/>
    <x v="0"/>
    <x v="0"/>
    <x v="153"/>
    <m/>
    <m/>
    <m/>
  </r>
  <r>
    <n v="0"/>
    <s v="3503.331"/>
    <s v="AUBERGE  AMORTISSEMENT"/>
    <s v="PCO"/>
    <s v="3503"/>
    <n v="3503"/>
    <s v="331"/>
    <m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31"/>
    <x v="0"/>
    <x v="0"/>
    <x v="250"/>
    <x v="1"/>
    <x v="0"/>
    <x v="0"/>
    <x v="9"/>
    <x v="2"/>
    <x v="0"/>
    <x v="10"/>
    <m/>
    <m/>
    <m/>
  </r>
  <r>
    <n v="0"/>
    <s v="3503.380"/>
    <s v="AUBERGE et APPT  ATTRIB FONDS RENOVATION (9281.13)"/>
    <s v="PCO"/>
    <s v="3503"/>
    <n v="3503"/>
    <s v="380"/>
    <m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22"/>
    <x v="0"/>
    <x v="0"/>
    <x v="251"/>
    <x v="1"/>
    <x v="0"/>
    <x v="0"/>
    <x v="9"/>
    <x v="2"/>
    <x v="0"/>
    <x v="10"/>
    <m/>
    <m/>
    <m/>
  </r>
  <r>
    <n v="0"/>
    <s v="3503.427.2"/>
    <s v="AUBERGE et APPT DECPTE LOYERS REGIE SPG - VALAUR SA"/>
    <s v="PCO"/>
    <s v="3503"/>
    <n v="3503"/>
    <s v="427"/>
    <n v="2"/>
    <n v="0"/>
    <n v="-136969.70000000001"/>
    <n v="-136969.70000000001"/>
    <n v="0"/>
    <n v="-136000"/>
    <n v="-136000"/>
    <n v="0"/>
    <s v="96303"/>
    <s v="4430"/>
    <s v="00"/>
    <s v="Loyers et fermages, immeubles du PF | Bât Auberge communale / Village 9 |"/>
    <n v="-136969.70000000001"/>
    <m/>
    <m/>
    <m/>
    <m/>
    <m/>
    <x v="0"/>
    <x v="18"/>
    <x v="0"/>
    <x v="0"/>
    <x v="49"/>
    <x v="2"/>
    <x v="0"/>
    <x v="252"/>
    <x v="36"/>
    <x v="0"/>
    <x v="0"/>
    <x v="76"/>
    <x v="0"/>
    <x v="0"/>
    <x v="154"/>
    <m/>
    <m/>
    <m/>
  </r>
  <r>
    <n v="0"/>
    <s v="3503.436"/>
    <s v="AUBERGE et APPT  PART DE TIERS"/>
    <s v="PCO"/>
    <s v="3503"/>
    <n v="3503"/>
    <s v="436"/>
    <m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13"/>
    <x v="0"/>
    <x v="0"/>
    <x v="253"/>
    <x v="1"/>
    <x v="0"/>
    <x v="0"/>
    <x v="9"/>
    <x v="2"/>
    <x v="0"/>
    <x v="10"/>
    <m/>
    <m/>
    <m/>
  </r>
  <r>
    <n v="0"/>
    <s v="3503.480"/>
    <s v="AUBERGE PRELEVEMENT FONDS DE RESERVE"/>
    <s v="PCO"/>
    <s v="3503"/>
    <n v="3503"/>
    <s v="480"/>
    <m/>
    <n v="0"/>
    <n v="0"/>
    <n v="0"/>
    <n v="0"/>
    <n v="0"/>
    <n v="0"/>
    <n v="0"/>
    <s v="-"/>
    <s v="-"/>
    <s v="-"/>
    <m/>
    <m/>
    <m/>
    <m/>
    <m/>
    <m/>
    <m/>
    <x v="0"/>
    <x v="18"/>
    <x v="0"/>
    <x v="0"/>
    <x v="14"/>
    <x v="0"/>
    <x v="0"/>
    <x v="254"/>
    <x v="1"/>
    <x v="0"/>
    <x v="0"/>
    <x v="9"/>
    <x v="2"/>
    <x v="0"/>
    <x v="10"/>
    <m/>
    <m/>
    <m/>
  </r>
  <r>
    <n v="0"/>
    <s v="3504.313"/>
    <s v="COLLEGES  ACHATS MARCH PROD ENTRETIEN"/>
    <s v="PCO"/>
    <s v="3504"/>
    <n v="3504"/>
    <s v="313"/>
    <m/>
    <n v="0"/>
    <n v="0"/>
    <n v="0"/>
    <n v="0"/>
    <n v="0"/>
    <n v="0"/>
    <n v="0"/>
    <s v="-"/>
    <s v="-"/>
    <s v="-"/>
    <m/>
    <m/>
    <m/>
    <m/>
    <m/>
    <m/>
    <m/>
    <x v="0"/>
    <x v="19"/>
    <x v="0"/>
    <x v="0"/>
    <x v="53"/>
    <x v="0"/>
    <x v="0"/>
    <x v="255"/>
    <x v="1"/>
    <x v="0"/>
    <x v="0"/>
    <x v="9"/>
    <x v="2"/>
    <x v="0"/>
    <x v="10"/>
    <m/>
    <m/>
    <m/>
  </r>
  <r>
    <n v="0"/>
    <s v="3505.311"/>
    <s v="D'UNE FONTAINE ACHATS MOB MACH MATERIEL CNE"/>
    <s v="PCO"/>
    <s v="3505"/>
    <n v="3505"/>
    <s v="311"/>
    <m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6"/>
    <x v="0"/>
    <x v="0"/>
    <x v="256"/>
    <x v="1"/>
    <x v="0"/>
    <x v="0"/>
    <x v="9"/>
    <x v="2"/>
    <x v="0"/>
    <x v="10"/>
    <m/>
    <m/>
    <m/>
  </r>
  <r>
    <n v="0"/>
    <s v="3505.312"/>
    <s v="D'UNE FONTAINE ACHATS ELECTRICITE COMMUNAL"/>
    <s v="PCO"/>
    <s v="3505"/>
    <n v="3505"/>
    <s v="312"/>
    <m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30"/>
    <x v="0"/>
    <x v="0"/>
    <x v="257"/>
    <x v="1"/>
    <x v="0"/>
    <x v="0"/>
    <x v="9"/>
    <x v="2"/>
    <x v="0"/>
    <x v="10"/>
    <m/>
    <m/>
    <m/>
  </r>
  <r>
    <n v="0"/>
    <s v="3505.312.1"/>
    <s v="D'UNE FONTAINE ACHATS COMBUSTIBLE CAD COMMUNAL"/>
    <s v="PCO"/>
    <s v="3505"/>
    <n v="3505"/>
    <s v="312"/>
    <n v="1"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30"/>
    <x v="1"/>
    <x v="0"/>
    <x v="258"/>
    <x v="1"/>
    <x v="0"/>
    <x v="0"/>
    <x v="9"/>
    <x v="2"/>
    <x v="0"/>
    <x v="10"/>
    <m/>
    <m/>
    <m/>
  </r>
  <r>
    <n v="0"/>
    <s v="3505.313"/>
    <s v="D'UNE FONTAINE ACHATS MARCH PROD ENT COMMUNAL"/>
    <s v="PCO"/>
    <s v="3505"/>
    <n v="3505"/>
    <s v="313"/>
    <m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53"/>
    <x v="0"/>
    <x v="0"/>
    <x v="259"/>
    <x v="1"/>
    <x v="0"/>
    <x v="0"/>
    <x v="9"/>
    <x v="2"/>
    <x v="0"/>
    <x v="10"/>
    <m/>
    <m/>
    <m/>
  </r>
  <r>
    <n v="0"/>
    <s v="3505.314"/>
    <s v="D'UNE FONTAINE ENTRETIEN BÂTIMENT COMMUNAL"/>
    <s v="PCO"/>
    <s v="3505"/>
    <n v="3505"/>
    <s v="314"/>
    <m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25"/>
    <x v="0"/>
    <x v="0"/>
    <x v="260"/>
    <x v="1"/>
    <x v="0"/>
    <x v="0"/>
    <x v="9"/>
    <x v="2"/>
    <x v="0"/>
    <x v="10"/>
    <m/>
    <m/>
    <m/>
  </r>
  <r>
    <n v="0"/>
    <s v="3505.314.1"/>
    <s v="D'UNE FONTAINE CONTRATS ENTRETIEN BÂT"/>
    <s v="PCO"/>
    <s v="3505"/>
    <n v="3505"/>
    <s v="314"/>
    <n v="1"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25"/>
    <x v="1"/>
    <x v="0"/>
    <x v="261"/>
    <x v="1"/>
    <x v="0"/>
    <x v="0"/>
    <x v="9"/>
    <x v="2"/>
    <x v="0"/>
    <x v="10"/>
    <m/>
    <m/>
    <m/>
  </r>
  <r>
    <n v="0"/>
    <s v="3505.314.2"/>
    <s v="D'UNE FONTAINE DECPTE CHARGES REGIE SPG - VALAUR SA"/>
    <s v="PCO"/>
    <s v="3505"/>
    <n v="3505"/>
    <s v="314"/>
    <n v="2"/>
    <n v="71890.17"/>
    <n v="0"/>
    <n v="71890.17"/>
    <n v="40000"/>
    <n v="0"/>
    <n v="40000"/>
    <n v="0"/>
    <s v="96304"/>
    <s v="3431"/>
    <s v="00"/>
    <s v="Entretien courant, biens-fonds PF | Bât D'une Fontaine à l'autre / Derrière l'Eglise 1-3 |"/>
    <n v="71890.17"/>
    <m/>
    <m/>
    <m/>
    <m/>
    <m/>
    <x v="0"/>
    <x v="20"/>
    <x v="0"/>
    <x v="0"/>
    <x v="25"/>
    <x v="2"/>
    <x v="0"/>
    <x v="262"/>
    <x v="39"/>
    <x v="0"/>
    <x v="0"/>
    <x v="75"/>
    <x v="0"/>
    <x v="0"/>
    <x v="155"/>
    <m/>
    <m/>
    <m/>
  </r>
  <r>
    <m/>
    <s v="3505.314.2"/>
    <s v="D'UNE FONTAINE DECPTE CHARGES REGIE SPG - VALAUR SA"/>
    <s v="PCO"/>
    <s v="3505"/>
    <n v="3505"/>
    <s v="314"/>
    <n v="2"/>
    <m/>
    <m/>
    <n v="0"/>
    <m/>
    <m/>
    <n v="0"/>
    <m/>
    <s v="96304"/>
    <s v="3439"/>
    <s v="01"/>
    <s v="Autres charges de biens-fonds PF | Bât D'une Fontaine à l'autre / Derrière l'Eglise 1-3 | Eau"/>
    <m/>
    <m/>
    <m/>
    <m/>
    <m/>
    <m/>
    <x v="0"/>
    <x v="20"/>
    <x v="0"/>
    <x v="0"/>
    <x v="25"/>
    <x v="2"/>
    <x v="0"/>
    <x v="262"/>
    <x v="39"/>
    <x v="0"/>
    <x v="0"/>
    <x v="81"/>
    <x v="1"/>
    <x v="0"/>
    <x v="156"/>
    <m/>
    <m/>
    <m/>
  </r>
  <r>
    <m/>
    <s v="3505.314.2"/>
    <s v="D'UNE FONTAINE DECPTE CHARGES REGIE SPG - VALAUR SA"/>
    <s v="PCO"/>
    <s v="3505"/>
    <n v="3505"/>
    <s v="314"/>
    <n v="2"/>
    <m/>
    <m/>
    <n v="0"/>
    <m/>
    <m/>
    <n v="0"/>
    <m/>
    <s v="96304"/>
    <s v="3439"/>
    <s v="02"/>
    <s v="Autres charges de biens-fonds PF | Bât D'une Fontaine à l'autre / Derrière l'Eglise 1-3 | Electricité"/>
    <m/>
    <m/>
    <m/>
    <m/>
    <m/>
    <m/>
    <x v="0"/>
    <x v="20"/>
    <x v="0"/>
    <x v="0"/>
    <x v="25"/>
    <x v="2"/>
    <x v="0"/>
    <x v="262"/>
    <x v="39"/>
    <x v="0"/>
    <x v="0"/>
    <x v="81"/>
    <x v="5"/>
    <x v="0"/>
    <x v="157"/>
    <m/>
    <m/>
    <m/>
  </r>
  <r>
    <m/>
    <s v="3505.314.2"/>
    <s v="D'UNE FONTAINE DECPTE CHARGES REGIE SPG - VALAUR SA"/>
    <s v="PCO"/>
    <s v="3505"/>
    <n v="3505"/>
    <s v="314"/>
    <n v="2"/>
    <m/>
    <m/>
    <n v="0"/>
    <m/>
    <m/>
    <n v="0"/>
    <m/>
    <s v="96304"/>
    <s v="3439"/>
    <s v="03"/>
    <s v="Autres charges de biens-fonds PF | Bât D'une Fontaine à l'autre / Derrière l'Eglise 1-3 | Chauffage"/>
    <m/>
    <m/>
    <m/>
    <m/>
    <m/>
    <m/>
    <x v="0"/>
    <x v="20"/>
    <x v="0"/>
    <x v="0"/>
    <x v="25"/>
    <x v="2"/>
    <x v="0"/>
    <x v="262"/>
    <x v="39"/>
    <x v="0"/>
    <x v="0"/>
    <x v="81"/>
    <x v="9"/>
    <x v="0"/>
    <x v="158"/>
    <m/>
    <m/>
    <m/>
  </r>
  <r>
    <m/>
    <s v="3505.314.2"/>
    <s v="D'UNE FONTAINE DECPTE CHARGES REGIE SPG - VALAUR SA"/>
    <s v="PCO"/>
    <s v="3505"/>
    <n v="3505"/>
    <s v="314"/>
    <n v="2"/>
    <m/>
    <m/>
    <n v="0"/>
    <m/>
    <m/>
    <n v="0"/>
    <m/>
    <s v="96304"/>
    <s v="3439"/>
    <s v="04"/>
    <s v="Autres charges de biens-fonds PF | Bât D'une Fontaine à l'autre / Derrière l'Eglise 1-3 | Frais de gérance"/>
    <m/>
    <m/>
    <m/>
    <m/>
    <m/>
    <m/>
    <x v="0"/>
    <x v="20"/>
    <x v="0"/>
    <x v="0"/>
    <x v="25"/>
    <x v="2"/>
    <x v="0"/>
    <x v="262"/>
    <x v="39"/>
    <x v="0"/>
    <x v="0"/>
    <x v="81"/>
    <x v="3"/>
    <x v="0"/>
    <x v="159"/>
    <m/>
    <m/>
    <m/>
  </r>
  <r>
    <m/>
    <s v="3505.314.2"/>
    <s v="D'UNE FONTAINE DECPTE CHARGES REGIE SPG - VALAUR SA"/>
    <s v="PCO"/>
    <s v="3505"/>
    <n v="3505"/>
    <s v="314"/>
    <n v="2"/>
    <m/>
    <m/>
    <n v="0"/>
    <m/>
    <m/>
    <n v="0"/>
    <m/>
    <s v="96304"/>
    <s v="3430"/>
    <s v="00"/>
    <s v="Tavaux Ponctuels, biens-fonds PF | Bât D'une Fontaine à l'autre / Derrière l'Eglise 1-3 |"/>
    <m/>
    <m/>
    <m/>
    <m/>
    <m/>
    <m/>
    <x v="0"/>
    <x v="20"/>
    <x v="0"/>
    <x v="0"/>
    <x v="25"/>
    <x v="2"/>
    <x v="0"/>
    <x v="262"/>
    <x v="39"/>
    <x v="0"/>
    <x v="0"/>
    <x v="80"/>
    <x v="0"/>
    <x v="0"/>
    <x v="160"/>
    <m/>
    <m/>
    <m/>
  </r>
  <r>
    <n v="0"/>
    <s v="3505.315"/>
    <s v="D'UNE FONTAINE ENTRETIEN MOB et INST TECH COMMUNAL"/>
    <s v="PCO"/>
    <s v="3505"/>
    <n v="3505"/>
    <s v="315"/>
    <m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24"/>
    <x v="0"/>
    <x v="0"/>
    <x v="263"/>
    <x v="1"/>
    <x v="0"/>
    <x v="0"/>
    <x v="9"/>
    <x v="2"/>
    <x v="0"/>
    <x v="10"/>
    <m/>
    <m/>
    <m/>
  </r>
  <r>
    <n v="0"/>
    <s v="3505.315.1"/>
    <s v="D'UNE FONTAINE CONTRAT ENT MOB et INST TECH COMMUNAL"/>
    <s v="PCO"/>
    <s v="3505"/>
    <n v="3505"/>
    <s v="315"/>
    <n v="1"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24"/>
    <x v="1"/>
    <x v="0"/>
    <x v="264"/>
    <x v="1"/>
    <x v="0"/>
    <x v="0"/>
    <x v="9"/>
    <x v="2"/>
    <x v="0"/>
    <x v="10"/>
    <m/>
    <m/>
    <m/>
  </r>
  <r>
    <n v="0"/>
    <s v="3505.318"/>
    <s v="D'UNE FONTAINE PREST ASS et HONORAIRES CNE"/>
    <s v="PCO"/>
    <s v="3505"/>
    <n v="3505"/>
    <s v="318"/>
    <m/>
    <n v="1543.1"/>
    <n v="0"/>
    <n v="1543.1"/>
    <n v="0"/>
    <n v="0"/>
    <n v="0"/>
    <n v="0"/>
    <s v="96304"/>
    <s v="3439"/>
    <s v="00"/>
    <s v="Autres charges de biens-fonds PF | Bât D'une Fontaine à l'autre / Derrière l'Eglise 1-3 | Assurances"/>
    <n v="1543.1"/>
    <m/>
    <m/>
    <m/>
    <m/>
    <m/>
    <x v="0"/>
    <x v="20"/>
    <x v="0"/>
    <x v="0"/>
    <x v="10"/>
    <x v="0"/>
    <x v="0"/>
    <x v="265"/>
    <x v="39"/>
    <x v="0"/>
    <x v="0"/>
    <x v="81"/>
    <x v="0"/>
    <x v="0"/>
    <x v="161"/>
    <m/>
    <m/>
    <m/>
  </r>
  <r>
    <n v="0"/>
    <s v="3505.380"/>
    <s v="D'UNE FONTAINE ATTRIB FONDS RENOVATION (9281.15)"/>
    <s v="PCO"/>
    <s v="3505"/>
    <n v="3505"/>
    <s v="380"/>
    <m/>
    <n v="0"/>
    <n v="0"/>
    <n v="0"/>
    <n v="13500"/>
    <n v="0"/>
    <n v="13500"/>
    <n v="0"/>
    <s v="96304"/>
    <n v="3511"/>
    <s v="00"/>
    <s v="Attributions aux fonds  PF | Bât D'une Fontaine à l'autre / Derrière l'Eglise 1-3 | "/>
    <m/>
    <m/>
    <m/>
    <m/>
    <m/>
    <m/>
    <x v="0"/>
    <x v="20"/>
    <x v="0"/>
    <x v="0"/>
    <x v="22"/>
    <x v="0"/>
    <x v="0"/>
    <x v="266"/>
    <x v="39"/>
    <x v="0"/>
    <x v="0"/>
    <x v="90"/>
    <x v="0"/>
    <x v="0"/>
    <x v="162"/>
    <m/>
    <m/>
    <m/>
  </r>
  <r>
    <n v="0"/>
    <s v="3505.390.2"/>
    <s v="D'UNE FONTAINE IMPUTATIONS INTERNES INTERÊTS"/>
    <s v="PCO"/>
    <s v="3505"/>
    <n v="3505"/>
    <s v="390"/>
    <n v="2"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7"/>
    <x v="2"/>
    <x v="0"/>
    <x v="267"/>
    <x v="1"/>
    <x v="0"/>
    <x v="0"/>
    <x v="9"/>
    <x v="2"/>
    <x v="0"/>
    <x v="10"/>
    <m/>
    <m/>
    <m/>
  </r>
  <r>
    <n v="0"/>
    <s v="3505.423.2"/>
    <s v="D'UNE FONTAINE DECPTE LOYERS REGIE SPG - VALAUR SA"/>
    <s v="PCO"/>
    <s v="3505"/>
    <n v="3505"/>
    <s v="423"/>
    <n v="2"/>
    <n v="0"/>
    <n v="-325707.59999999998"/>
    <n v="-325707.59999999998"/>
    <n v="0"/>
    <n v="-320000"/>
    <n v="-320000"/>
    <n v="0"/>
    <s v="96304"/>
    <s v="4430"/>
    <s v="00"/>
    <s v="Loyers et fermages, immeubles du PF | Bât D'une Fontaine à l'autre / Derrière l'Eglise 1-3 |"/>
    <n v="-325707.59999999998"/>
    <m/>
    <m/>
    <m/>
    <m/>
    <m/>
    <x v="0"/>
    <x v="20"/>
    <x v="0"/>
    <x v="0"/>
    <x v="46"/>
    <x v="2"/>
    <x v="0"/>
    <x v="268"/>
    <x v="39"/>
    <x v="0"/>
    <x v="0"/>
    <x v="76"/>
    <x v="0"/>
    <x v="0"/>
    <x v="163"/>
    <m/>
    <m/>
    <m/>
  </r>
  <r>
    <n v="0"/>
    <s v="3505.436"/>
    <s v="D'UNE FONTAINE PART DE TIERS"/>
    <s v="PCO"/>
    <s v="3505"/>
    <n v="3505"/>
    <s v="436"/>
    <m/>
    <n v="0"/>
    <n v="0"/>
    <n v="0"/>
    <n v="0"/>
    <n v="0"/>
    <n v="0"/>
    <n v="0"/>
    <s v="-"/>
    <s v="-"/>
    <s v="-"/>
    <m/>
    <m/>
    <m/>
    <m/>
    <m/>
    <m/>
    <m/>
    <x v="0"/>
    <x v="20"/>
    <x v="0"/>
    <x v="0"/>
    <x v="13"/>
    <x v="0"/>
    <x v="0"/>
    <x v="269"/>
    <x v="1"/>
    <x v="0"/>
    <x v="0"/>
    <x v="9"/>
    <x v="2"/>
    <x v="0"/>
    <x v="10"/>
    <m/>
    <m/>
    <m/>
  </r>
  <r>
    <n v="0"/>
    <s v="3506.311"/>
    <s v="1912 - LE MONTANT  ACHATS MOBILIER MACH. MATERIEL COMMUNAL"/>
    <s v="PCO"/>
    <s v="3506"/>
    <n v="3506"/>
    <s v="311"/>
    <m/>
    <n v="0"/>
    <n v="0"/>
    <n v="0"/>
    <n v="500"/>
    <n v="0"/>
    <n v="500"/>
    <n v="0"/>
    <s v="02902"/>
    <s v="3111"/>
    <s v="00"/>
    <s v="Machines, appareils PA | Bât 1912 / Le Montant / Vieux-Collège - Duillier 9 |"/>
    <m/>
    <m/>
    <m/>
    <m/>
    <m/>
    <m/>
    <x v="0"/>
    <x v="21"/>
    <x v="0"/>
    <x v="0"/>
    <x v="6"/>
    <x v="0"/>
    <x v="0"/>
    <x v="270"/>
    <x v="40"/>
    <x v="0"/>
    <x v="0"/>
    <x v="38"/>
    <x v="0"/>
    <x v="0"/>
    <x v="164"/>
    <m/>
    <m/>
    <m/>
  </r>
  <r>
    <n v="0"/>
    <s v="3506.312"/>
    <s v="1912 - LE MONTANT  ACHATS ELECTRICITE COMMUNAL"/>
    <s v="PCO"/>
    <s v="3506"/>
    <n v="3506"/>
    <s v="312"/>
    <m/>
    <n v="4288.45"/>
    <n v="0"/>
    <n v="4288.45"/>
    <n v="2000"/>
    <n v="0"/>
    <n v="2000"/>
    <n v="510.15"/>
    <s v="02902"/>
    <s v="3120"/>
    <s v="01"/>
    <s v="Frais d'électricité PA | Bât 1912 / Le Montant / Vieux-Collège - Duillier 9 |"/>
    <n v="4288.45"/>
    <m/>
    <m/>
    <m/>
    <m/>
    <m/>
    <x v="0"/>
    <x v="21"/>
    <x v="0"/>
    <x v="0"/>
    <x v="30"/>
    <x v="0"/>
    <x v="0"/>
    <x v="271"/>
    <x v="40"/>
    <x v="0"/>
    <x v="0"/>
    <x v="39"/>
    <x v="1"/>
    <x v="0"/>
    <x v="165"/>
    <m/>
    <m/>
    <m/>
  </r>
  <r>
    <n v="0"/>
    <s v="3506.312.1"/>
    <s v="1912 - LE MONTANT  ACHATS COMBUSTIBLE CAD"/>
    <s v="PCO"/>
    <s v="3506"/>
    <n v="3506"/>
    <s v="312"/>
    <n v="1"/>
    <n v="16986.349999999999"/>
    <n v="0"/>
    <n v="16986.349999999999"/>
    <n v="20000"/>
    <n v="0"/>
    <n v="20000"/>
    <n v="0"/>
    <s v="02902"/>
    <s v="3120"/>
    <s v="00"/>
    <s v="Frais de chauffage  PA | Bât 1912 / Le Montant / Vieux-Collège - Duillier 9 |"/>
    <n v="16986.349999999999"/>
    <m/>
    <m/>
    <m/>
    <m/>
    <m/>
    <x v="0"/>
    <x v="21"/>
    <x v="0"/>
    <x v="0"/>
    <x v="30"/>
    <x v="1"/>
    <x v="0"/>
    <x v="272"/>
    <x v="40"/>
    <x v="0"/>
    <x v="0"/>
    <x v="39"/>
    <x v="0"/>
    <x v="0"/>
    <x v="166"/>
    <m/>
    <m/>
    <m/>
  </r>
  <r>
    <n v="0"/>
    <s v="3506.313"/>
    <s v="1912 - LE MONTANT  ACHATS MARCH PROD ENTRETIEN COMMUNAL"/>
    <s v="PCO"/>
    <s v="3506"/>
    <n v="3506"/>
    <s v="313"/>
    <m/>
    <n v="1238.7"/>
    <n v="0"/>
    <n v="1238.7"/>
    <n v="1000"/>
    <n v="0"/>
    <n v="1000"/>
    <n v="663.95"/>
    <s v="02902"/>
    <s v="3101"/>
    <s v="00"/>
    <s v="Matériel d'exploitation, petites fournitures (produits entretien) PA | Bât 1912 / Le Montant / Vieux-Collège - Duillier 9 |"/>
    <n v="1238.7"/>
    <m/>
    <m/>
    <m/>
    <m/>
    <m/>
    <x v="0"/>
    <x v="21"/>
    <x v="0"/>
    <x v="0"/>
    <x v="53"/>
    <x v="0"/>
    <x v="0"/>
    <x v="273"/>
    <x v="40"/>
    <x v="0"/>
    <x v="0"/>
    <x v="30"/>
    <x v="0"/>
    <x v="0"/>
    <x v="167"/>
    <m/>
    <m/>
    <m/>
  </r>
  <r>
    <n v="0"/>
    <s v="3506.314"/>
    <s v="1912 - LE MONTANT  ENTRETIEN BÂTIMENT COMMUNAL"/>
    <s v="PCO"/>
    <s v="3506"/>
    <n v="3506"/>
    <s v="314"/>
    <m/>
    <n v="7108.65"/>
    <n v="0"/>
    <n v="7108.65"/>
    <n v="12000"/>
    <n v="0"/>
    <n v="12000"/>
    <n v="6200"/>
    <s v="02902"/>
    <s v="3144"/>
    <s v="00"/>
    <s v="Entretien des bâtiments, immeubles  PA | Bât 1912 / Le Montant / Vieux-Collège - Duillier 9 |"/>
    <n v="7108.65"/>
    <m/>
    <m/>
    <m/>
    <m/>
    <m/>
    <x v="0"/>
    <x v="21"/>
    <x v="0"/>
    <x v="0"/>
    <x v="25"/>
    <x v="0"/>
    <x v="0"/>
    <x v="274"/>
    <x v="40"/>
    <x v="0"/>
    <x v="0"/>
    <x v="83"/>
    <x v="0"/>
    <x v="0"/>
    <x v="168"/>
    <m/>
    <m/>
    <m/>
  </r>
  <r>
    <n v="0"/>
    <s v="3506.314.1"/>
    <s v="1912 - LE MONTANT  CONTRATS ENTRETIEN BÂT"/>
    <s v="PCO"/>
    <s v="3506"/>
    <n v="3506"/>
    <s v="314"/>
    <n v="1"/>
    <n v="0"/>
    <n v="0"/>
    <n v="0"/>
    <n v="600"/>
    <n v="0"/>
    <n v="600"/>
    <n v="0"/>
    <s v="02902"/>
    <s v="3144"/>
    <s v="00"/>
    <s v="Entretien des bâtiments, immeubles  PA | Bât 1912 / Le Montant / Vieux-Collège - Duillier 9 |"/>
    <m/>
    <m/>
    <m/>
    <m/>
    <m/>
    <m/>
    <x v="0"/>
    <x v="21"/>
    <x v="0"/>
    <x v="0"/>
    <x v="25"/>
    <x v="1"/>
    <x v="0"/>
    <x v="275"/>
    <x v="40"/>
    <x v="0"/>
    <x v="0"/>
    <x v="83"/>
    <x v="0"/>
    <x v="0"/>
    <x v="168"/>
    <m/>
    <m/>
    <m/>
  </r>
  <r>
    <n v="0"/>
    <s v="3506.314.2"/>
    <s v="1912 - LE MONTANT  DECPTE CHARGES REGIE SPG - VALAUR SA"/>
    <s v="PCO"/>
    <s v="3506"/>
    <n v="3506"/>
    <s v="314"/>
    <n v="2"/>
    <n v="29069.15"/>
    <n v="0"/>
    <n v="29069.15"/>
    <n v="6000"/>
    <n v="0"/>
    <n v="6000"/>
    <n v="0"/>
    <s v="02902"/>
    <s v="3144"/>
    <s v="00"/>
    <s v="Entretien des bâtiments, immeubles  PA | Bât 1912 / Le Montant / Vieux-Collège - Duillier 9 |"/>
    <n v="29069.15"/>
    <m/>
    <m/>
    <m/>
    <m/>
    <m/>
    <x v="0"/>
    <x v="21"/>
    <x v="0"/>
    <x v="0"/>
    <x v="25"/>
    <x v="2"/>
    <x v="0"/>
    <x v="276"/>
    <x v="40"/>
    <x v="0"/>
    <x v="0"/>
    <x v="83"/>
    <x v="0"/>
    <x v="0"/>
    <x v="168"/>
    <m/>
    <m/>
    <m/>
  </r>
  <r>
    <m/>
    <s v="3506.314.2"/>
    <s v="1912 - LE MONTANT  DECPTE CHARGES REGIE SPG - VALAUR SA"/>
    <s v="PCO"/>
    <s v="3506"/>
    <n v="3506"/>
    <s v="314"/>
    <n v="2"/>
    <m/>
    <m/>
    <n v="0"/>
    <m/>
    <m/>
    <n v="0"/>
    <m/>
    <s v="02902"/>
    <s v="3120"/>
    <s v="02"/>
    <s v="Frais d'eau PA | Bât 1912 / Le Montant / Vieux-Collège - Duillier 9 |"/>
    <m/>
    <m/>
    <m/>
    <m/>
    <m/>
    <m/>
    <x v="0"/>
    <x v="21"/>
    <x v="0"/>
    <x v="0"/>
    <x v="25"/>
    <x v="2"/>
    <x v="0"/>
    <x v="276"/>
    <x v="40"/>
    <x v="0"/>
    <x v="0"/>
    <x v="39"/>
    <x v="5"/>
    <x v="0"/>
    <x v="169"/>
    <m/>
    <m/>
    <m/>
  </r>
  <r>
    <m/>
    <s v="3506.314.2"/>
    <s v="1912 - LE MONTANT  DECPTE CHARGES REGIE SPG - VALAUR SA"/>
    <s v="PCO"/>
    <s v="3506"/>
    <n v="3506"/>
    <s v="314"/>
    <n v="2"/>
    <m/>
    <m/>
    <n v="0"/>
    <m/>
    <m/>
    <n v="0"/>
    <m/>
    <s v="02902"/>
    <s v="3110"/>
    <s v="00"/>
    <s v="Meubles et appareils de bureau PA | Bât 1912 / Le Montant / Vieux-Collège - Duillier 9 |"/>
    <m/>
    <m/>
    <m/>
    <m/>
    <m/>
    <m/>
    <x v="0"/>
    <x v="21"/>
    <x v="0"/>
    <x v="0"/>
    <x v="25"/>
    <x v="2"/>
    <x v="0"/>
    <x v="276"/>
    <x v="40"/>
    <x v="0"/>
    <x v="0"/>
    <x v="82"/>
    <x v="0"/>
    <x v="0"/>
    <x v="170"/>
    <m/>
    <m/>
    <m/>
  </r>
  <r>
    <m/>
    <s v="3506.314.2"/>
    <s v="1912 - LE MONTANT  DECPTE CHARGES REGIE SPG - VALAUR SA"/>
    <s v="PCO"/>
    <s v="3506"/>
    <n v="3506"/>
    <s v="314"/>
    <n v="2"/>
    <m/>
    <m/>
    <n v="0"/>
    <m/>
    <m/>
    <n v="0"/>
    <m/>
    <s v="02902"/>
    <s v="3111"/>
    <s v="00"/>
    <s v="Machines, appareils PA | Bât 1912 / Le Montant / Vieux-Collège - Duillier 9 |"/>
    <m/>
    <m/>
    <m/>
    <m/>
    <m/>
    <m/>
    <x v="0"/>
    <x v="21"/>
    <x v="0"/>
    <x v="0"/>
    <x v="25"/>
    <x v="2"/>
    <x v="0"/>
    <x v="276"/>
    <x v="40"/>
    <x v="0"/>
    <x v="0"/>
    <x v="38"/>
    <x v="0"/>
    <x v="0"/>
    <x v="164"/>
    <m/>
    <m/>
    <m/>
  </r>
  <r>
    <n v="0"/>
    <s v="3506.315"/>
    <s v="1912 - LE MONTANT  ENTRETIEN MOB et INST TECH COMMUNAL"/>
    <s v="PCO"/>
    <s v="3506"/>
    <n v="3506"/>
    <s v="315"/>
    <m/>
    <n v="6687.9"/>
    <n v="0"/>
    <n v="6687.9"/>
    <n v="8000"/>
    <n v="0"/>
    <n v="8000"/>
    <n v="754.95"/>
    <s v="02902"/>
    <s v="3144"/>
    <s v="00"/>
    <s v="Entretien des bâtiments, immeubles  PA | Bât 1912 / Le Montant / Vieux-Collège - Duillier 9 |"/>
    <n v="6687.9"/>
    <m/>
    <m/>
    <m/>
    <m/>
    <m/>
    <x v="0"/>
    <x v="21"/>
    <x v="0"/>
    <x v="0"/>
    <x v="24"/>
    <x v="0"/>
    <x v="0"/>
    <x v="277"/>
    <x v="40"/>
    <x v="0"/>
    <x v="0"/>
    <x v="83"/>
    <x v="0"/>
    <x v="0"/>
    <x v="168"/>
    <m/>
    <m/>
    <m/>
  </r>
  <r>
    <n v="0"/>
    <s v="3506.315.1"/>
    <s v="1912 - LE MONTANT  CONTRATS ENT MOB et INST TECH COMMUNAL"/>
    <s v="PCO"/>
    <s v="3506"/>
    <n v="3506"/>
    <s v="315"/>
    <n v="1"/>
    <n v="124.65"/>
    <n v="0"/>
    <n v="124.65"/>
    <n v="130"/>
    <n v="0"/>
    <n v="130"/>
    <n v="124.65"/>
    <s v="02902"/>
    <s v="3144"/>
    <s v="00"/>
    <s v="Entretien des bâtiments, immeubles  PA | Bât 1912 / Le Montant / Vieux-Collège - Duillier 9 |"/>
    <n v="124.65"/>
    <m/>
    <m/>
    <m/>
    <m/>
    <m/>
    <x v="0"/>
    <x v="21"/>
    <x v="0"/>
    <x v="0"/>
    <x v="24"/>
    <x v="1"/>
    <x v="0"/>
    <x v="278"/>
    <x v="40"/>
    <x v="0"/>
    <x v="0"/>
    <x v="83"/>
    <x v="0"/>
    <x v="0"/>
    <x v="168"/>
    <m/>
    <m/>
    <m/>
  </r>
  <r>
    <n v="0"/>
    <s v="3506.318"/>
    <s v="1912 - LE MONTANT  PREST SERVICES ASS et HONORAIRES COMMUNAL"/>
    <s v="PCO"/>
    <s v="3506"/>
    <n v="3506"/>
    <s v="318"/>
    <m/>
    <n v="1965.4"/>
    <n v="0"/>
    <n v="1965.4"/>
    <n v="2000"/>
    <n v="0"/>
    <n v="2000"/>
    <n v="0"/>
    <s v="02902"/>
    <s v="3134"/>
    <s v="00"/>
    <s v="Frais Assurances PA | Bât 1912 / Le Montant / Vieux-Collège - Duillier 9 |"/>
    <n v="1965.4"/>
    <m/>
    <m/>
    <m/>
    <m/>
    <m/>
    <x v="0"/>
    <x v="21"/>
    <x v="0"/>
    <x v="0"/>
    <x v="10"/>
    <x v="0"/>
    <x v="0"/>
    <x v="279"/>
    <x v="40"/>
    <x v="0"/>
    <x v="0"/>
    <x v="21"/>
    <x v="0"/>
    <x v="0"/>
    <x v="171"/>
    <m/>
    <m/>
    <m/>
  </r>
  <r>
    <n v="0"/>
    <s v="3506.331"/>
    <s v="Amortissement Montant"/>
    <s v="PCO"/>
    <s v="3506"/>
    <n v="3506"/>
    <s v="331"/>
    <m/>
    <n v="0"/>
    <n v="0"/>
    <n v="0"/>
    <n v="0"/>
    <n v="0"/>
    <n v="0"/>
    <n v="0"/>
    <s v="-"/>
    <s v="-"/>
    <s v="-"/>
    <m/>
    <m/>
    <m/>
    <m/>
    <m/>
    <m/>
    <m/>
    <x v="0"/>
    <x v="21"/>
    <x v="0"/>
    <x v="0"/>
    <x v="31"/>
    <x v="0"/>
    <x v="0"/>
    <x v="280"/>
    <x v="1"/>
    <x v="0"/>
    <x v="0"/>
    <x v="9"/>
    <x v="2"/>
    <x v="0"/>
    <x v="10"/>
    <m/>
    <m/>
    <m/>
  </r>
  <r>
    <n v="0"/>
    <s v="3506.380"/>
    <s v="1912 - LE MONTANT  ATTRIB FONDS RENOVATION (9281.16)"/>
    <s v="PCO"/>
    <s v="3506"/>
    <n v="3506"/>
    <s v="380"/>
    <m/>
    <n v="0"/>
    <n v="0"/>
    <n v="0"/>
    <n v="0"/>
    <n v="0"/>
    <n v="0"/>
    <n v="0"/>
    <s v="-"/>
    <s v="-"/>
    <s v="-"/>
    <m/>
    <m/>
    <m/>
    <m/>
    <m/>
    <m/>
    <m/>
    <x v="0"/>
    <x v="21"/>
    <x v="0"/>
    <x v="0"/>
    <x v="22"/>
    <x v="0"/>
    <x v="0"/>
    <x v="281"/>
    <x v="1"/>
    <x v="0"/>
    <x v="0"/>
    <x v="9"/>
    <x v="2"/>
    <x v="0"/>
    <x v="10"/>
    <m/>
    <m/>
    <m/>
  </r>
  <r>
    <n v="0"/>
    <s v="3506.390.1"/>
    <s v="1912 - LE MONTANT  IMPUTATIONS INT SALAIRES"/>
    <s v="PCO"/>
    <s v="3506"/>
    <n v="3506"/>
    <s v="390"/>
    <n v="1"/>
    <n v="0"/>
    <n v="0"/>
    <n v="0"/>
    <n v="0"/>
    <n v="0"/>
    <n v="0"/>
    <n v="0"/>
    <s v="-"/>
    <s v="-"/>
    <s v="-"/>
    <m/>
    <m/>
    <m/>
    <m/>
    <m/>
    <m/>
    <m/>
    <x v="0"/>
    <x v="21"/>
    <x v="0"/>
    <x v="0"/>
    <x v="7"/>
    <x v="1"/>
    <x v="0"/>
    <x v="282"/>
    <x v="1"/>
    <x v="0"/>
    <x v="0"/>
    <x v="9"/>
    <x v="2"/>
    <x v="0"/>
    <x v="10"/>
    <m/>
    <m/>
    <m/>
  </r>
  <r>
    <n v="0"/>
    <s v="3506.427"/>
    <s v="1912 - LE MONTANT  LOYER CLASSES et BUREAU"/>
    <s v="PCO"/>
    <s v="3506"/>
    <n v="3506"/>
    <s v="427"/>
    <m/>
    <n v="0"/>
    <n v="-78711"/>
    <n v="-78711"/>
    <n v="0"/>
    <n v="-78000"/>
    <n v="-78000"/>
    <n v="-22806"/>
    <s v="02902"/>
    <n v="4612"/>
    <s v="00"/>
    <s v="AISGE - Loyers PA  | Bât 1912 / Le Montant / Vieux-Collège - Duillier 9 | - Ecole, Bureaux, Centre Jeunes"/>
    <n v="-78711"/>
    <n v="-80274.399999999994"/>
    <m/>
    <s v="Le Montant - ecole. Bureau , centre jeunes"/>
    <m/>
    <m/>
    <x v="0"/>
    <x v="21"/>
    <x v="0"/>
    <x v="0"/>
    <x v="49"/>
    <x v="0"/>
    <x v="0"/>
    <x v="283"/>
    <x v="40"/>
    <x v="0"/>
    <x v="0"/>
    <x v="91"/>
    <x v="0"/>
    <x v="0"/>
    <x v="172"/>
    <m/>
    <m/>
    <m/>
  </r>
  <r>
    <n v="0"/>
    <s v="3506.427.2"/>
    <s v="1912 - LE MONTANT  DECPTE LOYERS REGIE SPG - VALAUR SA"/>
    <s v="PCO"/>
    <s v="3506"/>
    <n v="3506"/>
    <s v="427"/>
    <n v="2"/>
    <n v="0"/>
    <n v="-24920.25"/>
    <n v="-24920.25"/>
    <n v="0"/>
    <n v="-10000"/>
    <n v="-10000"/>
    <n v="0"/>
    <s v="02902"/>
    <s v="4470"/>
    <s v="00"/>
    <s v="Loyers et fermages des biens-fonds PA | Bât 1912 / Le Montant / Vieux-Collège - Duillier 9 |"/>
    <n v="-24920.25"/>
    <m/>
    <m/>
    <m/>
    <m/>
    <m/>
    <x v="0"/>
    <x v="21"/>
    <x v="0"/>
    <x v="0"/>
    <x v="49"/>
    <x v="2"/>
    <x v="0"/>
    <x v="284"/>
    <x v="40"/>
    <x v="0"/>
    <x v="0"/>
    <x v="86"/>
    <x v="0"/>
    <x v="0"/>
    <x v="173"/>
    <m/>
    <m/>
    <m/>
  </r>
  <r>
    <n v="0"/>
    <s v="3506.436"/>
    <s v="1912 - LE MONTANT  PART DE TIERS"/>
    <s v="PCO"/>
    <s v="3506"/>
    <n v="3506"/>
    <s v="436"/>
    <m/>
    <n v="0"/>
    <n v="-349"/>
    <n v="-349"/>
    <n v="0"/>
    <n v="0"/>
    <n v="0"/>
    <n v="0"/>
    <s v="02902"/>
    <s v="4472"/>
    <s v="00"/>
    <s v="Paiement pour utilisation des immeubles - PA | Bât 1912 / Le Montant / Vieux-Collège - Duillier 9 |"/>
    <n v="-349"/>
    <m/>
    <m/>
    <s v="jetons buanderie"/>
    <m/>
    <m/>
    <x v="0"/>
    <x v="21"/>
    <x v="0"/>
    <x v="0"/>
    <x v="13"/>
    <x v="0"/>
    <x v="0"/>
    <x v="285"/>
    <x v="40"/>
    <x v="0"/>
    <x v="0"/>
    <x v="92"/>
    <x v="0"/>
    <x v="0"/>
    <x v="174"/>
    <m/>
    <m/>
    <m/>
  </r>
  <r>
    <n v="0"/>
    <s v="3506.480"/>
    <s v="Prél. s/fonds de réserve Le Montant (9282.1)"/>
    <s v="PCO"/>
    <s v="3506"/>
    <n v="3506"/>
    <s v="480"/>
    <m/>
    <n v="0"/>
    <n v="0"/>
    <n v="0"/>
    <n v="0"/>
    <n v="0"/>
    <n v="0"/>
    <n v="0"/>
    <s v="-"/>
    <s v="-"/>
    <s v="-"/>
    <m/>
    <m/>
    <m/>
    <m/>
    <m/>
    <m/>
    <m/>
    <x v="0"/>
    <x v="21"/>
    <x v="0"/>
    <x v="0"/>
    <x v="14"/>
    <x v="0"/>
    <x v="0"/>
    <x v="286"/>
    <x v="1"/>
    <x v="0"/>
    <x v="0"/>
    <x v="9"/>
    <x v="2"/>
    <x v="0"/>
    <x v="10"/>
    <m/>
    <m/>
    <m/>
  </r>
  <r>
    <n v="0"/>
    <s v="3506.490"/>
    <s v="1912 - LE MONTANT  IMPUTATIONS INTERNES"/>
    <s v="PCO"/>
    <s v="3506"/>
    <n v="3506"/>
    <s v="490"/>
    <m/>
    <n v="0"/>
    <n v="0"/>
    <n v="0"/>
    <n v="0"/>
    <n v="0"/>
    <n v="0"/>
    <n v="0"/>
    <s v="-"/>
    <s v="-"/>
    <s v="-"/>
    <m/>
    <m/>
    <m/>
    <m/>
    <m/>
    <m/>
    <m/>
    <x v="0"/>
    <x v="21"/>
    <x v="0"/>
    <x v="0"/>
    <x v="15"/>
    <x v="0"/>
    <x v="0"/>
    <x v="287"/>
    <x v="1"/>
    <x v="0"/>
    <x v="0"/>
    <x v="9"/>
    <x v="2"/>
    <x v="0"/>
    <x v="10"/>
    <m/>
    <m/>
    <m/>
  </r>
  <r>
    <n v="0"/>
    <s v="3507.311"/>
    <s v="BOUCHERIE  ACHATS MOBILIER MACH. MATERIEL COMMUNAL"/>
    <s v="PCO"/>
    <s v="3507"/>
    <n v="3507"/>
    <s v="311"/>
    <m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6"/>
    <x v="0"/>
    <x v="0"/>
    <x v="288"/>
    <x v="1"/>
    <x v="0"/>
    <x v="0"/>
    <x v="9"/>
    <x v="2"/>
    <x v="0"/>
    <x v="10"/>
    <m/>
    <m/>
    <m/>
  </r>
  <r>
    <n v="0"/>
    <s v="3507.312"/>
    <s v="BOUCHERIE  ACHATS ELECTRICITE (INACTIF)"/>
    <s v="PCO"/>
    <s v="3507"/>
    <n v="3507"/>
    <s v="312"/>
    <m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30"/>
    <x v="0"/>
    <x v="0"/>
    <x v="289"/>
    <x v="1"/>
    <x v="0"/>
    <x v="0"/>
    <x v="9"/>
    <x v="2"/>
    <x v="0"/>
    <x v="10"/>
    <m/>
    <m/>
    <m/>
  </r>
  <r>
    <n v="0"/>
    <s v="3507.312.1"/>
    <s v="BOUCHERIE  ACHATS COMBUSTIBLE CAD (INACTIF)"/>
    <s v="PCO"/>
    <s v="3507"/>
    <n v="3507"/>
    <s v="312"/>
    <n v="1"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30"/>
    <x v="1"/>
    <x v="0"/>
    <x v="290"/>
    <x v="1"/>
    <x v="0"/>
    <x v="0"/>
    <x v="9"/>
    <x v="2"/>
    <x v="0"/>
    <x v="10"/>
    <m/>
    <m/>
    <m/>
  </r>
  <r>
    <n v="0"/>
    <s v="3507.313"/>
    <s v="BOUCHERIE  ACHATS MARCHANDISES (INACTIF)"/>
    <s v="PCO"/>
    <s v="3507"/>
    <n v="3507"/>
    <s v="313"/>
    <m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53"/>
    <x v="0"/>
    <x v="0"/>
    <x v="291"/>
    <x v="1"/>
    <x v="0"/>
    <x v="0"/>
    <x v="9"/>
    <x v="2"/>
    <x v="0"/>
    <x v="10"/>
    <m/>
    <m/>
    <m/>
  </r>
  <r>
    <n v="0"/>
    <s v="3507.314"/>
    <s v="BOUCHERIE  ENTRETIEN BÂTIMENT COMMUNAL"/>
    <s v="PCO"/>
    <s v="3507"/>
    <n v="3507"/>
    <s v="314"/>
    <m/>
    <n v="7482"/>
    <n v="0"/>
    <n v="7482"/>
    <n v="1000"/>
    <n v="0"/>
    <n v="1000"/>
    <n v="0"/>
    <s v="96305"/>
    <s v="3431"/>
    <s v="00"/>
    <s v="Entretien courant, biens-fonds PF | Bât Boucherie / Village 9 |"/>
    <n v="7482"/>
    <m/>
    <m/>
    <m/>
    <m/>
    <m/>
    <x v="0"/>
    <x v="22"/>
    <x v="0"/>
    <x v="0"/>
    <x v="25"/>
    <x v="0"/>
    <x v="0"/>
    <x v="292"/>
    <x v="41"/>
    <x v="0"/>
    <x v="0"/>
    <x v="75"/>
    <x v="0"/>
    <x v="0"/>
    <x v="175"/>
    <m/>
    <m/>
    <m/>
  </r>
  <r>
    <n v="0"/>
    <s v="3507.314.1"/>
    <s v="BOUCHERIE  CONTRATS ENTRETIEN BÂT"/>
    <s v="PCO"/>
    <s v="3507"/>
    <n v="3507"/>
    <s v="314"/>
    <n v="1"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25"/>
    <x v="1"/>
    <x v="0"/>
    <x v="293"/>
    <x v="1"/>
    <x v="0"/>
    <x v="0"/>
    <x v="9"/>
    <x v="2"/>
    <x v="0"/>
    <x v="10"/>
    <m/>
    <m/>
    <m/>
  </r>
  <r>
    <n v="0"/>
    <s v="3507.314.2"/>
    <s v="BOUCHERIE  DECPT CHARGES REGIE SPG - VALAUR SA"/>
    <s v="PCO"/>
    <s v="3507"/>
    <n v="3507"/>
    <s v="314"/>
    <n v="2"/>
    <n v="307.60000000000002"/>
    <n v="0"/>
    <n v="307.60000000000002"/>
    <n v="2000"/>
    <n v="0"/>
    <n v="2000"/>
    <n v="0"/>
    <s v="96305"/>
    <s v="3431"/>
    <s v="00"/>
    <s v="Entretien courant, biens-fonds PF | Bât Boucherie / Village 9 |"/>
    <n v="307.60000000000002"/>
    <m/>
    <m/>
    <m/>
    <m/>
    <m/>
    <x v="0"/>
    <x v="22"/>
    <x v="0"/>
    <x v="0"/>
    <x v="25"/>
    <x v="2"/>
    <x v="0"/>
    <x v="294"/>
    <x v="41"/>
    <x v="0"/>
    <x v="0"/>
    <x v="75"/>
    <x v="0"/>
    <x v="0"/>
    <x v="175"/>
    <m/>
    <m/>
    <m/>
  </r>
  <r>
    <m/>
    <s v="3507.314.2"/>
    <s v="BOUCHERIE  DECPT CHARGES REGIE SPG - VALAUR SA"/>
    <s v="PCO"/>
    <s v="3507"/>
    <n v="3507"/>
    <s v="314"/>
    <n v="2"/>
    <m/>
    <m/>
    <n v="0"/>
    <m/>
    <m/>
    <n v="0"/>
    <m/>
    <s v="96305"/>
    <s v="3439"/>
    <s v="01"/>
    <s v="Autres charges de biens-fonds PF | Bât Boucherie / Village 9 | Eau"/>
    <m/>
    <m/>
    <m/>
    <m/>
    <m/>
    <m/>
    <x v="0"/>
    <x v="22"/>
    <x v="0"/>
    <x v="0"/>
    <x v="25"/>
    <x v="2"/>
    <x v="0"/>
    <x v="294"/>
    <x v="41"/>
    <x v="0"/>
    <x v="0"/>
    <x v="81"/>
    <x v="1"/>
    <x v="0"/>
    <x v="176"/>
    <m/>
    <m/>
    <m/>
  </r>
  <r>
    <m/>
    <s v="3507.314.2"/>
    <s v="BOUCHERIE  DECPT CHARGES REGIE SPG - VALAUR SA"/>
    <s v="PCO"/>
    <s v="3507"/>
    <n v="3507"/>
    <s v="314"/>
    <n v="2"/>
    <m/>
    <m/>
    <n v="0"/>
    <m/>
    <m/>
    <n v="0"/>
    <m/>
    <s v="96305"/>
    <s v="3439"/>
    <s v="02"/>
    <s v="Autres charges de biens-fonds PF | Bât Boucherie / Village 9 | Electricité"/>
    <m/>
    <m/>
    <m/>
    <m/>
    <m/>
    <m/>
    <x v="0"/>
    <x v="22"/>
    <x v="0"/>
    <x v="0"/>
    <x v="25"/>
    <x v="2"/>
    <x v="0"/>
    <x v="294"/>
    <x v="41"/>
    <x v="0"/>
    <x v="0"/>
    <x v="81"/>
    <x v="5"/>
    <x v="0"/>
    <x v="177"/>
    <m/>
    <m/>
    <m/>
  </r>
  <r>
    <m/>
    <s v="3507.314.2"/>
    <s v="BOUCHERIE  DECPT CHARGES REGIE SPG - VALAUR SA"/>
    <s v="PCO"/>
    <s v="3507"/>
    <n v="3507"/>
    <s v="314"/>
    <n v="2"/>
    <m/>
    <m/>
    <n v="0"/>
    <m/>
    <m/>
    <n v="0"/>
    <m/>
    <s v="96305"/>
    <s v="3439"/>
    <s v="03"/>
    <s v="Autres charges de biens-fonds PF | Bât Boucherie / Village 9 | Chauffage"/>
    <m/>
    <m/>
    <m/>
    <m/>
    <m/>
    <m/>
    <x v="0"/>
    <x v="22"/>
    <x v="0"/>
    <x v="0"/>
    <x v="25"/>
    <x v="2"/>
    <x v="0"/>
    <x v="294"/>
    <x v="41"/>
    <x v="0"/>
    <x v="0"/>
    <x v="81"/>
    <x v="9"/>
    <x v="0"/>
    <x v="178"/>
    <m/>
    <m/>
    <m/>
  </r>
  <r>
    <m/>
    <s v="3507.314.2"/>
    <s v="BOUCHERIE  DECPT CHARGES REGIE SPG - VALAUR SA"/>
    <s v="PCO"/>
    <s v="3507"/>
    <n v="3507"/>
    <s v="314"/>
    <n v="2"/>
    <m/>
    <m/>
    <n v="0"/>
    <m/>
    <m/>
    <n v="0"/>
    <m/>
    <s v="96305"/>
    <s v="3439"/>
    <s v="04"/>
    <s v="Autres charges de biens-fonds PF | Bât Boucherie / Village 9 | Frais de gérance"/>
    <m/>
    <m/>
    <m/>
    <m/>
    <m/>
    <m/>
    <x v="0"/>
    <x v="22"/>
    <x v="0"/>
    <x v="0"/>
    <x v="25"/>
    <x v="2"/>
    <x v="0"/>
    <x v="294"/>
    <x v="41"/>
    <x v="0"/>
    <x v="0"/>
    <x v="81"/>
    <x v="3"/>
    <x v="0"/>
    <x v="179"/>
    <m/>
    <m/>
    <m/>
  </r>
  <r>
    <m/>
    <s v="3507.314.2"/>
    <s v="BOUCHERIE  DECPT CHARGES REGIE SPG - VALAUR SA"/>
    <s v="PCO"/>
    <s v="3507"/>
    <n v="3507"/>
    <s v="314"/>
    <n v="2"/>
    <m/>
    <m/>
    <n v="0"/>
    <m/>
    <m/>
    <n v="0"/>
    <m/>
    <s v="96305"/>
    <s v="3430"/>
    <s v="00"/>
    <s v="Tavaux Ponctuels, biens-fonds PF | Bât Boucherie / Village 9 |"/>
    <m/>
    <m/>
    <m/>
    <m/>
    <m/>
    <m/>
    <x v="0"/>
    <x v="22"/>
    <x v="0"/>
    <x v="0"/>
    <x v="25"/>
    <x v="2"/>
    <x v="0"/>
    <x v="294"/>
    <x v="41"/>
    <x v="0"/>
    <x v="0"/>
    <x v="80"/>
    <x v="0"/>
    <x v="0"/>
    <x v="180"/>
    <m/>
    <m/>
    <m/>
  </r>
  <r>
    <n v="0"/>
    <s v="3507.315"/>
    <s v="BOUCHERIE  ENT MOB et INST TECH"/>
    <s v="PCO"/>
    <s v="3507"/>
    <n v="3507"/>
    <s v="315"/>
    <m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24"/>
    <x v="0"/>
    <x v="0"/>
    <x v="295"/>
    <x v="1"/>
    <x v="0"/>
    <x v="0"/>
    <x v="9"/>
    <x v="2"/>
    <x v="0"/>
    <x v="10"/>
    <m/>
    <m/>
    <m/>
  </r>
  <r>
    <n v="0"/>
    <s v="3507.315.1"/>
    <s v="BOUCHERIE  CONTRAT ENT INST TECH (INACTIF)"/>
    <s v="PCO"/>
    <s v="3507"/>
    <n v="3507"/>
    <s v="315"/>
    <n v="1"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24"/>
    <x v="1"/>
    <x v="0"/>
    <x v="296"/>
    <x v="1"/>
    <x v="0"/>
    <x v="0"/>
    <x v="9"/>
    <x v="2"/>
    <x v="0"/>
    <x v="10"/>
    <m/>
    <m/>
    <m/>
  </r>
  <r>
    <n v="0"/>
    <s v="3507.318"/>
    <s v="BOUCHERIE  PREST SERVICES ASS et HONORAIRES"/>
    <s v="PCO"/>
    <s v="3507"/>
    <n v="3507"/>
    <s v="318"/>
    <m/>
    <n v="325.14999999999998"/>
    <n v="0"/>
    <n v="325.14999999999998"/>
    <n v="0"/>
    <n v="0"/>
    <n v="0"/>
    <n v="0"/>
    <s v="96305"/>
    <s v="3439"/>
    <s v="00"/>
    <s v="Autres charges de biens-fonds PF | Bât Boucherie / Village 9 | Assurances"/>
    <n v="325.14999999999998"/>
    <m/>
    <m/>
    <m/>
    <m/>
    <m/>
    <x v="0"/>
    <x v="22"/>
    <x v="0"/>
    <x v="0"/>
    <x v="10"/>
    <x v="0"/>
    <x v="0"/>
    <x v="297"/>
    <x v="41"/>
    <x v="0"/>
    <x v="0"/>
    <x v="81"/>
    <x v="0"/>
    <x v="0"/>
    <x v="181"/>
    <m/>
    <m/>
    <m/>
  </r>
  <r>
    <n v="0"/>
    <s v="3507.380"/>
    <s v="BOUCHERIE  ATTRIB FONDS RENOVATION (9281.17)"/>
    <s v="PCO"/>
    <s v="3507"/>
    <n v="3507"/>
    <s v="380"/>
    <m/>
    <n v="0"/>
    <n v="0"/>
    <n v="0"/>
    <n v="0"/>
    <n v="0"/>
    <n v="0"/>
    <n v="0"/>
    <s v="-"/>
    <s v="-"/>
    <s v="-"/>
    <m/>
    <m/>
    <m/>
    <m/>
    <m/>
    <m/>
    <m/>
    <x v="0"/>
    <x v="22"/>
    <x v="0"/>
    <x v="0"/>
    <x v="22"/>
    <x v="0"/>
    <x v="0"/>
    <x v="298"/>
    <x v="1"/>
    <x v="0"/>
    <x v="0"/>
    <x v="9"/>
    <x v="2"/>
    <x v="0"/>
    <x v="10"/>
    <m/>
    <m/>
    <m/>
  </r>
  <r>
    <n v="0"/>
    <s v="3507.427.2"/>
    <s v="BOUCHERIE  DECPTE LOYERS REGIE SPG - VALAUR SA"/>
    <s v="PCO"/>
    <s v="3507"/>
    <n v="3507"/>
    <s v="427"/>
    <n v="2"/>
    <n v="0"/>
    <n v="-26534"/>
    <n v="-26534"/>
    <n v="0"/>
    <n v="-27500"/>
    <n v="-27500"/>
    <n v="0"/>
    <s v="96305"/>
    <s v="4430"/>
    <s v="00"/>
    <s v="Loyers et fermages, immeubles du PF | Bât Boucherie / Village 9 |"/>
    <n v="-26534"/>
    <m/>
    <m/>
    <m/>
    <m/>
    <m/>
    <x v="0"/>
    <x v="22"/>
    <x v="0"/>
    <x v="0"/>
    <x v="49"/>
    <x v="2"/>
    <x v="0"/>
    <x v="299"/>
    <x v="41"/>
    <x v="0"/>
    <x v="0"/>
    <x v="76"/>
    <x v="0"/>
    <x v="0"/>
    <x v="182"/>
    <m/>
    <m/>
    <m/>
  </r>
  <r>
    <n v="0"/>
    <s v="3507.436"/>
    <s v="BOUCHERIE PART. TIERS"/>
    <s v="PCO"/>
    <s v="3507"/>
    <n v="3507"/>
    <s v="436"/>
    <m/>
    <n v="0"/>
    <n v="-1593.3"/>
    <n v="-1593.3"/>
    <n v="0"/>
    <n v="0"/>
    <n v="0"/>
    <n v="0"/>
    <s v="96305"/>
    <s v="4260"/>
    <s v="00"/>
    <s v="Remboursements et participations de tiers PF | Bât Boucherie / Village 9 |"/>
    <n v="-1593.3"/>
    <m/>
    <m/>
    <m/>
    <m/>
    <m/>
    <x v="0"/>
    <x v="22"/>
    <x v="0"/>
    <x v="0"/>
    <x v="13"/>
    <x v="0"/>
    <x v="0"/>
    <x v="300"/>
    <x v="41"/>
    <x v="0"/>
    <x v="0"/>
    <x v="46"/>
    <x v="0"/>
    <x v="0"/>
    <x v="183"/>
    <m/>
    <m/>
    <m/>
  </r>
  <r>
    <n v="0"/>
    <s v="3508.301"/>
    <s v="BÂTIMENT EGLISE  SALAIRE"/>
    <s v="PCO"/>
    <s v="3508"/>
    <n v="3508"/>
    <s v="301"/>
    <m/>
    <n v="3893.55"/>
    <n v="0"/>
    <n v="3893.55"/>
    <n v="3500"/>
    <n v="0"/>
    <n v="3500"/>
    <n v="1621.7"/>
    <s v="35000"/>
    <s v="3010"/>
    <s v="00"/>
    <s v="Salaire du personnel administratif"/>
    <n v="3893.55"/>
    <m/>
    <m/>
    <s v="Anne-Lise Bariatti"/>
    <m/>
    <m/>
    <x v="0"/>
    <x v="23"/>
    <x v="0"/>
    <x v="0"/>
    <x v="1"/>
    <x v="0"/>
    <x v="0"/>
    <x v="301"/>
    <x v="33"/>
    <x v="0"/>
    <x v="0"/>
    <x v="15"/>
    <x v="0"/>
    <x v="0"/>
    <x v="19"/>
    <m/>
    <m/>
    <m/>
  </r>
  <r>
    <m/>
    <s v="3508.301"/>
    <s v="BÂTIMENT EGLISE  SALAIRE"/>
    <s v="PCO"/>
    <m/>
    <n v="3508"/>
    <s v="301"/>
    <m/>
    <m/>
    <m/>
    <n v="0"/>
    <m/>
    <m/>
    <n v="0"/>
    <m/>
    <s v="35000"/>
    <s v="3010"/>
    <s v="99"/>
    <s v="Remboursements IJM"/>
    <m/>
    <m/>
    <m/>
    <m/>
    <m/>
    <m/>
    <x v="0"/>
    <x v="23"/>
    <x v="0"/>
    <x v="0"/>
    <x v="1"/>
    <x v="0"/>
    <x v="0"/>
    <x v="301"/>
    <x v="33"/>
    <x v="0"/>
    <x v="0"/>
    <x v="15"/>
    <x v="4"/>
    <x v="0"/>
    <x v="20"/>
    <m/>
    <m/>
    <m/>
  </r>
  <r>
    <n v="0"/>
    <s v="3508.303"/>
    <s v="BÂTIMENT EGLISE  COTISATION AVS AC AF"/>
    <s v="PCO"/>
    <s v="3508"/>
    <n v="3508"/>
    <s v="303"/>
    <m/>
    <n v="332.55"/>
    <n v="0"/>
    <n v="332.55"/>
    <n v="350"/>
    <n v="0"/>
    <n v="350"/>
    <n v="3.9"/>
    <s v="35000"/>
    <s v="3050"/>
    <s v="00"/>
    <s v="Cotisations AVS, AI, APG, AC, frais adm"/>
    <n v="332.55"/>
    <m/>
    <m/>
    <m/>
    <m/>
    <m/>
    <x v="0"/>
    <x v="23"/>
    <x v="0"/>
    <x v="0"/>
    <x v="2"/>
    <x v="0"/>
    <x v="0"/>
    <x v="302"/>
    <x v="33"/>
    <x v="0"/>
    <x v="0"/>
    <x v="1"/>
    <x v="0"/>
    <x v="0"/>
    <x v="2"/>
    <m/>
    <m/>
    <m/>
  </r>
  <r>
    <m/>
    <s v="3508.303"/>
    <s v="BÂTIMENT EGLISE  COTISATION AVS AC AF"/>
    <s v="PCO"/>
    <s v="3508"/>
    <n v="3508"/>
    <s v="303"/>
    <m/>
    <m/>
    <m/>
    <n v="0"/>
    <m/>
    <m/>
    <n v="0"/>
    <m/>
    <s v="35000"/>
    <s v="3054"/>
    <s v="00"/>
    <s v="Cotisations CAF"/>
    <m/>
    <m/>
    <m/>
    <m/>
    <m/>
    <m/>
    <x v="0"/>
    <x v="23"/>
    <x v="0"/>
    <x v="0"/>
    <x v="2"/>
    <x v="0"/>
    <x v="0"/>
    <x v="302"/>
    <x v="33"/>
    <x v="0"/>
    <x v="0"/>
    <x v="2"/>
    <x v="0"/>
    <x v="0"/>
    <x v="3"/>
    <m/>
    <m/>
    <m/>
  </r>
  <r>
    <n v="0"/>
    <s v="3508.304"/>
    <s v="BÂTIMENT EGLISE  CAISSE PREVOYANCE LPP"/>
    <s v="PCO"/>
    <s v="3508"/>
    <n v="3508"/>
    <s v="304"/>
    <m/>
    <n v="0"/>
    <n v="0"/>
    <n v="0"/>
    <n v="0"/>
    <n v="0"/>
    <n v="0"/>
    <n v="0"/>
    <s v="35000"/>
    <s v="3052"/>
    <s v="00"/>
    <s v="Cotisations patronales aux caisses de pensions"/>
    <m/>
    <m/>
    <m/>
    <m/>
    <m/>
    <m/>
    <x v="0"/>
    <x v="23"/>
    <x v="0"/>
    <x v="0"/>
    <x v="8"/>
    <x v="0"/>
    <x v="0"/>
    <x v="303"/>
    <x v="33"/>
    <x v="0"/>
    <x v="0"/>
    <x v="4"/>
    <x v="0"/>
    <x v="0"/>
    <x v="5"/>
    <m/>
    <m/>
    <m/>
  </r>
  <r>
    <n v="0"/>
    <s v="3508.305"/>
    <s v="BÂTIMENT EGLISE  ASS ACCIDENTS et MALADIE"/>
    <s v="PCO"/>
    <s v="3508"/>
    <n v="3508"/>
    <s v="305"/>
    <m/>
    <n v="90.6"/>
    <n v="0"/>
    <n v="90.6"/>
    <n v="100"/>
    <n v="0"/>
    <n v="100"/>
    <n v="38.9"/>
    <s v="35000"/>
    <s v="3053"/>
    <s v="00"/>
    <s v="Cotisations patronales aux assurance-accidents"/>
    <n v="90.6"/>
    <m/>
    <m/>
    <m/>
    <m/>
    <m/>
    <x v="0"/>
    <x v="23"/>
    <x v="0"/>
    <x v="0"/>
    <x v="3"/>
    <x v="0"/>
    <x v="0"/>
    <x v="304"/>
    <x v="33"/>
    <x v="0"/>
    <x v="0"/>
    <x v="3"/>
    <x v="0"/>
    <x v="0"/>
    <x v="4"/>
    <m/>
    <m/>
    <m/>
  </r>
  <r>
    <n v="0"/>
    <s v="3508.306"/>
    <s v="BÂTIMENT EGLISE FRAIS DU PERSONNEL"/>
    <s v="PCO"/>
    <s v="3508"/>
    <n v="3508"/>
    <s v="306"/>
    <m/>
    <n v="0"/>
    <n v="0"/>
    <n v="0"/>
    <n v="0"/>
    <n v="0"/>
    <n v="0"/>
    <n v="0"/>
    <s v="35000"/>
    <s v="3099"/>
    <s v="00"/>
    <s v="Autres charges du personnel"/>
    <m/>
    <m/>
    <m/>
    <m/>
    <m/>
    <m/>
    <x v="0"/>
    <x v="23"/>
    <x v="0"/>
    <x v="0"/>
    <x v="5"/>
    <x v="0"/>
    <x v="0"/>
    <x v="305"/>
    <x v="33"/>
    <x v="0"/>
    <x v="0"/>
    <x v="5"/>
    <x v="0"/>
    <x v="0"/>
    <x v="6"/>
    <m/>
    <m/>
    <m/>
  </r>
  <r>
    <m/>
    <s v="3508.306"/>
    <s v="BÂTIMENT EGLISE FRAIS DU PERSONNEL"/>
    <s v="PCO"/>
    <m/>
    <n v="3508"/>
    <s v="306"/>
    <m/>
    <m/>
    <m/>
    <n v="0"/>
    <m/>
    <m/>
    <n v="0"/>
    <m/>
    <s v="35000"/>
    <s v="3090"/>
    <s v="00"/>
    <s v="Formation et perfectionnement"/>
    <m/>
    <m/>
    <m/>
    <m/>
    <m/>
    <m/>
    <x v="0"/>
    <x v="23"/>
    <x v="0"/>
    <x v="0"/>
    <x v="5"/>
    <x v="0"/>
    <x v="0"/>
    <x v="305"/>
    <x v="33"/>
    <x v="0"/>
    <x v="0"/>
    <x v="11"/>
    <x v="0"/>
    <x v="0"/>
    <x v="14"/>
    <m/>
    <m/>
    <m/>
  </r>
  <r>
    <m/>
    <s v="3508.306"/>
    <s v="BÂTIMENT EGLISE FRAIS DU PERSONNEL"/>
    <s v="PCO"/>
    <m/>
    <n v="3508"/>
    <s v="306"/>
    <m/>
    <m/>
    <m/>
    <n v="0"/>
    <m/>
    <m/>
    <n v="0"/>
    <m/>
    <s v="35000"/>
    <s v="3091"/>
    <s v="00"/>
    <s v="Recrutement"/>
    <m/>
    <m/>
    <m/>
    <m/>
    <m/>
    <m/>
    <x v="0"/>
    <x v="23"/>
    <x v="0"/>
    <x v="0"/>
    <x v="5"/>
    <x v="0"/>
    <x v="0"/>
    <x v="305"/>
    <x v="33"/>
    <x v="0"/>
    <x v="0"/>
    <x v="17"/>
    <x v="0"/>
    <x v="0"/>
    <x v="21"/>
    <m/>
    <m/>
    <m/>
  </r>
  <r>
    <n v="0"/>
    <s v="3508.311"/>
    <s v="BÂTIMENT EGLISE  ACHATS MOBILIER MACH. MATERIEL"/>
    <s v="PCO"/>
    <s v="3508"/>
    <n v="3508"/>
    <s v="311"/>
    <m/>
    <n v="0"/>
    <n v="0"/>
    <n v="0"/>
    <n v="500"/>
    <n v="0"/>
    <n v="500"/>
    <n v="0"/>
    <s v="35000"/>
    <s v="3110"/>
    <s v="00"/>
    <s v="Meubles et appareils de bureau PA | Eglise |"/>
    <m/>
    <m/>
    <m/>
    <m/>
    <m/>
    <m/>
    <x v="0"/>
    <x v="23"/>
    <x v="0"/>
    <x v="0"/>
    <x v="6"/>
    <x v="0"/>
    <x v="0"/>
    <x v="306"/>
    <x v="33"/>
    <x v="0"/>
    <x v="0"/>
    <x v="82"/>
    <x v="0"/>
    <x v="0"/>
    <x v="184"/>
    <m/>
    <m/>
    <m/>
  </r>
  <r>
    <n v="0"/>
    <s v="3508.312"/>
    <s v="BÂTIMENT EGLISE  ACHATS ELECTRICITE COMBUSTIBLE"/>
    <s v="PCO"/>
    <s v="3508"/>
    <n v="3508"/>
    <s v="312"/>
    <m/>
    <n v="3779.9"/>
    <n v="0"/>
    <n v="3779.9"/>
    <n v="7500"/>
    <n v="0"/>
    <n v="7500"/>
    <n v="2025.4"/>
    <s v="35000"/>
    <s v="3120"/>
    <s v="01"/>
    <s v="Frais d'électricité PA | Eglise |"/>
    <n v="3779.9"/>
    <m/>
    <m/>
    <m/>
    <m/>
    <m/>
    <x v="0"/>
    <x v="23"/>
    <x v="0"/>
    <x v="0"/>
    <x v="30"/>
    <x v="0"/>
    <x v="0"/>
    <x v="307"/>
    <x v="33"/>
    <x v="0"/>
    <x v="0"/>
    <x v="39"/>
    <x v="1"/>
    <x v="0"/>
    <x v="185"/>
    <m/>
    <m/>
    <m/>
  </r>
  <r>
    <n v="0"/>
    <s v="3508.313"/>
    <s v="BÂTIMENT EGLISE  ACHATS MARCH  PROD ENT"/>
    <s v="PCO"/>
    <s v="3508"/>
    <n v="3508"/>
    <s v="313"/>
    <m/>
    <n v="0"/>
    <n v="0"/>
    <n v="0"/>
    <n v="800"/>
    <n v="0"/>
    <n v="800"/>
    <n v="0"/>
    <s v="35000"/>
    <s v="3101"/>
    <s v="00"/>
    <s v="Matériel d'exploitation, petites fournitures PA | Eglise |"/>
    <m/>
    <m/>
    <m/>
    <m/>
    <m/>
    <m/>
    <x v="0"/>
    <x v="23"/>
    <x v="0"/>
    <x v="0"/>
    <x v="53"/>
    <x v="0"/>
    <x v="0"/>
    <x v="308"/>
    <x v="33"/>
    <x v="0"/>
    <x v="0"/>
    <x v="30"/>
    <x v="0"/>
    <x v="0"/>
    <x v="186"/>
    <m/>
    <m/>
    <m/>
  </r>
  <r>
    <n v="0"/>
    <s v="3508.314"/>
    <s v="BÂTIMENT EGLISE  ENTRETIEN BÂTIMENT"/>
    <s v="PCO"/>
    <s v="3508"/>
    <n v="3508"/>
    <s v="314"/>
    <m/>
    <n v="2741.45"/>
    <n v="0"/>
    <n v="2741.45"/>
    <n v="2000"/>
    <n v="0"/>
    <n v="2000"/>
    <n v="0"/>
    <s v="35000"/>
    <s v="3144"/>
    <s v="00"/>
    <s v="Entretien des bâtiments, immeubles PA | Eglise |"/>
    <n v="2741.45"/>
    <m/>
    <m/>
    <m/>
    <m/>
    <m/>
    <x v="0"/>
    <x v="23"/>
    <x v="0"/>
    <x v="0"/>
    <x v="25"/>
    <x v="0"/>
    <x v="0"/>
    <x v="309"/>
    <x v="33"/>
    <x v="0"/>
    <x v="0"/>
    <x v="83"/>
    <x v="0"/>
    <x v="0"/>
    <x v="187"/>
    <m/>
    <m/>
    <m/>
  </r>
  <r>
    <m/>
    <s v="3508.314"/>
    <s v="BÂTIMENT EGLISE  ENTRETIEN BÂTIMENT"/>
    <s v="PCO"/>
    <s v="3508"/>
    <n v="3508"/>
    <s v="314"/>
    <m/>
    <m/>
    <m/>
    <n v="0"/>
    <m/>
    <m/>
    <n v="0"/>
    <m/>
    <s v="35000"/>
    <s v="3120"/>
    <s v="00"/>
    <s v="Frais de chauffage PA | Eglise |"/>
    <m/>
    <m/>
    <m/>
    <m/>
    <m/>
    <m/>
    <x v="0"/>
    <x v="23"/>
    <x v="0"/>
    <x v="0"/>
    <x v="25"/>
    <x v="0"/>
    <x v="0"/>
    <x v="309"/>
    <x v="33"/>
    <x v="0"/>
    <x v="0"/>
    <x v="39"/>
    <x v="0"/>
    <x v="0"/>
    <x v="188"/>
    <m/>
    <m/>
    <m/>
  </r>
  <r>
    <m/>
    <s v="3508.314"/>
    <s v="BÂTIMENT EGLISE  ENTRETIEN BÂTIMENT"/>
    <s v="PCO"/>
    <s v="3508"/>
    <n v="3508"/>
    <s v="314"/>
    <m/>
    <m/>
    <m/>
    <n v="0"/>
    <m/>
    <m/>
    <n v="0"/>
    <m/>
    <s v="35000"/>
    <s v="3120"/>
    <s v="02"/>
    <s v="Frais d'eau PA | Eglise |"/>
    <m/>
    <m/>
    <m/>
    <m/>
    <m/>
    <m/>
    <x v="0"/>
    <x v="23"/>
    <x v="0"/>
    <x v="0"/>
    <x v="25"/>
    <x v="0"/>
    <x v="0"/>
    <x v="309"/>
    <x v="33"/>
    <x v="0"/>
    <x v="0"/>
    <x v="39"/>
    <x v="5"/>
    <x v="0"/>
    <x v="189"/>
    <m/>
    <m/>
    <m/>
  </r>
  <r>
    <m/>
    <s v="3508.314"/>
    <s v="BÂTIMENT EGLISE  ENTRETIEN BÂTIMENT"/>
    <s v="PCO"/>
    <s v="3508"/>
    <n v="3508"/>
    <s v="314"/>
    <m/>
    <m/>
    <m/>
    <n v="0"/>
    <m/>
    <m/>
    <n v="0"/>
    <m/>
    <s v="35000"/>
    <s v="3101"/>
    <s v="00"/>
    <s v="Matériel d'exploitation, petites fournitures PA | Eglise |"/>
    <m/>
    <m/>
    <m/>
    <m/>
    <m/>
    <m/>
    <x v="0"/>
    <x v="23"/>
    <x v="0"/>
    <x v="0"/>
    <x v="25"/>
    <x v="0"/>
    <x v="0"/>
    <x v="309"/>
    <x v="33"/>
    <x v="0"/>
    <x v="0"/>
    <x v="30"/>
    <x v="0"/>
    <x v="0"/>
    <x v="186"/>
    <m/>
    <m/>
    <m/>
  </r>
  <r>
    <m/>
    <s v="3508.314"/>
    <s v="BÂTIMENT EGLISE  ENTRETIEN BÂTIMENT"/>
    <s v="PCO"/>
    <s v="3508"/>
    <n v="3508"/>
    <s v="314"/>
    <m/>
    <m/>
    <m/>
    <n v="0"/>
    <m/>
    <m/>
    <n v="0"/>
    <m/>
    <s v="35000"/>
    <s v="3110"/>
    <s v="00"/>
    <s v="Meubles et appareils de bureau PA | Eglise |"/>
    <m/>
    <m/>
    <m/>
    <m/>
    <m/>
    <m/>
    <x v="0"/>
    <x v="23"/>
    <x v="0"/>
    <x v="0"/>
    <x v="25"/>
    <x v="0"/>
    <x v="0"/>
    <x v="309"/>
    <x v="33"/>
    <x v="0"/>
    <x v="0"/>
    <x v="82"/>
    <x v="0"/>
    <x v="0"/>
    <x v="184"/>
    <m/>
    <m/>
    <m/>
  </r>
  <r>
    <m/>
    <s v="3508.314"/>
    <s v="BÂTIMENT EGLISE  ENTRETIEN BÂTIMENT"/>
    <s v="PCO"/>
    <s v="3508"/>
    <n v="3508"/>
    <s v="314"/>
    <m/>
    <m/>
    <m/>
    <n v="0"/>
    <m/>
    <m/>
    <n v="0"/>
    <m/>
    <s v="35000"/>
    <s v="3111"/>
    <s v="00"/>
    <s v="Machines, appareils PA | Eglise |"/>
    <m/>
    <m/>
    <m/>
    <m/>
    <m/>
    <m/>
    <x v="0"/>
    <x v="23"/>
    <x v="0"/>
    <x v="0"/>
    <x v="25"/>
    <x v="0"/>
    <x v="0"/>
    <x v="309"/>
    <x v="33"/>
    <x v="0"/>
    <x v="0"/>
    <x v="38"/>
    <x v="0"/>
    <x v="0"/>
    <x v="190"/>
    <m/>
    <m/>
    <m/>
  </r>
  <r>
    <n v="0"/>
    <s v="3508.314.1"/>
    <s v="BÂTIMENT EGLISE  CONTRATS ENTRETIEN"/>
    <s v="PCO"/>
    <s v="3508"/>
    <n v="3508"/>
    <s v="314"/>
    <n v="1"/>
    <n v="0"/>
    <n v="0"/>
    <n v="0"/>
    <n v="300"/>
    <n v="0"/>
    <n v="300"/>
    <n v="0"/>
    <s v="35000"/>
    <s v="3144"/>
    <s v="00"/>
    <s v="Entretien des bâtiments, immeubles PA | Eglise |"/>
    <m/>
    <m/>
    <m/>
    <m/>
    <m/>
    <m/>
    <x v="0"/>
    <x v="23"/>
    <x v="0"/>
    <x v="0"/>
    <x v="25"/>
    <x v="1"/>
    <x v="0"/>
    <x v="310"/>
    <x v="33"/>
    <x v="0"/>
    <x v="0"/>
    <x v="83"/>
    <x v="0"/>
    <x v="0"/>
    <x v="187"/>
    <m/>
    <m/>
    <m/>
  </r>
  <r>
    <n v="0"/>
    <s v="3508.315"/>
    <s v="BÂTIMENT EGLISE  ENT MOB et INST TECH"/>
    <s v="PCO"/>
    <s v="3508"/>
    <n v="3508"/>
    <s v="315"/>
    <m/>
    <n v="877.45"/>
    <n v="0"/>
    <n v="877.45"/>
    <n v="1500"/>
    <n v="0"/>
    <n v="1500"/>
    <n v="258.60000000000002"/>
    <s v="35000"/>
    <s v="3144"/>
    <s v="00"/>
    <s v="Entretien des bâtiments, immeubles PA | Eglise |"/>
    <n v="877.45"/>
    <m/>
    <m/>
    <m/>
    <m/>
    <m/>
    <x v="0"/>
    <x v="23"/>
    <x v="0"/>
    <x v="0"/>
    <x v="24"/>
    <x v="0"/>
    <x v="0"/>
    <x v="311"/>
    <x v="33"/>
    <x v="0"/>
    <x v="0"/>
    <x v="83"/>
    <x v="0"/>
    <x v="0"/>
    <x v="187"/>
    <m/>
    <m/>
    <m/>
  </r>
  <r>
    <n v="0"/>
    <s v="3508.315.1"/>
    <s v="BÂTIMENT EGLISE  CONTRAT ENT INST TECH"/>
    <s v="PCO"/>
    <s v="3508"/>
    <n v="3508"/>
    <s v="315"/>
    <n v="1"/>
    <n v="0"/>
    <n v="0"/>
    <n v="0"/>
    <n v="850"/>
    <n v="0"/>
    <n v="850"/>
    <n v="373.8"/>
    <s v="35000"/>
    <s v="3144"/>
    <s v="00"/>
    <s v="Entretien des bâtiments, immeubles PA | Eglise |"/>
    <m/>
    <m/>
    <m/>
    <m/>
    <m/>
    <m/>
    <x v="0"/>
    <x v="23"/>
    <x v="0"/>
    <x v="0"/>
    <x v="24"/>
    <x v="1"/>
    <x v="0"/>
    <x v="312"/>
    <x v="33"/>
    <x v="0"/>
    <x v="0"/>
    <x v="83"/>
    <x v="0"/>
    <x v="0"/>
    <x v="187"/>
    <m/>
    <m/>
    <m/>
  </r>
  <r>
    <n v="0"/>
    <s v="3508.318"/>
    <s v="BÂTIMENT EGLISE  PREST SERVICES ASS et HONORAIRES"/>
    <s v="PCO"/>
    <s v="3508"/>
    <n v="3508"/>
    <s v="318"/>
    <m/>
    <n v="1319.5"/>
    <n v="0"/>
    <n v="1319.5"/>
    <n v="1600"/>
    <n v="0"/>
    <n v="1600"/>
    <n v="1333.35"/>
    <s v="35000"/>
    <s v="3134"/>
    <s v="00"/>
    <s v="Frais Assurances  PA | Eglise |"/>
    <n v="1319.5"/>
    <m/>
    <m/>
    <m/>
    <m/>
    <m/>
    <x v="0"/>
    <x v="23"/>
    <x v="0"/>
    <x v="0"/>
    <x v="10"/>
    <x v="0"/>
    <x v="0"/>
    <x v="313"/>
    <x v="33"/>
    <x v="0"/>
    <x v="0"/>
    <x v="21"/>
    <x v="0"/>
    <x v="0"/>
    <x v="191"/>
    <m/>
    <m/>
    <m/>
  </r>
  <r>
    <n v="0"/>
    <s v="3508.332"/>
    <s v="BÂTIMENT EGLISE  AMORTISSEMENT SUPPL P ADM"/>
    <s v="PCO"/>
    <s v="3508"/>
    <n v="3508"/>
    <s v="332"/>
    <m/>
    <n v="0"/>
    <n v="0"/>
    <n v="0"/>
    <n v="0"/>
    <n v="0"/>
    <n v="0"/>
    <n v="0"/>
    <s v="-"/>
    <s v="-"/>
    <s v="-"/>
    <s v="-"/>
    <m/>
    <m/>
    <m/>
    <m/>
    <m/>
    <m/>
    <x v="0"/>
    <x v="23"/>
    <x v="0"/>
    <x v="0"/>
    <x v="20"/>
    <x v="0"/>
    <x v="0"/>
    <x v="314"/>
    <x v="1"/>
    <x v="0"/>
    <x v="0"/>
    <x v="9"/>
    <x v="2"/>
    <x v="0"/>
    <x v="17"/>
    <m/>
    <m/>
    <m/>
  </r>
  <r>
    <n v="0"/>
    <s v="3508.380"/>
    <s v="BÂTIMENT EGLISE  ATTRIB FONDS RENOVATION (9281.18 )"/>
    <s v="PCO"/>
    <s v="3508"/>
    <n v="3508"/>
    <s v="380"/>
    <m/>
    <n v="0"/>
    <n v="0"/>
    <n v="0"/>
    <n v="0"/>
    <n v="0"/>
    <n v="0"/>
    <n v="0"/>
    <s v="-"/>
    <s v="-"/>
    <s v="-"/>
    <s v="-"/>
    <m/>
    <m/>
    <m/>
    <m/>
    <m/>
    <m/>
    <x v="0"/>
    <x v="23"/>
    <x v="0"/>
    <x v="0"/>
    <x v="22"/>
    <x v="0"/>
    <x v="0"/>
    <x v="315"/>
    <x v="1"/>
    <x v="0"/>
    <x v="0"/>
    <x v="9"/>
    <x v="2"/>
    <x v="0"/>
    <x v="17"/>
    <m/>
    <m/>
    <m/>
  </r>
  <r>
    <n v="0"/>
    <s v="3508.390.1"/>
    <s v="BÂTIMENT EGLISE  IMPUTATIONS INT SALAIRES"/>
    <s v="PCO"/>
    <s v="3508"/>
    <n v="3508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23"/>
    <x v="0"/>
    <x v="0"/>
    <x v="7"/>
    <x v="1"/>
    <x v="0"/>
    <x v="316"/>
    <x v="1"/>
    <x v="0"/>
    <x v="0"/>
    <x v="9"/>
    <x v="2"/>
    <x v="0"/>
    <x v="17"/>
    <m/>
    <m/>
    <m/>
  </r>
  <r>
    <n v="0"/>
    <s v="3508.436"/>
    <s v="BÂTIMENT EGLISE  PART DE TIERS"/>
    <s v="PCO"/>
    <s v="3508"/>
    <n v="3508"/>
    <s v="436"/>
    <m/>
    <n v="0"/>
    <n v="0"/>
    <n v="0"/>
    <n v="0"/>
    <n v="0"/>
    <n v="0"/>
    <n v="0"/>
    <s v="-"/>
    <s v="-"/>
    <s v="-"/>
    <s v="-"/>
    <m/>
    <m/>
    <m/>
    <m/>
    <m/>
    <m/>
    <x v="0"/>
    <x v="23"/>
    <x v="0"/>
    <x v="0"/>
    <x v="13"/>
    <x v="0"/>
    <x v="0"/>
    <x v="317"/>
    <x v="1"/>
    <x v="0"/>
    <x v="0"/>
    <x v="9"/>
    <x v="2"/>
    <x v="0"/>
    <x v="17"/>
    <m/>
    <m/>
    <m/>
  </r>
  <r>
    <n v="0"/>
    <s v="3509.301"/>
    <s v="LE GOSSAN SALAIRES"/>
    <s v="PCO"/>
    <s v="3509"/>
    <n v="3509"/>
    <s v="301"/>
    <m/>
    <n v="44766"/>
    <n v="0"/>
    <n v="44766"/>
    <n v="39000"/>
    <n v="0"/>
    <n v="39000"/>
    <n v="15076.95"/>
    <s v="61500"/>
    <s v="3010"/>
    <s v="00"/>
    <s v="Salaire du personnel administratif"/>
    <n v="44766"/>
    <n v="0"/>
    <s v="Regroupement en 61500 et 73000"/>
    <m/>
    <m/>
    <m/>
    <x v="0"/>
    <x v="24"/>
    <x v="0"/>
    <x v="0"/>
    <x v="1"/>
    <x v="0"/>
    <x v="0"/>
    <x v="318"/>
    <x v="15"/>
    <x v="0"/>
    <x v="0"/>
    <x v="15"/>
    <x v="0"/>
    <x v="0"/>
    <x v="19"/>
    <m/>
    <m/>
    <m/>
  </r>
  <r>
    <m/>
    <s v="3509.301"/>
    <s v="LE GOSSAN SALAIRES"/>
    <s v="PCO"/>
    <s v="3509"/>
    <n v="3509"/>
    <s v="301"/>
    <m/>
    <m/>
    <m/>
    <m/>
    <m/>
    <m/>
    <n v="0"/>
    <m/>
    <s v="61500"/>
    <s v="3010"/>
    <s v="99"/>
    <s v="Remboursements IJM"/>
    <m/>
    <m/>
    <m/>
    <m/>
    <m/>
    <m/>
    <x v="0"/>
    <x v="24"/>
    <x v="0"/>
    <x v="0"/>
    <x v="1"/>
    <x v="0"/>
    <x v="0"/>
    <x v="318"/>
    <x v="15"/>
    <x v="0"/>
    <x v="0"/>
    <x v="15"/>
    <x v="4"/>
    <x v="0"/>
    <x v="20"/>
    <m/>
    <m/>
    <m/>
  </r>
  <r>
    <n v="0"/>
    <s v="3509.303"/>
    <s v="LE GOSSAN  COTISATIONS AVS AC AF"/>
    <s v="PCO"/>
    <s v="3509"/>
    <n v="3509"/>
    <s v="303"/>
    <m/>
    <n v="4029"/>
    <n v="0"/>
    <n v="4029"/>
    <n v="3700"/>
    <n v="0"/>
    <n v="3700"/>
    <n v="1425.2"/>
    <s v="61500"/>
    <s v="3050"/>
    <s v="00"/>
    <s v="Cotisations AVS, AI, APG, AC, frais adm"/>
    <n v="4029"/>
    <m/>
    <m/>
    <m/>
    <m/>
    <m/>
    <x v="0"/>
    <x v="24"/>
    <x v="0"/>
    <x v="0"/>
    <x v="2"/>
    <x v="0"/>
    <x v="0"/>
    <x v="319"/>
    <x v="15"/>
    <x v="0"/>
    <x v="0"/>
    <x v="1"/>
    <x v="0"/>
    <x v="0"/>
    <x v="2"/>
    <m/>
    <m/>
    <m/>
  </r>
  <r>
    <m/>
    <s v="3509.303"/>
    <s v="LE GOSSAN  COTISATIONS AVS AC AF"/>
    <s v="PCO"/>
    <s v="3509"/>
    <n v="3509"/>
    <s v="303"/>
    <m/>
    <m/>
    <m/>
    <m/>
    <m/>
    <m/>
    <n v="0"/>
    <m/>
    <s v="61500"/>
    <s v="3054"/>
    <s v="00"/>
    <s v="Cotisations CAF"/>
    <m/>
    <m/>
    <m/>
    <m/>
    <m/>
    <m/>
    <x v="0"/>
    <x v="24"/>
    <x v="0"/>
    <x v="0"/>
    <x v="2"/>
    <x v="0"/>
    <x v="0"/>
    <x v="319"/>
    <x v="15"/>
    <x v="0"/>
    <x v="0"/>
    <x v="2"/>
    <x v="0"/>
    <x v="0"/>
    <x v="3"/>
    <m/>
    <m/>
    <m/>
  </r>
  <r>
    <n v="0"/>
    <s v="3509.304"/>
    <s v="LE GOSSAN  CAISSE PREVOYANCE LPP"/>
    <s v="PCO"/>
    <s v="3509"/>
    <n v="3509"/>
    <s v="304"/>
    <m/>
    <n v="1046.5999999999999"/>
    <n v="0"/>
    <n v="1046.5999999999999"/>
    <n v="500"/>
    <n v="0"/>
    <n v="500"/>
    <n v="1426"/>
    <s v="61500"/>
    <s v="3052"/>
    <s v="00"/>
    <s v="Cotisations patronales aux caisses de pensions"/>
    <n v="1046.5999999999999"/>
    <m/>
    <m/>
    <m/>
    <m/>
    <m/>
    <x v="0"/>
    <x v="24"/>
    <x v="0"/>
    <x v="0"/>
    <x v="8"/>
    <x v="0"/>
    <x v="0"/>
    <x v="320"/>
    <x v="15"/>
    <x v="0"/>
    <x v="0"/>
    <x v="4"/>
    <x v="0"/>
    <x v="0"/>
    <x v="5"/>
    <m/>
    <m/>
    <m/>
  </r>
  <r>
    <n v="0"/>
    <s v="3509.305"/>
    <s v="LE GOSSAN  ASS ACCIDENTS et MALADIE"/>
    <s v="PCO"/>
    <s v="3509"/>
    <n v="3509"/>
    <s v="305"/>
    <m/>
    <n v="1041.55"/>
    <n v="0"/>
    <n v="1041.55"/>
    <n v="720"/>
    <n v="0"/>
    <n v="720"/>
    <n v="360.5"/>
    <s v="61500"/>
    <s v="3053"/>
    <s v="00"/>
    <s v="Cotisations patronales aux assurance-accidents"/>
    <n v="1041.55"/>
    <m/>
    <m/>
    <m/>
    <m/>
    <m/>
    <x v="0"/>
    <x v="24"/>
    <x v="0"/>
    <x v="0"/>
    <x v="3"/>
    <x v="0"/>
    <x v="0"/>
    <x v="321"/>
    <x v="15"/>
    <x v="0"/>
    <x v="0"/>
    <x v="3"/>
    <x v="0"/>
    <x v="0"/>
    <x v="4"/>
    <m/>
    <m/>
    <m/>
  </r>
  <r>
    <n v="0"/>
    <s v="3509.306"/>
    <s v="LE GOSSAN FRAIS DU PERSONNEL"/>
    <s v="PCO"/>
    <s v="3509"/>
    <n v="3509"/>
    <s v="306"/>
    <m/>
    <n v="0"/>
    <n v="0"/>
    <n v="0"/>
    <n v="0"/>
    <n v="0"/>
    <n v="0"/>
    <n v="0"/>
    <s v="61500"/>
    <s v="3049"/>
    <s v="00"/>
    <s v="Autres indemnités forfaitaires - natels"/>
    <m/>
    <m/>
    <m/>
    <m/>
    <m/>
    <m/>
    <x v="0"/>
    <x v="24"/>
    <x v="0"/>
    <x v="0"/>
    <x v="5"/>
    <x v="0"/>
    <x v="0"/>
    <x v="322"/>
    <x v="15"/>
    <x v="0"/>
    <x v="0"/>
    <x v="6"/>
    <x v="0"/>
    <x v="0"/>
    <x v="7"/>
    <m/>
    <m/>
    <m/>
  </r>
  <r>
    <m/>
    <s v="3509.306"/>
    <s v="LE GOSSAN FRAIS DU PERSONNEL"/>
    <s v="PCO"/>
    <s v="3509"/>
    <n v="3509"/>
    <s v="306"/>
    <m/>
    <m/>
    <m/>
    <m/>
    <m/>
    <m/>
    <n v="0"/>
    <m/>
    <s v="61500"/>
    <s v="3170"/>
    <s v="00"/>
    <s v="Remboursements de frais effectifs km"/>
    <m/>
    <m/>
    <m/>
    <m/>
    <m/>
    <m/>
    <x v="0"/>
    <x v="24"/>
    <x v="0"/>
    <x v="0"/>
    <x v="5"/>
    <x v="0"/>
    <x v="0"/>
    <x v="322"/>
    <x v="15"/>
    <x v="0"/>
    <x v="0"/>
    <x v="7"/>
    <x v="0"/>
    <x v="0"/>
    <x v="8"/>
    <m/>
    <m/>
    <m/>
  </r>
  <r>
    <m/>
    <s v="3509.306"/>
    <s v="LE GOSSAN FRAIS DU PERSONNEL"/>
    <s v="PCO"/>
    <s v="3509"/>
    <n v="3509"/>
    <s v="306"/>
    <m/>
    <m/>
    <m/>
    <m/>
    <m/>
    <m/>
    <n v="0"/>
    <m/>
    <s v="61500"/>
    <s v="3090"/>
    <s v="00"/>
    <s v="Formation et perfectionnement"/>
    <m/>
    <m/>
    <m/>
    <m/>
    <m/>
    <m/>
    <x v="0"/>
    <x v="24"/>
    <x v="0"/>
    <x v="0"/>
    <x v="5"/>
    <x v="0"/>
    <x v="0"/>
    <x v="322"/>
    <x v="15"/>
    <x v="0"/>
    <x v="0"/>
    <x v="11"/>
    <x v="0"/>
    <x v="0"/>
    <x v="14"/>
    <m/>
    <m/>
    <m/>
  </r>
  <r>
    <m/>
    <s v="3509.306"/>
    <s v="LE GOSSAN FRAIS DU PERSONNEL"/>
    <s v="PCO"/>
    <s v="3509"/>
    <n v="3509"/>
    <s v="306"/>
    <m/>
    <m/>
    <m/>
    <m/>
    <m/>
    <m/>
    <n v="0"/>
    <m/>
    <s v="61500"/>
    <s v="3091"/>
    <s v="00"/>
    <s v="Recrutement"/>
    <m/>
    <m/>
    <m/>
    <m/>
    <m/>
    <m/>
    <x v="0"/>
    <x v="24"/>
    <x v="0"/>
    <x v="0"/>
    <x v="5"/>
    <x v="0"/>
    <x v="0"/>
    <x v="322"/>
    <x v="15"/>
    <x v="0"/>
    <x v="0"/>
    <x v="17"/>
    <x v="0"/>
    <x v="0"/>
    <x v="21"/>
    <m/>
    <m/>
    <m/>
  </r>
  <r>
    <m/>
    <s v="3509.306"/>
    <s v="LE GOSSAN FRAIS DU PERSONNEL"/>
    <s v="PCO"/>
    <s v="3509"/>
    <n v="3509"/>
    <s v="306"/>
    <m/>
    <m/>
    <m/>
    <m/>
    <m/>
    <m/>
    <n v="0"/>
    <m/>
    <s v="61500"/>
    <s v="3099"/>
    <s v="00"/>
    <s v="Autres charges du personnel"/>
    <m/>
    <m/>
    <m/>
    <m/>
    <m/>
    <m/>
    <x v="0"/>
    <x v="24"/>
    <x v="0"/>
    <x v="0"/>
    <x v="5"/>
    <x v="0"/>
    <x v="0"/>
    <x v="322"/>
    <x v="15"/>
    <x v="0"/>
    <x v="0"/>
    <x v="5"/>
    <x v="0"/>
    <x v="0"/>
    <x v="6"/>
    <m/>
    <m/>
    <m/>
  </r>
  <r>
    <n v="0"/>
    <s v="3509.311"/>
    <s v="LE GOSSAN  ACHATS MOBILIER MACH. MATERIEL"/>
    <s v="PCO"/>
    <s v="3509"/>
    <n v="3509"/>
    <s v="311"/>
    <m/>
    <n v="3410.85"/>
    <n v="0"/>
    <n v="3410.85"/>
    <n v="10000"/>
    <n v="0"/>
    <n v="10000"/>
    <n v="210.8"/>
    <s v="02903"/>
    <s v="3101"/>
    <s v="00"/>
    <s v="Matériel d'exploitation, petites fournitures PA | Salles communales - Le Gossan, Le Garage |"/>
    <n v="3410.85"/>
    <m/>
    <m/>
    <m/>
    <m/>
    <m/>
    <x v="0"/>
    <x v="24"/>
    <x v="0"/>
    <x v="0"/>
    <x v="6"/>
    <x v="0"/>
    <x v="0"/>
    <x v="323"/>
    <x v="35"/>
    <x v="0"/>
    <x v="0"/>
    <x v="30"/>
    <x v="0"/>
    <x v="0"/>
    <x v="192"/>
    <m/>
    <m/>
    <m/>
  </r>
  <r>
    <m/>
    <s v="3509.311"/>
    <s v="LE GOSSAN  ACHATS MOBILIER MACH. MATERIEL"/>
    <s v="PCO"/>
    <s v="3509"/>
    <n v="3509"/>
    <s v="311"/>
    <m/>
    <m/>
    <m/>
    <n v="0"/>
    <m/>
    <m/>
    <n v="0"/>
    <m/>
    <s v="02903"/>
    <s v="3120"/>
    <s v="02"/>
    <s v="Frais d'eau PA | Salles communales - Le Gossan, Le Garage |"/>
    <m/>
    <m/>
    <m/>
    <m/>
    <m/>
    <m/>
    <x v="0"/>
    <x v="24"/>
    <x v="0"/>
    <x v="0"/>
    <x v="6"/>
    <x v="0"/>
    <x v="0"/>
    <x v="323"/>
    <x v="35"/>
    <x v="0"/>
    <x v="0"/>
    <x v="39"/>
    <x v="5"/>
    <x v="0"/>
    <x v="193"/>
    <m/>
    <m/>
    <m/>
  </r>
  <r>
    <m/>
    <s v="3509.311"/>
    <s v="LE GOSSAN  ACHATS MOBILIER MACH. MATERIEL"/>
    <s v="PCO"/>
    <s v="3509"/>
    <n v="3509"/>
    <s v="311"/>
    <m/>
    <m/>
    <m/>
    <n v="0"/>
    <m/>
    <m/>
    <n v="0"/>
    <m/>
    <s v="02903"/>
    <s v="3110"/>
    <s v="00"/>
    <s v="Meubles et appareils de bureau PA | Salles communales - Le Gossan, Le Garage |"/>
    <m/>
    <m/>
    <m/>
    <m/>
    <m/>
    <m/>
    <x v="0"/>
    <x v="24"/>
    <x v="0"/>
    <x v="0"/>
    <x v="6"/>
    <x v="0"/>
    <x v="0"/>
    <x v="323"/>
    <x v="35"/>
    <x v="0"/>
    <x v="0"/>
    <x v="82"/>
    <x v="0"/>
    <x v="0"/>
    <x v="194"/>
    <m/>
    <m/>
    <m/>
  </r>
  <r>
    <m/>
    <s v="3509.311"/>
    <s v="LE GOSSAN  ACHATS MOBILIER MACH. MATERIEL"/>
    <s v="PCO"/>
    <s v="3509"/>
    <n v="3509"/>
    <s v="311"/>
    <m/>
    <m/>
    <m/>
    <n v="0"/>
    <m/>
    <m/>
    <n v="0"/>
    <m/>
    <s v="02903"/>
    <s v="3111"/>
    <s v="00"/>
    <s v="Machines, appareils PA | Salles communales - Le Gossan, Le Garage |"/>
    <m/>
    <m/>
    <m/>
    <m/>
    <m/>
    <m/>
    <x v="0"/>
    <x v="24"/>
    <x v="0"/>
    <x v="0"/>
    <x v="6"/>
    <x v="0"/>
    <x v="0"/>
    <x v="323"/>
    <x v="35"/>
    <x v="0"/>
    <x v="0"/>
    <x v="38"/>
    <x v="0"/>
    <x v="0"/>
    <x v="195"/>
    <m/>
    <m/>
    <m/>
  </r>
  <r>
    <n v="0"/>
    <s v="3509.312"/>
    <s v="LE GOSSAN  ACHATS ELECTRICITE"/>
    <s v="PCO"/>
    <s v="3509"/>
    <n v="3509"/>
    <s v="312"/>
    <m/>
    <n v="58129"/>
    <n v="0"/>
    <n v="58129"/>
    <n v="82000"/>
    <n v="0"/>
    <n v="82000"/>
    <n v="16793.2"/>
    <s v="02903"/>
    <s v="3120"/>
    <s v="01"/>
    <s v="Frais d'électricité PA | Salles communales - Le Gossan, Le Garage |"/>
    <n v="58129"/>
    <m/>
    <m/>
    <m/>
    <m/>
    <m/>
    <x v="0"/>
    <x v="24"/>
    <x v="0"/>
    <x v="0"/>
    <x v="30"/>
    <x v="0"/>
    <x v="0"/>
    <x v="324"/>
    <x v="35"/>
    <x v="0"/>
    <x v="0"/>
    <x v="39"/>
    <x v="1"/>
    <x v="0"/>
    <x v="196"/>
    <m/>
    <m/>
    <m/>
  </r>
  <r>
    <n v="0"/>
    <s v="3509.312.1"/>
    <s v="LE GOSSAN  ACHATS COMBUSTIBLE CAD"/>
    <s v="PCO"/>
    <s v="3509"/>
    <n v="3509"/>
    <s v="312"/>
    <n v="1"/>
    <n v="48607.8"/>
    <n v="0"/>
    <n v="48607.8"/>
    <n v="32000"/>
    <n v="0"/>
    <n v="32000"/>
    <n v="10521"/>
    <s v="02903"/>
    <s v="3120"/>
    <s v="00"/>
    <s v="Frais de chauffage PA | Salles communales - Le Gossan, Le Garage |"/>
    <n v="48607.8"/>
    <m/>
    <m/>
    <m/>
    <m/>
    <m/>
    <x v="0"/>
    <x v="24"/>
    <x v="0"/>
    <x v="0"/>
    <x v="30"/>
    <x v="1"/>
    <x v="0"/>
    <x v="325"/>
    <x v="35"/>
    <x v="0"/>
    <x v="0"/>
    <x v="39"/>
    <x v="0"/>
    <x v="0"/>
    <x v="197"/>
    <m/>
    <m/>
    <m/>
  </r>
  <r>
    <n v="0"/>
    <s v="3509.313"/>
    <s v="LE GOSSAN  ACHATS MARCH PROD ENTRETIEN"/>
    <s v="PCO"/>
    <s v="3509"/>
    <n v="3509"/>
    <s v="313"/>
    <m/>
    <n v="4820.2700000000004"/>
    <n v="0"/>
    <n v="4820.2700000000004"/>
    <n v="6500"/>
    <n v="0"/>
    <n v="6500"/>
    <n v="1974.7"/>
    <s v="02903"/>
    <s v="3101"/>
    <s v="00"/>
    <s v="Matériel d'exploitation, petites fournitures PA | Salles communales - Le Gossan, Le Garage |"/>
    <n v="4820.2700000000004"/>
    <m/>
    <m/>
    <m/>
    <m/>
    <m/>
    <x v="0"/>
    <x v="24"/>
    <x v="0"/>
    <x v="0"/>
    <x v="53"/>
    <x v="0"/>
    <x v="0"/>
    <x v="326"/>
    <x v="35"/>
    <x v="0"/>
    <x v="0"/>
    <x v="30"/>
    <x v="0"/>
    <x v="0"/>
    <x v="192"/>
    <m/>
    <m/>
    <m/>
  </r>
  <r>
    <n v="0"/>
    <s v="3509.314"/>
    <s v="LE GOSSAN  ENTRETIEN BÂTIMENT"/>
    <s v="PCO"/>
    <s v="3509"/>
    <n v="3509"/>
    <s v="314"/>
    <m/>
    <n v="18582.8"/>
    <n v="0"/>
    <n v="18582.8"/>
    <n v="23500"/>
    <n v="0"/>
    <n v="23500"/>
    <n v="0"/>
    <s v="02903"/>
    <s v="3144"/>
    <s v="00"/>
    <s v="Entretien des bâtiments, immeubles PA | Salles communales - Le Gossan, Le Garage |"/>
    <n v="18582.8"/>
    <m/>
    <m/>
    <m/>
    <m/>
    <m/>
    <x v="0"/>
    <x v="24"/>
    <x v="0"/>
    <x v="0"/>
    <x v="25"/>
    <x v="0"/>
    <x v="0"/>
    <x v="327"/>
    <x v="35"/>
    <x v="0"/>
    <x v="0"/>
    <x v="83"/>
    <x v="0"/>
    <x v="0"/>
    <x v="198"/>
    <m/>
    <m/>
    <m/>
  </r>
  <r>
    <n v="0"/>
    <s v="3509.314.1"/>
    <s v="LE GOSSAN  CONTRATS ENTRETIEN BÂT"/>
    <s v="PCO"/>
    <s v="3509"/>
    <n v="3509"/>
    <s v="314"/>
    <n v="1"/>
    <n v="0"/>
    <n v="0"/>
    <n v="0"/>
    <n v="2000"/>
    <n v="0"/>
    <n v="2000"/>
    <n v="0"/>
    <s v="02903"/>
    <s v="3144"/>
    <s v="00"/>
    <s v="Entretien des bâtiments, immeubles PA | Salles communales - Le Gossan, Le Garage |"/>
    <m/>
    <m/>
    <m/>
    <m/>
    <m/>
    <m/>
    <x v="0"/>
    <x v="24"/>
    <x v="0"/>
    <x v="0"/>
    <x v="25"/>
    <x v="1"/>
    <x v="0"/>
    <x v="328"/>
    <x v="35"/>
    <x v="0"/>
    <x v="0"/>
    <x v="83"/>
    <x v="0"/>
    <x v="0"/>
    <x v="198"/>
    <m/>
    <m/>
    <m/>
  </r>
  <r>
    <n v="0"/>
    <s v="3509.315"/>
    <s v="LE GOSSAN  ENTRETIEN MOB et INST TECH"/>
    <s v="PCO"/>
    <s v="3509"/>
    <n v="3509"/>
    <s v="315"/>
    <m/>
    <n v="29635.55"/>
    <n v="0"/>
    <n v="29635.55"/>
    <n v="28000"/>
    <n v="0"/>
    <n v="28000"/>
    <n v="30610.61"/>
    <s v="02903"/>
    <s v="3144"/>
    <s v="00"/>
    <s v="Entretien des bâtiments, immeubles PA | Salles communales - Le Gossan, Le Garage |"/>
    <n v="29635.55"/>
    <m/>
    <m/>
    <m/>
    <m/>
    <m/>
    <x v="0"/>
    <x v="24"/>
    <x v="0"/>
    <x v="0"/>
    <x v="24"/>
    <x v="0"/>
    <x v="0"/>
    <x v="329"/>
    <x v="35"/>
    <x v="0"/>
    <x v="0"/>
    <x v="83"/>
    <x v="0"/>
    <x v="0"/>
    <x v="198"/>
    <m/>
    <m/>
    <m/>
  </r>
  <r>
    <n v="0"/>
    <s v="3509.315.1"/>
    <s v="LE GOSSAN  CONTRATS ENT INST TECH"/>
    <s v="PCO"/>
    <s v="3509"/>
    <n v="3509"/>
    <s v="315"/>
    <n v="1"/>
    <n v="21193.55"/>
    <n v="0"/>
    <n v="21193.55"/>
    <n v="16600"/>
    <n v="0"/>
    <n v="16600"/>
    <n v="17272.25"/>
    <s v="02903"/>
    <s v="3144"/>
    <s v="00"/>
    <s v="Entretien des bâtiments, immeubles PA | Salles communales - Le Gossan, Le Garage |"/>
    <n v="21193.55"/>
    <m/>
    <m/>
    <m/>
    <m/>
    <m/>
    <x v="0"/>
    <x v="24"/>
    <x v="0"/>
    <x v="0"/>
    <x v="24"/>
    <x v="1"/>
    <x v="0"/>
    <x v="330"/>
    <x v="35"/>
    <x v="0"/>
    <x v="0"/>
    <x v="83"/>
    <x v="0"/>
    <x v="0"/>
    <x v="198"/>
    <m/>
    <m/>
    <m/>
  </r>
  <r>
    <n v="0"/>
    <s v="3509.318"/>
    <s v="LE GOSSAN  PREST SERVICES ASS et HONORAIRES"/>
    <s v="PCO"/>
    <s v="3509"/>
    <n v="3509"/>
    <s v="318"/>
    <m/>
    <n v="7984.7"/>
    <n v="0"/>
    <n v="7984.7"/>
    <n v="12000"/>
    <n v="0"/>
    <n v="12000"/>
    <n v="9141.1"/>
    <s v="02903"/>
    <s v="3134"/>
    <s v="00"/>
    <s v="Frais Assurances PA | Salles communales - Le Gossan, Le Garage |"/>
    <n v="7984.7"/>
    <m/>
    <m/>
    <m/>
    <m/>
    <m/>
    <x v="0"/>
    <x v="24"/>
    <x v="0"/>
    <x v="0"/>
    <x v="10"/>
    <x v="0"/>
    <x v="0"/>
    <x v="331"/>
    <x v="35"/>
    <x v="0"/>
    <x v="0"/>
    <x v="21"/>
    <x v="0"/>
    <x v="0"/>
    <x v="199"/>
    <m/>
    <m/>
    <m/>
  </r>
  <r>
    <n v="0"/>
    <s v="3509.331"/>
    <s v="LE GOSSAN  AMORT PATR ADM"/>
    <s v="PCO"/>
    <s v="3509"/>
    <n v="3509"/>
    <s v="331"/>
    <m/>
    <n v="0"/>
    <n v="0"/>
    <n v="0"/>
    <n v="0"/>
    <n v="0"/>
    <n v="0"/>
    <n v="0"/>
    <s v="-"/>
    <s v="-"/>
    <s v="-"/>
    <s v="-"/>
    <m/>
    <m/>
    <m/>
    <m/>
    <m/>
    <m/>
    <x v="0"/>
    <x v="24"/>
    <x v="0"/>
    <x v="0"/>
    <x v="31"/>
    <x v="0"/>
    <x v="0"/>
    <x v="332"/>
    <x v="1"/>
    <x v="0"/>
    <x v="0"/>
    <x v="9"/>
    <x v="2"/>
    <x v="0"/>
    <x v="17"/>
    <m/>
    <m/>
    <m/>
  </r>
  <r>
    <n v="0"/>
    <s v="3509.332"/>
    <s v="LE GOSSAN  AMORT PATR. ADMINISTRAT SUPPL"/>
    <s v="PCO"/>
    <s v="3509"/>
    <n v="3509"/>
    <s v="332"/>
    <m/>
    <n v="0"/>
    <n v="0"/>
    <n v="0"/>
    <n v="0"/>
    <n v="0"/>
    <n v="0"/>
    <n v="0"/>
    <s v="-"/>
    <s v="-"/>
    <s v="-"/>
    <s v="-"/>
    <m/>
    <m/>
    <m/>
    <m/>
    <m/>
    <m/>
    <x v="0"/>
    <x v="24"/>
    <x v="0"/>
    <x v="0"/>
    <x v="20"/>
    <x v="0"/>
    <x v="0"/>
    <x v="333"/>
    <x v="1"/>
    <x v="0"/>
    <x v="0"/>
    <x v="9"/>
    <x v="2"/>
    <x v="0"/>
    <x v="17"/>
    <m/>
    <m/>
    <m/>
  </r>
  <r>
    <n v="0"/>
    <s v="3509.380"/>
    <s v="LE GOSSAN  ATTRIB FONDS RENOVATION (9281.9)"/>
    <s v="PCO"/>
    <s v="3509"/>
    <n v="3509"/>
    <s v="380"/>
    <m/>
    <n v="0"/>
    <n v="0"/>
    <n v="0"/>
    <n v="0"/>
    <n v="0"/>
    <n v="0"/>
    <n v="0"/>
    <s v="-"/>
    <s v="-"/>
    <s v="-"/>
    <s v="-"/>
    <m/>
    <m/>
    <m/>
    <m/>
    <m/>
    <m/>
    <x v="0"/>
    <x v="24"/>
    <x v="0"/>
    <x v="0"/>
    <x v="22"/>
    <x v="0"/>
    <x v="0"/>
    <x v="334"/>
    <x v="1"/>
    <x v="0"/>
    <x v="0"/>
    <x v="9"/>
    <x v="2"/>
    <x v="0"/>
    <x v="17"/>
    <m/>
    <m/>
    <m/>
  </r>
  <r>
    <n v="0"/>
    <s v="3509.390.1"/>
    <s v="LE GOSSAN  IMPUTATIONS INT SALAIRES"/>
    <s v="PCO"/>
    <s v="3509"/>
    <n v="3509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24"/>
    <x v="0"/>
    <x v="0"/>
    <x v="7"/>
    <x v="1"/>
    <x v="0"/>
    <x v="335"/>
    <x v="1"/>
    <x v="0"/>
    <x v="0"/>
    <x v="9"/>
    <x v="2"/>
    <x v="0"/>
    <x v="17"/>
    <m/>
    <m/>
    <m/>
  </r>
  <r>
    <n v="0"/>
    <s v="3509.390.2"/>
    <s v="LE GOSSAN  IMPUTATIONS INTERNES INTERÊTS"/>
    <s v="PCO"/>
    <s v="3509"/>
    <n v="3509"/>
    <s v="390"/>
    <n v="2"/>
    <n v="0"/>
    <n v="0"/>
    <n v="0"/>
    <n v="0"/>
    <n v="0"/>
    <n v="0"/>
    <n v="0"/>
    <s v="-"/>
    <s v="-"/>
    <s v="-"/>
    <s v="-"/>
    <m/>
    <m/>
    <m/>
    <m/>
    <m/>
    <m/>
    <x v="0"/>
    <x v="24"/>
    <x v="0"/>
    <x v="0"/>
    <x v="7"/>
    <x v="2"/>
    <x v="0"/>
    <x v="336"/>
    <x v="1"/>
    <x v="0"/>
    <x v="0"/>
    <x v="9"/>
    <x v="2"/>
    <x v="0"/>
    <x v="17"/>
    <m/>
    <m/>
    <m/>
  </r>
  <r>
    <n v="0"/>
    <s v="3509.427"/>
    <s v="LE GOSSAN  LOYERS COMMUNAUX : Revenus Imm., Loc. Salle"/>
    <s v="PCO"/>
    <s v="3509"/>
    <n v="3509"/>
    <s v="427"/>
    <m/>
    <n v="0"/>
    <n v="-7250"/>
    <n v="-7250"/>
    <n v="0"/>
    <n v="-9000"/>
    <n v="-9000"/>
    <n v="-4622.5"/>
    <s v="02903"/>
    <s v="4470"/>
    <s v="00"/>
    <s v="Loyers et fermages des biens-fonds PA | Salles communales - Le Gossan, Le Garage |"/>
    <n v="-7250"/>
    <m/>
    <m/>
    <m/>
    <m/>
    <m/>
    <x v="0"/>
    <x v="24"/>
    <x v="0"/>
    <x v="0"/>
    <x v="49"/>
    <x v="0"/>
    <x v="0"/>
    <x v="337"/>
    <x v="35"/>
    <x v="0"/>
    <x v="0"/>
    <x v="86"/>
    <x v="0"/>
    <x v="0"/>
    <x v="200"/>
    <m/>
    <m/>
    <m/>
  </r>
  <r>
    <n v="0"/>
    <s v="3509.427.1"/>
    <s v="LE GOSSAN  LOYER : Réfectoire scolaire"/>
    <s v="PCO"/>
    <s v="3509"/>
    <n v="3509"/>
    <s v="427"/>
    <n v="1"/>
    <n v="0"/>
    <n v="-239501"/>
    <n v="-239501"/>
    <n v="0"/>
    <n v="-241214"/>
    <n v="-241214"/>
    <n v="0"/>
    <s v="02903"/>
    <n v="4612"/>
    <s v="00"/>
    <s v="Dédommagement des communes et associations intercommunales - AISGE - Loyers Le Gossan"/>
    <n v="-239501"/>
    <n v="-236124"/>
    <m/>
    <s v="LOYER ANNUEL &quot;LE GOSSAN&quot; y compris FRAIS ENTRETIEN : REFECTOIRE, CUISINE,"/>
    <m/>
    <m/>
    <x v="0"/>
    <x v="24"/>
    <x v="0"/>
    <x v="0"/>
    <x v="49"/>
    <x v="1"/>
    <x v="0"/>
    <x v="338"/>
    <x v="35"/>
    <x v="0"/>
    <x v="0"/>
    <x v="91"/>
    <x v="0"/>
    <x v="0"/>
    <x v="201"/>
    <m/>
    <m/>
    <m/>
  </r>
  <r>
    <m/>
    <s v="3509.427.1"/>
    <s v="LE GOSSAN  LOYER : Réfectoire scolaire"/>
    <s v="PCO"/>
    <m/>
    <n v="3509"/>
    <s v="427"/>
    <n v="1"/>
    <m/>
    <m/>
    <m/>
    <m/>
    <m/>
    <m/>
    <m/>
    <s v="61510"/>
    <n v="4612"/>
    <s v="00"/>
    <s v="Loyers et fermages des biens-fonds PA - AISGE parkings"/>
    <m/>
    <n v="-5000"/>
    <m/>
    <s v="parking AISGE"/>
    <m/>
    <m/>
    <x v="0"/>
    <x v="24"/>
    <x v="0"/>
    <x v="0"/>
    <x v="49"/>
    <x v="1"/>
    <x v="0"/>
    <x v="338"/>
    <x v="34"/>
    <x v="0"/>
    <x v="0"/>
    <x v="91"/>
    <x v="0"/>
    <x v="0"/>
    <x v="202"/>
    <m/>
    <m/>
    <m/>
  </r>
  <r>
    <n v="0"/>
    <s v="3509.436"/>
    <s v="LE GOSSAN  PART DE TIERS"/>
    <s v="PCO"/>
    <s v="3509"/>
    <n v="3509"/>
    <s v="436"/>
    <m/>
    <n v="0"/>
    <n v="-9600"/>
    <n v="-9600"/>
    <n v="0"/>
    <n v="0"/>
    <n v="0"/>
    <n v="-13112.15"/>
    <s v="02903"/>
    <s v="4470"/>
    <s v="00"/>
    <s v="Loyers et fermages des biens-fonds PA | Salles communales - Le Gossan, Le Garage |"/>
    <n v="-9600"/>
    <m/>
    <m/>
    <s v="Indemnités d'utilisation d'infrastructures cuisines Gossan"/>
    <m/>
    <m/>
    <x v="0"/>
    <x v="24"/>
    <x v="0"/>
    <x v="0"/>
    <x v="13"/>
    <x v="0"/>
    <x v="0"/>
    <x v="339"/>
    <x v="35"/>
    <x v="0"/>
    <x v="0"/>
    <x v="86"/>
    <x v="0"/>
    <x v="0"/>
    <x v="200"/>
    <m/>
    <m/>
    <m/>
  </r>
  <r>
    <n v="0"/>
    <s v="3509.480"/>
    <s v="LE GOSSAN  PRELEVEMENT FONDS DE RESERVE"/>
    <s v="PCO"/>
    <s v="3509"/>
    <n v="3509"/>
    <s v="480"/>
    <m/>
    <n v="0"/>
    <n v="0"/>
    <n v="0"/>
    <n v="0"/>
    <n v="0"/>
    <n v="0"/>
    <n v="0"/>
    <s v="-"/>
    <s v="-"/>
    <s v="-"/>
    <s v="-"/>
    <m/>
    <m/>
    <m/>
    <m/>
    <m/>
    <m/>
    <x v="0"/>
    <x v="24"/>
    <x v="0"/>
    <x v="0"/>
    <x v="14"/>
    <x v="0"/>
    <x v="0"/>
    <x v="340"/>
    <x v="1"/>
    <x v="0"/>
    <x v="0"/>
    <x v="9"/>
    <x v="2"/>
    <x v="0"/>
    <x v="17"/>
    <m/>
    <m/>
    <m/>
  </r>
  <r>
    <n v="0"/>
    <s v="3510.311"/>
    <s v="PAVILLON  ACHATS MOBILIER MACH. MATERIEL"/>
    <s v="PCO"/>
    <s v="3510"/>
    <n v="3510"/>
    <s v="311"/>
    <m/>
    <n v="0"/>
    <n v="0"/>
    <n v="0"/>
    <n v="1000"/>
    <n v="0"/>
    <n v="1000"/>
    <n v="0"/>
    <s v="02904"/>
    <s v="3111"/>
    <s v="00"/>
    <s v="Machines, appareils PA | Le Pavillon |"/>
    <m/>
    <m/>
    <m/>
    <m/>
    <m/>
    <m/>
    <x v="0"/>
    <x v="25"/>
    <x v="0"/>
    <x v="0"/>
    <x v="6"/>
    <x v="0"/>
    <x v="0"/>
    <x v="341"/>
    <x v="42"/>
    <x v="0"/>
    <x v="0"/>
    <x v="38"/>
    <x v="0"/>
    <x v="0"/>
    <x v="203"/>
    <m/>
    <m/>
    <m/>
  </r>
  <r>
    <m/>
    <m/>
    <m/>
    <m/>
    <m/>
    <m/>
    <m/>
    <m/>
    <m/>
    <m/>
    <n v="0"/>
    <m/>
    <m/>
    <n v="0"/>
    <m/>
    <s v="02904"/>
    <s v="3120"/>
    <s v="02"/>
    <s v="Frais d'eau PA | Le Pavillon |"/>
    <m/>
    <m/>
    <m/>
    <m/>
    <m/>
    <m/>
    <x v="0"/>
    <x v="1"/>
    <x v="0"/>
    <x v="0"/>
    <x v="4"/>
    <x v="0"/>
    <x v="0"/>
    <x v="4"/>
    <x v="42"/>
    <x v="0"/>
    <x v="0"/>
    <x v="39"/>
    <x v="5"/>
    <x v="0"/>
    <x v="204"/>
    <m/>
    <m/>
    <m/>
  </r>
  <r>
    <n v="0"/>
    <s v="3510.312"/>
    <s v="PAVILLON  ACHATS ELECTRICITE"/>
    <s v="PCO"/>
    <s v="3510"/>
    <n v="3510"/>
    <s v="312"/>
    <m/>
    <n v="2035.65"/>
    <n v="0"/>
    <n v="2035.65"/>
    <n v="4000"/>
    <n v="0"/>
    <n v="4000"/>
    <n v="1457.25"/>
    <s v="02904"/>
    <s v="3120"/>
    <s v="01"/>
    <s v="Frais d'électricité PA | Le Pavillon |"/>
    <n v="2035.65"/>
    <m/>
    <m/>
    <m/>
    <m/>
    <m/>
    <x v="0"/>
    <x v="25"/>
    <x v="0"/>
    <x v="0"/>
    <x v="30"/>
    <x v="0"/>
    <x v="0"/>
    <x v="342"/>
    <x v="42"/>
    <x v="0"/>
    <x v="0"/>
    <x v="39"/>
    <x v="1"/>
    <x v="0"/>
    <x v="205"/>
    <m/>
    <m/>
    <m/>
  </r>
  <r>
    <n v="0"/>
    <s v="3510.312.1"/>
    <s v="PAVILLON  ACHATS COMBUSTIBLE CAD"/>
    <s v="PCO"/>
    <s v="3510"/>
    <n v="3510"/>
    <s v="312"/>
    <n v="1"/>
    <n v="4671.6499999999996"/>
    <n v="0"/>
    <n v="4671.6499999999996"/>
    <n v="4800"/>
    <n v="0"/>
    <n v="4800"/>
    <n v="1216"/>
    <s v="02904"/>
    <s v="3120"/>
    <s v="00"/>
    <s v="Frais de chauffage PA | Le Pavillon |"/>
    <n v="4671.6499999999996"/>
    <m/>
    <m/>
    <m/>
    <m/>
    <m/>
    <x v="0"/>
    <x v="25"/>
    <x v="0"/>
    <x v="0"/>
    <x v="30"/>
    <x v="1"/>
    <x v="0"/>
    <x v="343"/>
    <x v="42"/>
    <x v="0"/>
    <x v="0"/>
    <x v="39"/>
    <x v="0"/>
    <x v="0"/>
    <x v="206"/>
    <m/>
    <m/>
    <m/>
  </r>
  <r>
    <n v="0"/>
    <s v="3510.313"/>
    <s v="PAVILLON  ACHATS MARCH PROD ENTRETIEN CAFE"/>
    <s v="PCO"/>
    <s v="3510"/>
    <n v="3510"/>
    <s v="313"/>
    <m/>
    <n v="587.35"/>
    <n v="0"/>
    <n v="587.35"/>
    <n v="2000"/>
    <n v="0"/>
    <n v="2000"/>
    <n v="0"/>
    <s v="02904"/>
    <s v="3101"/>
    <s v="00"/>
    <s v="Matériel d'exploitation, petites fournitures PA | Le Pavillon |"/>
    <n v="587.35"/>
    <m/>
    <m/>
    <m/>
    <m/>
    <m/>
    <x v="0"/>
    <x v="25"/>
    <x v="0"/>
    <x v="0"/>
    <x v="53"/>
    <x v="0"/>
    <x v="0"/>
    <x v="344"/>
    <x v="42"/>
    <x v="0"/>
    <x v="0"/>
    <x v="30"/>
    <x v="0"/>
    <x v="0"/>
    <x v="207"/>
    <m/>
    <m/>
    <m/>
  </r>
  <r>
    <m/>
    <s v="3510.313"/>
    <s v="PAVILLON  ACHATS MARCH PROD ENTRETIEN CAFE"/>
    <s v="PCO"/>
    <m/>
    <n v="3510"/>
    <s v="313"/>
    <m/>
    <m/>
    <m/>
    <n v="0"/>
    <m/>
    <m/>
    <n v="0"/>
    <m/>
    <s v="02904"/>
    <s v="3110"/>
    <s v="00"/>
    <s v="Meubles et appareils de bureau PA | Le Pavillon |"/>
    <m/>
    <m/>
    <m/>
    <m/>
    <m/>
    <m/>
    <x v="0"/>
    <x v="25"/>
    <x v="0"/>
    <x v="0"/>
    <x v="53"/>
    <x v="0"/>
    <x v="0"/>
    <x v="344"/>
    <x v="42"/>
    <x v="0"/>
    <x v="0"/>
    <x v="82"/>
    <x v="0"/>
    <x v="0"/>
    <x v="208"/>
    <m/>
    <m/>
    <m/>
  </r>
  <r>
    <m/>
    <s v="3510.313"/>
    <s v="PAVILLON  ACHATS MARCH PROD ENTRETIEN CAFE"/>
    <s v="PCO"/>
    <m/>
    <n v="3510"/>
    <s v="313"/>
    <m/>
    <m/>
    <m/>
    <n v="0"/>
    <m/>
    <m/>
    <n v="0"/>
    <m/>
    <s v="02904"/>
    <s v="3111"/>
    <s v="00"/>
    <s v="Machines, appareils PA | Le Pavillon |"/>
    <m/>
    <m/>
    <m/>
    <m/>
    <m/>
    <m/>
    <x v="0"/>
    <x v="25"/>
    <x v="0"/>
    <x v="0"/>
    <x v="53"/>
    <x v="0"/>
    <x v="0"/>
    <x v="344"/>
    <x v="42"/>
    <x v="0"/>
    <x v="0"/>
    <x v="38"/>
    <x v="0"/>
    <x v="0"/>
    <x v="203"/>
    <m/>
    <m/>
    <m/>
  </r>
  <r>
    <n v="0"/>
    <s v="3510.314"/>
    <s v="PAVILLON  ENTRETIEN BÂTIMENT"/>
    <s v="PCO"/>
    <s v="3510"/>
    <n v="3510"/>
    <s v="314"/>
    <m/>
    <n v="0"/>
    <n v="0"/>
    <n v="0"/>
    <n v="13000"/>
    <n v="0"/>
    <n v="13000"/>
    <n v="1261.1500000000001"/>
    <s v="02904"/>
    <s v="3144"/>
    <s v="00"/>
    <s v="Entretien des bâtiments, immeubles PA | Le Pavillon |"/>
    <m/>
    <m/>
    <m/>
    <m/>
    <m/>
    <m/>
    <x v="0"/>
    <x v="25"/>
    <x v="0"/>
    <x v="0"/>
    <x v="25"/>
    <x v="0"/>
    <x v="0"/>
    <x v="345"/>
    <x v="42"/>
    <x v="0"/>
    <x v="0"/>
    <x v="83"/>
    <x v="0"/>
    <x v="0"/>
    <x v="209"/>
    <m/>
    <m/>
    <m/>
  </r>
  <r>
    <n v="0"/>
    <s v="3510.314.1"/>
    <s v="PAVILLON  CONTRATS D’ENTRETIEN BÂTIMENT"/>
    <s v="PCO"/>
    <s v="3510"/>
    <n v="3510"/>
    <s v="314"/>
    <n v="1"/>
    <n v="0"/>
    <n v="0"/>
    <n v="0"/>
    <n v="250"/>
    <n v="0"/>
    <n v="250"/>
    <n v="0"/>
    <s v="02904"/>
    <s v="3144"/>
    <s v="00"/>
    <s v="Entretien des bâtiments, immeubles PA | Le Pavillon |"/>
    <m/>
    <m/>
    <m/>
    <m/>
    <m/>
    <m/>
    <x v="0"/>
    <x v="25"/>
    <x v="0"/>
    <x v="0"/>
    <x v="25"/>
    <x v="1"/>
    <x v="0"/>
    <x v="346"/>
    <x v="42"/>
    <x v="0"/>
    <x v="0"/>
    <x v="83"/>
    <x v="0"/>
    <x v="0"/>
    <x v="209"/>
    <m/>
    <m/>
    <m/>
  </r>
  <r>
    <n v="0"/>
    <s v="3510.315"/>
    <s v="PAVILLON  ENTRETIEN MOB et INST TECH"/>
    <s v="PCO"/>
    <s v="3510"/>
    <n v="3510"/>
    <s v="315"/>
    <m/>
    <n v="908.05"/>
    <n v="0"/>
    <n v="908.05"/>
    <n v="2000"/>
    <n v="0"/>
    <n v="2000"/>
    <n v="18237.349999999999"/>
    <s v="02904"/>
    <s v="3144"/>
    <s v="00"/>
    <s v="Entretien des bâtiments, immeubles PA | Le Pavillon |"/>
    <n v="908.05"/>
    <m/>
    <m/>
    <m/>
    <m/>
    <m/>
    <x v="0"/>
    <x v="25"/>
    <x v="0"/>
    <x v="0"/>
    <x v="24"/>
    <x v="0"/>
    <x v="0"/>
    <x v="347"/>
    <x v="42"/>
    <x v="0"/>
    <x v="0"/>
    <x v="83"/>
    <x v="0"/>
    <x v="0"/>
    <x v="209"/>
    <m/>
    <m/>
    <m/>
  </r>
  <r>
    <n v="0"/>
    <s v="3510.315.1"/>
    <s v="PAVILLON  CONTRATS ENT INST TECH COMMUNAL"/>
    <s v="PCO"/>
    <s v="3510"/>
    <n v="3510"/>
    <s v="315"/>
    <n v="1"/>
    <n v="3006.05"/>
    <n v="0"/>
    <n v="3006.05"/>
    <n v="3000"/>
    <n v="0"/>
    <n v="3000"/>
    <n v="2905.9"/>
    <s v="02904"/>
    <s v="3144"/>
    <s v="00"/>
    <s v="Entretien des bâtiments, immeubles PA | Le Pavillon |"/>
    <n v="3006.05"/>
    <m/>
    <m/>
    <m/>
    <m/>
    <m/>
    <x v="0"/>
    <x v="25"/>
    <x v="0"/>
    <x v="0"/>
    <x v="24"/>
    <x v="1"/>
    <x v="0"/>
    <x v="348"/>
    <x v="42"/>
    <x v="0"/>
    <x v="0"/>
    <x v="83"/>
    <x v="0"/>
    <x v="0"/>
    <x v="209"/>
    <m/>
    <m/>
    <m/>
  </r>
  <r>
    <n v="0"/>
    <s v="3510.318"/>
    <s v="PAVILLON  ASSURANCES INTERNET TV"/>
    <s v="PCO"/>
    <s v="3510"/>
    <n v="3510"/>
    <s v="318"/>
    <m/>
    <n v="2693.5"/>
    <n v="0"/>
    <n v="2693.5"/>
    <n v="2500"/>
    <n v="0"/>
    <n v="2500"/>
    <n v="2123.4499999999998"/>
    <s v="02904"/>
    <n v="3130"/>
    <s v="02"/>
    <s v="Prestations de services tiers - télécommunications PA | Le Pavillon |"/>
    <n v="2693.5"/>
    <m/>
    <m/>
    <m/>
    <m/>
    <m/>
    <x v="0"/>
    <x v="25"/>
    <x v="0"/>
    <x v="0"/>
    <x v="10"/>
    <x v="0"/>
    <x v="0"/>
    <x v="349"/>
    <x v="42"/>
    <x v="0"/>
    <x v="0"/>
    <x v="16"/>
    <x v="5"/>
    <x v="0"/>
    <x v="210"/>
    <m/>
    <m/>
    <m/>
  </r>
  <r>
    <m/>
    <s v="3510.318"/>
    <s v="PAVILLON  ASSURANCES INTERNET TV"/>
    <s v="PCO"/>
    <m/>
    <n v="3510"/>
    <s v="318"/>
    <m/>
    <m/>
    <m/>
    <n v="0"/>
    <m/>
    <m/>
    <n v="0"/>
    <m/>
    <s v="02904"/>
    <s v="3134"/>
    <s v="00"/>
    <s v="Frais Assurances PA | Le Pavillon |"/>
    <m/>
    <m/>
    <m/>
    <m/>
    <m/>
    <m/>
    <x v="0"/>
    <x v="25"/>
    <x v="0"/>
    <x v="0"/>
    <x v="10"/>
    <x v="0"/>
    <x v="0"/>
    <x v="349"/>
    <x v="42"/>
    <x v="0"/>
    <x v="0"/>
    <x v="21"/>
    <x v="0"/>
    <x v="0"/>
    <x v="211"/>
    <m/>
    <m/>
    <m/>
  </r>
  <r>
    <n v="0"/>
    <s v="3510.331"/>
    <s v="PAVILLON  AMORT PATR. ADMINISTRAT"/>
    <s v="PCO"/>
    <s v="3510"/>
    <n v="3510"/>
    <s v="331"/>
    <m/>
    <n v="0"/>
    <n v="0"/>
    <n v="0"/>
    <n v="0"/>
    <n v="0"/>
    <n v="0"/>
    <n v="0"/>
    <s v="-"/>
    <s v="-"/>
    <s v="-"/>
    <s v="-"/>
    <m/>
    <m/>
    <m/>
    <m/>
    <m/>
    <m/>
    <x v="0"/>
    <x v="25"/>
    <x v="0"/>
    <x v="0"/>
    <x v="31"/>
    <x v="0"/>
    <x v="0"/>
    <x v="350"/>
    <x v="1"/>
    <x v="0"/>
    <x v="0"/>
    <x v="9"/>
    <x v="2"/>
    <x v="0"/>
    <x v="17"/>
    <m/>
    <m/>
    <m/>
  </r>
  <r>
    <n v="0"/>
    <s v="3510.332"/>
    <s v="PAVILLON  AMORT PATR. ADMINISTRAT SUPPL"/>
    <s v="PCO"/>
    <s v="3510"/>
    <n v="3510"/>
    <s v="332"/>
    <m/>
    <n v="0"/>
    <n v="0"/>
    <n v="0"/>
    <n v="0"/>
    <n v="0"/>
    <n v="0"/>
    <n v="0"/>
    <s v="-"/>
    <s v="-"/>
    <s v="-"/>
    <s v="-"/>
    <m/>
    <m/>
    <m/>
    <m/>
    <m/>
    <m/>
    <x v="0"/>
    <x v="25"/>
    <x v="0"/>
    <x v="0"/>
    <x v="20"/>
    <x v="0"/>
    <x v="0"/>
    <x v="351"/>
    <x v="1"/>
    <x v="0"/>
    <x v="0"/>
    <x v="9"/>
    <x v="2"/>
    <x v="0"/>
    <x v="17"/>
    <m/>
    <m/>
    <m/>
  </r>
  <r>
    <n v="0"/>
    <s v="3510.380"/>
    <s v="PAVILLON  ATTRIB FONDS RENOVATION (9281.10)"/>
    <s v="PCO"/>
    <s v="3510"/>
    <n v="3510"/>
    <s v="380"/>
    <m/>
    <n v="0"/>
    <n v="0"/>
    <n v="0"/>
    <n v="0"/>
    <n v="0"/>
    <n v="0"/>
    <n v="0"/>
    <s v="-"/>
    <s v="-"/>
    <s v="-"/>
    <s v="-"/>
    <m/>
    <m/>
    <m/>
    <m/>
    <m/>
    <m/>
    <x v="0"/>
    <x v="25"/>
    <x v="0"/>
    <x v="0"/>
    <x v="22"/>
    <x v="0"/>
    <x v="0"/>
    <x v="352"/>
    <x v="1"/>
    <x v="0"/>
    <x v="0"/>
    <x v="9"/>
    <x v="2"/>
    <x v="0"/>
    <x v="17"/>
    <m/>
    <m/>
    <m/>
  </r>
  <r>
    <n v="0"/>
    <s v="3510.390.1"/>
    <s v="PAVILLON  IMPUTATIONS INT SALAIRES"/>
    <s v="PCO"/>
    <s v="3510"/>
    <n v="3510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25"/>
    <x v="0"/>
    <x v="0"/>
    <x v="7"/>
    <x v="1"/>
    <x v="0"/>
    <x v="353"/>
    <x v="1"/>
    <x v="0"/>
    <x v="0"/>
    <x v="9"/>
    <x v="2"/>
    <x v="0"/>
    <x v="17"/>
    <m/>
    <m/>
    <m/>
  </r>
  <r>
    <n v="0"/>
    <s v="3510.427"/>
    <s v="PAVILLON  LOYERS COMMUNAUX"/>
    <s v="PCO"/>
    <s v="3510"/>
    <n v="3510"/>
    <s v="427"/>
    <m/>
    <n v="0"/>
    <n v="-10545"/>
    <n v="-10545"/>
    <n v="0"/>
    <n v="-10000"/>
    <n v="-10000"/>
    <n v="-8600"/>
    <s v="02904"/>
    <s v="4470"/>
    <s v="00"/>
    <s v="Loyers et fermages des biens-fonds PA | Le Pavillon |"/>
    <n v="-10545"/>
    <m/>
    <m/>
    <s v="Location Bac à sable"/>
    <m/>
    <m/>
    <x v="0"/>
    <x v="25"/>
    <x v="0"/>
    <x v="0"/>
    <x v="49"/>
    <x v="0"/>
    <x v="0"/>
    <x v="354"/>
    <x v="42"/>
    <x v="0"/>
    <x v="0"/>
    <x v="86"/>
    <x v="0"/>
    <x v="0"/>
    <x v="212"/>
    <m/>
    <m/>
    <m/>
  </r>
  <r>
    <m/>
    <s v="3510.427"/>
    <s v="PAVILLON  LOYERS COMMUNAUX"/>
    <s v="PCO"/>
    <s v="3510"/>
    <n v="3510"/>
    <s v="427"/>
    <m/>
    <m/>
    <m/>
    <m/>
    <m/>
    <m/>
    <n v="0"/>
    <m/>
    <s v="02904"/>
    <s v="4472"/>
    <s v="00"/>
    <s v="Loyers et fermages des biens-fonds PA - location du Pavillon"/>
    <m/>
    <m/>
    <m/>
    <s v="Location Pavillon"/>
    <m/>
    <m/>
    <x v="0"/>
    <x v="25"/>
    <x v="0"/>
    <x v="0"/>
    <x v="49"/>
    <x v="0"/>
    <x v="0"/>
    <x v="354"/>
    <x v="42"/>
    <x v="0"/>
    <x v="0"/>
    <x v="92"/>
    <x v="0"/>
    <x v="0"/>
    <x v="213"/>
    <m/>
    <m/>
    <m/>
  </r>
  <r>
    <n v="0"/>
    <s v="3510.436"/>
    <s v="PAVILLON  PART DE TIERS"/>
    <s v="PCO"/>
    <s v="3510"/>
    <n v="3510"/>
    <s v="436"/>
    <m/>
    <n v="0"/>
    <n v="-504"/>
    <n v="-504"/>
    <n v="0"/>
    <n v="0"/>
    <n v="0"/>
    <n v="-3681.6"/>
    <s v="02904"/>
    <s v="4472"/>
    <s v="01"/>
    <s v="Autres revenus financiers PA | Le Pavillon | chaises, tables, bancs"/>
    <n v="-504"/>
    <m/>
    <m/>
    <s v="Location tables, bancs, etc"/>
    <m/>
    <m/>
    <x v="0"/>
    <x v="25"/>
    <x v="0"/>
    <x v="0"/>
    <x v="13"/>
    <x v="0"/>
    <x v="0"/>
    <x v="355"/>
    <x v="42"/>
    <x v="0"/>
    <x v="0"/>
    <x v="92"/>
    <x v="1"/>
    <x v="0"/>
    <x v="214"/>
    <m/>
    <m/>
    <m/>
  </r>
  <r>
    <n v="0"/>
    <s v="3510.480"/>
    <s v="PAVILLON  PRELEV FDS RENOVATION (9281.10)"/>
    <s v="PCO"/>
    <s v="3510"/>
    <n v="3510"/>
    <s v="480"/>
    <m/>
    <n v="0"/>
    <n v="0"/>
    <n v="0"/>
    <n v="0"/>
    <n v="0"/>
    <n v="0"/>
    <n v="0"/>
    <s v="-"/>
    <s v="-"/>
    <s v="-"/>
    <s v="-"/>
    <m/>
    <m/>
    <m/>
    <m/>
    <m/>
    <m/>
    <x v="0"/>
    <x v="25"/>
    <x v="0"/>
    <x v="0"/>
    <x v="14"/>
    <x v="0"/>
    <x v="0"/>
    <x v="356"/>
    <x v="1"/>
    <x v="0"/>
    <x v="0"/>
    <x v="9"/>
    <x v="2"/>
    <x v="0"/>
    <x v="17"/>
    <m/>
    <m/>
    <m/>
  </r>
  <r>
    <n v="0"/>
    <s v="3511.311"/>
    <s v="SOURCE VIVE ACHATS MOBILIER MACH. MATERIEL"/>
    <s v="PCO"/>
    <s v="3511"/>
    <n v="3511"/>
    <s v="311"/>
    <m/>
    <n v="0"/>
    <n v="0"/>
    <n v="0"/>
    <n v="100"/>
    <n v="0"/>
    <n v="100"/>
    <n v="0"/>
    <s v="96306"/>
    <s v="3439"/>
    <s v="07"/>
    <s v="Autres charges de biens-fonds PF | Bât Source Vive / Gare 10 | Achat mobilier"/>
    <m/>
    <m/>
    <m/>
    <m/>
    <m/>
    <m/>
    <x v="0"/>
    <x v="26"/>
    <x v="0"/>
    <x v="0"/>
    <x v="6"/>
    <x v="0"/>
    <x v="0"/>
    <x v="357"/>
    <x v="43"/>
    <x v="0"/>
    <x v="0"/>
    <x v="81"/>
    <x v="10"/>
    <x v="0"/>
    <x v="215"/>
    <m/>
    <m/>
    <m/>
  </r>
  <r>
    <n v="0"/>
    <s v="3511.312"/>
    <s v="SOURCE VIVE ACHATS ELECTRICITE"/>
    <s v="PCO"/>
    <s v="3511"/>
    <n v="3511"/>
    <s v="312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30"/>
    <x v="0"/>
    <x v="0"/>
    <x v="358"/>
    <x v="1"/>
    <x v="0"/>
    <x v="0"/>
    <x v="9"/>
    <x v="2"/>
    <x v="0"/>
    <x v="17"/>
    <m/>
    <m/>
    <m/>
  </r>
  <r>
    <n v="0"/>
    <s v="3511.313"/>
    <s v="SOURCE VIVE ACHATS MARCH PROD ENTRETIEN"/>
    <s v="PCO"/>
    <s v="3511"/>
    <n v="3511"/>
    <s v="313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53"/>
    <x v="0"/>
    <x v="0"/>
    <x v="359"/>
    <x v="1"/>
    <x v="0"/>
    <x v="0"/>
    <x v="9"/>
    <x v="2"/>
    <x v="0"/>
    <x v="17"/>
    <m/>
    <m/>
    <m/>
  </r>
  <r>
    <n v="0"/>
    <s v="3511.314"/>
    <s v="SOURCE VIVE  ENTRETIEN BÂTIMENT"/>
    <s v="PCO"/>
    <s v="3511"/>
    <n v="3511"/>
    <s v="314"/>
    <m/>
    <n v="310.8"/>
    <n v="0"/>
    <n v="310.8"/>
    <n v="10000"/>
    <n v="0"/>
    <n v="10000"/>
    <n v="29684.26"/>
    <s v="96306"/>
    <s v="3431"/>
    <s v="00"/>
    <s v="Entretien courant, biens-fonds PF | Bât Source Vive / Gare 10 |"/>
    <n v="310.8"/>
    <m/>
    <m/>
    <m/>
    <m/>
    <m/>
    <x v="0"/>
    <x v="26"/>
    <x v="0"/>
    <x v="0"/>
    <x v="25"/>
    <x v="0"/>
    <x v="0"/>
    <x v="360"/>
    <x v="43"/>
    <x v="0"/>
    <x v="0"/>
    <x v="75"/>
    <x v="0"/>
    <x v="0"/>
    <x v="216"/>
    <m/>
    <m/>
    <m/>
  </r>
  <r>
    <n v="0"/>
    <s v="3511.314.1"/>
    <s v="SOURCE VIVE  CONTRATS D’ENTRETIEN BÂTIMENT"/>
    <s v="PCO"/>
    <s v="3511"/>
    <n v="3511"/>
    <s v="314"/>
    <n v="1"/>
    <n v="540.5"/>
    <n v="0"/>
    <n v="540.5"/>
    <n v="540"/>
    <n v="0"/>
    <n v="540"/>
    <n v="0"/>
    <s v="96306"/>
    <s v="3431"/>
    <s v="00"/>
    <s v="Entretien courant, biens-fonds PF | Bât Source Vive / Gare 10 |"/>
    <n v="540.5"/>
    <m/>
    <m/>
    <m/>
    <m/>
    <m/>
    <x v="0"/>
    <x v="26"/>
    <x v="0"/>
    <x v="0"/>
    <x v="25"/>
    <x v="1"/>
    <x v="0"/>
    <x v="361"/>
    <x v="43"/>
    <x v="0"/>
    <x v="0"/>
    <x v="75"/>
    <x v="0"/>
    <x v="0"/>
    <x v="216"/>
    <m/>
    <m/>
    <m/>
  </r>
  <r>
    <n v="0"/>
    <s v="3511.314.2"/>
    <s v="SOURCE VIVE DECPTE CHARGES REGIE SPG - VALAUR SA"/>
    <s v="PCO"/>
    <s v="3511"/>
    <n v="3511"/>
    <s v="314"/>
    <n v="2"/>
    <n v="54986.93"/>
    <n v="0"/>
    <n v="54986.93"/>
    <n v="40000"/>
    <n v="0"/>
    <n v="40000"/>
    <n v="0"/>
    <s v="96306"/>
    <s v="3431"/>
    <s v="00"/>
    <s v="Entretien courant, biens-fonds PF | Bât Source Vive / Gare 10 |"/>
    <n v="54986.93"/>
    <m/>
    <m/>
    <m/>
    <m/>
    <m/>
    <x v="0"/>
    <x v="26"/>
    <x v="0"/>
    <x v="0"/>
    <x v="25"/>
    <x v="2"/>
    <x v="0"/>
    <x v="362"/>
    <x v="43"/>
    <x v="0"/>
    <x v="0"/>
    <x v="75"/>
    <x v="0"/>
    <x v="0"/>
    <x v="216"/>
    <m/>
    <m/>
    <m/>
  </r>
  <r>
    <m/>
    <s v="3511.314.2"/>
    <s v="SOURCE VIVE DECPTE CHARGES REGIE SPG - VALAUR SA"/>
    <s v="PCO"/>
    <s v="3511"/>
    <n v="3511"/>
    <s v="314"/>
    <n v="2"/>
    <m/>
    <m/>
    <n v="0"/>
    <m/>
    <m/>
    <n v="0"/>
    <m/>
    <s v="96306"/>
    <s v="3439"/>
    <s v="00"/>
    <s v="Autres charges de biens-fonds PF | Bât Source Vive / Gare 10 |  Assurances"/>
    <m/>
    <m/>
    <m/>
    <m/>
    <m/>
    <m/>
    <x v="0"/>
    <x v="26"/>
    <x v="0"/>
    <x v="0"/>
    <x v="25"/>
    <x v="2"/>
    <x v="0"/>
    <x v="362"/>
    <x v="43"/>
    <x v="0"/>
    <x v="0"/>
    <x v="81"/>
    <x v="0"/>
    <x v="0"/>
    <x v="217"/>
    <m/>
    <m/>
    <m/>
  </r>
  <r>
    <m/>
    <s v="3511.314.2"/>
    <s v="SOURCE VIVE DECPTE CHARGES REGIE SPG - VALAUR SA"/>
    <s v="PCO"/>
    <s v="3511"/>
    <n v="3511"/>
    <s v="314"/>
    <n v="2"/>
    <m/>
    <m/>
    <n v="0"/>
    <m/>
    <m/>
    <n v="0"/>
    <m/>
    <s v="96306"/>
    <s v="3439"/>
    <s v="01"/>
    <s v="Autres charges de biens-fonds PF | Bât Source Vive / Gare 10 | Eau"/>
    <m/>
    <m/>
    <m/>
    <m/>
    <m/>
    <m/>
    <x v="0"/>
    <x v="26"/>
    <x v="0"/>
    <x v="0"/>
    <x v="25"/>
    <x v="2"/>
    <x v="0"/>
    <x v="362"/>
    <x v="43"/>
    <x v="0"/>
    <x v="0"/>
    <x v="81"/>
    <x v="1"/>
    <x v="0"/>
    <x v="218"/>
    <m/>
    <m/>
    <m/>
  </r>
  <r>
    <m/>
    <s v="3511.314.2"/>
    <s v="SOURCE VIVE DECPTE CHARGES REGIE SPG - VALAUR SA"/>
    <s v="PCO"/>
    <s v="3511"/>
    <n v="3511"/>
    <s v="314"/>
    <n v="2"/>
    <m/>
    <m/>
    <n v="0"/>
    <m/>
    <m/>
    <n v="0"/>
    <m/>
    <s v="96306"/>
    <s v="3439"/>
    <s v="02"/>
    <s v="Autres charges de biens-fonds PF | Bât Source Vive / Gare 10 | Electricité"/>
    <m/>
    <m/>
    <m/>
    <m/>
    <m/>
    <m/>
    <x v="0"/>
    <x v="26"/>
    <x v="0"/>
    <x v="0"/>
    <x v="25"/>
    <x v="2"/>
    <x v="0"/>
    <x v="362"/>
    <x v="43"/>
    <x v="0"/>
    <x v="0"/>
    <x v="81"/>
    <x v="5"/>
    <x v="0"/>
    <x v="219"/>
    <m/>
    <m/>
    <m/>
  </r>
  <r>
    <m/>
    <s v="3511.314.2"/>
    <s v="SOURCE VIVE DECPTE CHARGES REGIE SPG - VALAUR SA"/>
    <s v="PCO"/>
    <s v="3511"/>
    <n v="3511"/>
    <s v="314"/>
    <n v="2"/>
    <m/>
    <m/>
    <n v="0"/>
    <m/>
    <m/>
    <n v="0"/>
    <m/>
    <s v="96306"/>
    <s v="3439"/>
    <s v="03"/>
    <s v="Autres charges de biens-fonds PF | Bât Source Vive / Gare 10 |  Chauffage"/>
    <m/>
    <m/>
    <m/>
    <m/>
    <m/>
    <m/>
    <x v="0"/>
    <x v="26"/>
    <x v="0"/>
    <x v="0"/>
    <x v="25"/>
    <x v="2"/>
    <x v="0"/>
    <x v="362"/>
    <x v="43"/>
    <x v="0"/>
    <x v="0"/>
    <x v="81"/>
    <x v="9"/>
    <x v="0"/>
    <x v="220"/>
    <m/>
    <m/>
    <m/>
  </r>
  <r>
    <m/>
    <s v="3511.314.2"/>
    <s v="SOURCE VIVE DECPTE CHARGES REGIE SPG - VALAUR SA"/>
    <s v="PCO"/>
    <s v="3511"/>
    <n v="3511"/>
    <s v="314"/>
    <n v="2"/>
    <m/>
    <m/>
    <n v="0"/>
    <m/>
    <m/>
    <n v="0"/>
    <m/>
    <s v="96306"/>
    <s v="3439"/>
    <s v="04"/>
    <s v="Autres charges de biens-fonds PF | Bât Source Vive / Gare 10 |  Frais de gérance"/>
    <m/>
    <m/>
    <m/>
    <m/>
    <m/>
    <m/>
    <x v="0"/>
    <x v="26"/>
    <x v="0"/>
    <x v="0"/>
    <x v="25"/>
    <x v="2"/>
    <x v="0"/>
    <x v="362"/>
    <x v="43"/>
    <x v="0"/>
    <x v="0"/>
    <x v="81"/>
    <x v="3"/>
    <x v="0"/>
    <x v="221"/>
    <m/>
    <m/>
    <m/>
  </r>
  <r>
    <m/>
    <s v="3511.314.2"/>
    <s v="SOURCE VIVE DECPTE CHARGES REGIE SPG - VALAUR SA"/>
    <s v="PCO"/>
    <s v="3511"/>
    <n v="3511"/>
    <s v="314"/>
    <n v="2"/>
    <m/>
    <m/>
    <n v="0"/>
    <m/>
    <m/>
    <n v="0"/>
    <m/>
    <s v="96306"/>
    <s v="3430"/>
    <s v="00"/>
    <s v="Tavaux Ponctuels, biens-fonds PF | Bât Source Vive / Gare 10 |"/>
    <m/>
    <m/>
    <m/>
    <m/>
    <m/>
    <m/>
    <x v="0"/>
    <x v="26"/>
    <x v="0"/>
    <x v="0"/>
    <x v="25"/>
    <x v="2"/>
    <x v="0"/>
    <x v="362"/>
    <x v="43"/>
    <x v="0"/>
    <x v="0"/>
    <x v="80"/>
    <x v="0"/>
    <x v="0"/>
    <x v="222"/>
    <m/>
    <m/>
    <m/>
  </r>
  <r>
    <n v="0"/>
    <s v="3511.315"/>
    <s v="SOURCE VIVE  ENTRETIEN MOB et INST TECH"/>
    <s v="PCO"/>
    <s v="3511"/>
    <n v="3511"/>
    <s v="315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24"/>
    <x v="0"/>
    <x v="0"/>
    <x v="363"/>
    <x v="1"/>
    <x v="0"/>
    <x v="0"/>
    <x v="9"/>
    <x v="2"/>
    <x v="0"/>
    <x v="17"/>
    <m/>
    <m/>
    <m/>
  </r>
  <r>
    <n v="0"/>
    <s v="3511.315.1"/>
    <s v="SOURCE VIVE  CONTRATS ENT INST TECH COMMUNAL"/>
    <s v="PCO"/>
    <s v="3511"/>
    <n v="3511"/>
    <s v="315"/>
    <n v="1"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24"/>
    <x v="1"/>
    <x v="0"/>
    <x v="364"/>
    <x v="1"/>
    <x v="0"/>
    <x v="0"/>
    <x v="9"/>
    <x v="2"/>
    <x v="0"/>
    <x v="17"/>
    <m/>
    <m/>
    <m/>
  </r>
  <r>
    <n v="0"/>
    <s v="3511.318"/>
    <s v="SOURCE VIVE  PRESTATIONS ASSURANCES HONORAIRES"/>
    <s v="PCO"/>
    <s v="3511"/>
    <n v="3511"/>
    <s v="318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10"/>
    <x v="0"/>
    <x v="0"/>
    <x v="365"/>
    <x v="1"/>
    <x v="0"/>
    <x v="0"/>
    <x v="9"/>
    <x v="2"/>
    <x v="0"/>
    <x v="17"/>
    <m/>
    <m/>
    <m/>
  </r>
  <r>
    <n v="0"/>
    <s v="3511.330"/>
    <s v="SOURCE VIVE  AMORTISSEMENT PART FINANCIER"/>
    <s v="PCO"/>
    <s v="3511"/>
    <n v="3511"/>
    <s v="330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11"/>
    <x v="0"/>
    <x v="0"/>
    <x v="366"/>
    <x v="1"/>
    <x v="0"/>
    <x v="0"/>
    <x v="9"/>
    <x v="2"/>
    <x v="0"/>
    <x v="17"/>
    <m/>
    <m/>
    <m/>
  </r>
  <r>
    <n v="0"/>
    <s v="3511.331"/>
    <s v="SOURCE-VIVE  AMORT PATR ADM COMMUNAL (inactif)"/>
    <s v="PCO"/>
    <s v="3511"/>
    <n v="3511"/>
    <s v="331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31"/>
    <x v="0"/>
    <x v="0"/>
    <x v="367"/>
    <x v="1"/>
    <x v="0"/>
    <x v="0"/>
    <x v="9"/>
    <x v="2"/>
    <x v="0"/>
    <x v="17"/>
    <m/>
    <m/>
    <m/>
  </r>
  <r>
    <n v="0"/>
    <s v="3511.380"/>
    <s v="SOURCE VIVE  ATTRIB FONDS RENOVATION (9281.19)"/>
    <s v="PCO"/>
    <s v="3511"/>
    <n v="3511"/>
    <s v="380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22"/>
    <x v="0"/>
    <x v="0"/>
    <x v="368"/>
    <x v="1"/>
    <x v="0"/>
    <x v="0"/>
    <x v="9"/>
    <x v="2"/>
    <x v="0"/>
    <x v="17"/>
    <m/>
    <m/>
    <m/>
  </r>
  <r>
    <n v="0"/>
    <s v="3511.427"/>
    <s v="SOURCE VIVE  LOYERS et REVENUS PART FINANCIER"/>
    <s v="PCO"/>
    <s v="3511"/>
    <n v="3511"/>
    <s v="427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49"/>
    <x v="0"/>
    <x v="0"/>
    <x v="369"/>
    <x v="1"/>
    <x v="0"/>
    <x v="0"/>
    <x v="9"/>
    <x v="2"/>
    <x v="0"/>
    <x v="17"/>
    <m/>
    <m/>
    <m/>
  </r>
  <r>
    <n v="0"/>
    <s v="3511.427.2"/>
    <s v="SOURCE VIVE  DECPTE LOYERS REGIE SPG - VALAUR SA"/>
    <s v="PCO"/>
    <s v="3511"/>
    <n v="3511"/>
    <s v="427"/>
    <n v="2"/>
    <n v="0"/>
    <n v="-263008.40000000002"/>
    <n v="-263008.40000000002"/>
    <n v="0"/>
    <n v="-260000"/>
    <n v="-260000"/>
    <n v="0"/>
    <s v="96306"/>
    <s v="4430"/>
    <s v="00"/>
    <s v="Loyers et fermages, immeubles du PF  | Bât Source Vive / Gare 10 |"/>
    <n v="-263008.40000000002"/>
    <m/>
    <m/>
    <m/>
    <m/>
    <m/>
    <x v="0"/>
    <x v="26"/>
    <x v="0"/>
    <x v="0"/>
    <x v="49"/>
    <x v="2"/>
    <x v="0"/>
    <x v="370"/>
    <x v="43"/>
    <x v="0"/>
    <x v="0"/>
    <x v="76"/>
    <x v="0"/>
    <x v="0"/>
    <x v="223"/>
    <m/>
    <m/>
    <m/>
  </r>
  <r>
    <n v="0"/>
    <s v="3511.436"/>
    <s v="SOURCE VIVE  PART DE TIERS"/>
    <s v="PCO"/>
    <s v="3511"/>
    <n v="3511"/>
    <s v="436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13"/>
    <x v="0"/>
    <x v="0"/>
    <x v="371"/>
    <x v="1"/>
    <x v="0"/>
    <x v="0"/>
    <x v="9"/>
    <x v="2"/>
    <x v="0"/>
    <x v="17"/>
    <m/>
    <m/>
    <m/>
  </r>
  <r>
    <n v="0"/>
    <s v="3511.480"/>
    <s v="SOURCE-VIVE  PRELEVEMENT FONDS RESERVE (9281.19)"/>
    <s v="PCO"/>
    <s v="3511"/>
    <n v="3511"/>
    <s v="480"/>
    <m/>
    <n v="0"/>
    <n v="0"/>
    <n v="0"/>
    <n v="0"/>
    <n v="0"/>
    <n v="0"/>
    <n v="0"/>
    <s v="-"/>
    <s v="-"/>
    <s v="-"/>
    <s v="-"/>
    <m/>
    <m/>
    <m/>
    <m/>
    <m/>
    <m/>
    <x v="0"/>
    <x v="26"/>
    <x v="0"/>
    <x v="0"/>
    <x v="14"/>
    <x v="0"/>
    <x v="0"/>
    <x v="372"/>
    <x v="1"/>
    <x v="0"/>
    <x v="0"/>
    <x v="9"/>
    <x v="2"/>
    <x v="0"/>
    <x v="17"/>
    <m/>
    <m/>
    <m/>
  </r>
  <r>
    <n v="0"/>
    <s v="3512.311.1"/>
    <s v="CASERNE ACHAT MOBILIER, MATERIEL CTC"/>
    <s v="PCO"/>
    <s v="3512"/>
    <n v="3512"/>
    <s v="311"/>
    <n v="1"/>
    <n v="799"/>
    <n v="0"/>
    <n v="799"/>
    <n v="0"/>
    <n v="0"/>
    <n v="0"/>
    <n v="0"/>
    <s v="02905"/>
    <s v="3111"/>
    <s v="00"/>
    <s v="Machines, appareils PA | Caserne de pompiers / Bregentenaz 10 |"/>
    <n v="799"/>
    <m/>
    <m/>
    <m/>
    <m/>
    <m/>
    <x v="0"/>
    <x v="27"/>
    <x v="0"/>
    <x v="0"/>
    <x v="6"/>
    <x v="1"/>
    <x v="0"/>
    <x v="373"/>
    <x v="44"/>
    <x v="0"/>
    <x v="0"/>
    <x v="38"/>
    <x v="0"/>
    <x v="0"/>
    <x v="224"/>
    <m/>
    <m/>
    <m/>
  </r>
  <r>
    <n v="0"/>
    <s v="3512.311.2"/>
    <s v="CASERNE ACHAT MOBILIER, MATERIEL (inactif)"/>
    <s v="PCO"/>
    <s v="3512"/>
    <n v="3512"/>
    <s v="311"/>
    <n v="2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6"/>
    <x v="2"/>
    <x v="0"/>
    <x v="374"/>
    <x v="1"/>
    <x v="0"/>
    <x v="0"/>
    <x v="9"/>
    <x v="2"/>
    <x v="0"/>
    <x v="17"/>
    <m/>
    <m/>
    <m/>
  </r>
  <r>
    <n v="0"/>
    <s v="3512.311.3"/>
    <s v="CASERNE ACHAT MOBILIER, MATERIEL LOGEMENTS (inactif)"/>
    <s v="PCO"/>
    <s v="3512"/>
    <n v="3512"/>
    <s v="311"/>
    <n v="3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6"/>
    <x v="3"/>
    <x v="0"/>
    <x v="375"/>
    <x v="1"/>
    <x v="0"/>
    <x v="0"/>
    <x v="9"/>
    <x v="2"/>
    <x v="0"/>
    <x v="17"/>
    <m/>
    <m/>
    <m/>
  </r>
  <r>
    <n v="0"/>
    <s v="3512.312.1"/>
    <s v="CASERNE ACHAT EAU, ELECTRICITE, CHAUFFAGE CTC"/>
    <s v="PCO"/>
    <s v="3512"/>
    <n v="3512"/>
    <s v="312"/>
    <n v="1"/>
    <n v="7381.3"/>
    <n v="0"/>
    <n v="7381.3"/>
    <n v="6000"/>
    <n v="0"/>
    <n v="6000"/>
    <n v="63.55"/>
    <s v="02905"/>
    <s v="3120"/>
    <s v="00"/>
    <s v="Frais de chauffage PA | Caserne de pompiers / Bregentenaz 10 |"/>
    <n v="7381.3"/>
    <m/>
    <m/>
    <m/>
    <m/>
    <m/>
    <x v="0"/>
    <x v="27"/>
    <x v="0"/>
    <x v="0"/>
    <x v="30"/>
    <x v="1"/>
    <x v="0"/>
    <x v="376"/>
    <x v="44"/>
    <x v="0"/>
    <x v="0"/>
    <x v="39"/>
    <x v="0"/>
    <x v="0"/>
    <x v="225"/>
    <m/>
    <m/>
    <m/>
  </r>
  <r>
    <m/>
    <s v="3512.312.1"/>
    <s v="CASERNE ACHAT EAU, ELECTRICITE, CHAUFFAGE CTC"/>
    <s v="PCO"/>
    <s v="3512"/>
    <n v="3512"/>
    <s v="312"/>
    <n v="1"/>
    <m/>
    <m/>
    <n v="0"/>
    <m/>
    <m/>
    <n v="0"/>
    <m/>
    <s v="02905"/>
    <s v="3120"/>
    <s v="01"/>
    <s v="Frais d'électricité PA | Caserne de pompiers / Bregentenaz 10 |"/>
    <m/>
    <m/>
    <m/>
    <m/>
    <m/>
    <m/>
    <x v="0"/>
    <x v="27"/>
    <x v="0"/>
    <x v="0"/>
    <x v="30"/>
    <x v="1"/>
    <x v="0"/>
    <x v="376"/>
    <x v="44"/>
    <x v="0"/>
    <x v="0"/>
    <x v="39"/>
    <x v="1"/>
    <x v="0"/>
    <x v="226"/>
    <m/>
    <m/>
    <m/>
  </r>
  <r>
    <n v="0"/>
    <s v="3512.313.1"/>
    <s v="CASERNE ACHAT MARCH. PRODUITS ENTRETIEN CTC"/>
    <s v="PCO"/>
    <s v="3512"/>
    <n v="3512"/>
    <s v="313"/>
    <n v="1"/>
    <n v="0"/>
    <n v="0"/>
    <n v="0"/>
    <n v="1000"/>
    <n v="0"/>
    <n v="1000"/>
    <n v="0"/>
    <s v="02905"/>
    <s v="3101"/>
    <s v="00"/>
    <s v="Matériel d'exploitation, petites fournitures PA | Caserne de pompiers / Bregentenaz 10 |"/>
    <m/>
    <m/>
    <m/>
    <m/>
    <m/>
    <m/>
    <x v="0"/>
    <x v="27"/>
    <x v="0"/>
    <x v="0"/>
    <x v="53"/>
    <x v="1"/>
    <x v="0"/>
    <x v="377"/>
    <x v="44"/>
    <x v="0"/>
    <x v="0"/>
    <x v="30"/>
    <x v="0"/>
    <x v="0"/>
    <x v="227"/>
    <m/>
    <m/>
    <m/>
  </r>
  <r>
    <n v="0"/>
    <s v="3512.313.2"/>
    <s v="CASERNE ACHAT MARCH. PRODUITS ENTRETIEN CASERNE (inactif)"/>
    <s v="PCO"/>
    <s v="3512"/>
    <n v="3512"/>
    <s v="313"/>
    <n v="2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53"/>
    <x v="2"/>
    <x v="0"/>
    <x v="378"/>
    <x v="1"/>
    <x v="0"/>
    <x v="0"/>
    <x v="9"/>
    <x v="2"/>
    <x v="0"/>
    <x v="17"/>
    <m/>
    <m/>
    <m/>
  </r>
  <r>
    <n v="0"/>
    <s v="3512.313.3"/>
    <s v="CASERNE ACHAT MARCH. PRODUITS ENTRETIEN LOGEMENTS (inactif)"/>
    <s v="PCO"/>
    <s v="3512"/>
    <n v="3512"/>
    <s v="313"/>
    <n v="3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53"/>
    <x v="3"/>
    <x v="0"/>
    <x v="379"/>
    <x v="1"/>
    <x v="0"/>
    <x v="0"/>
    <x v="9"/>
    <x v="2"/>
    <x v="0"/>
    <x v="17"/>
    <m/>
    <m/>
    <m/>
  </r>
  <r>
    <n v="0"/>
    <s v="3512.314.1"/>
    <s v="CASERNE / CTC ENTRETIEN BATIMENT"/>
    <s v="PCO"/>
    <s v="3512"/>
    <n v="3512"/>
    <s v="314"/>
    <n v="1"/>
    <n v="3594.35"/>
    <n v="0"/>
    <n v="3594.35"/>
    <n v="6000"/>
    <n v="0"/>
    <n v="6000"/>
    <n v="1642.65"/>
    <s v="02905"/>
    <s v="3144"/>
    <s v="00"/>
    <s v="Entretien des bâtiments, immeubles PA | Caserne de pompiers / Bregentenaz 10 |"/>
    <n v="3594.35"/>
    <m/>
    <m/>
    <m/>
    <m/>
    <m/>
    <x v="0"/>
    <x v="27"/>
    <x v="0"/>
    <x v="0"/>
    <x v="25"/>
    <x v="1"/>
    <x v="0"/>
    <x v="380"/>
    <x v="44"/>
    <x v="0"/>
    <x v="0"/>
    <x v="83"/>
    <x v="0"/>
    <x v="0"/>
    <x v="228"/>
    <m/>
    <m/>
    <m/>
  </r>
  <r>
    <m/>
    <s v="3512.314.1"/>
    <s v="CASERNE / CTC ENTRETIEN BATIMENT"/>
    <s v="PCO"/>
    <s v="3512"/>
    <n v="3512"/>
    <s v="314"/>
    <n v="1"/>
    <m/>
    <m/>
    <n v="0"/>
    <m/>
    <m/>
    <n v="0"/>
    <m/>
    <s v="02905"/>
    <s v="3120"/>
    <s v="02"/>
    <s v="Frais d'eau PA | Caserne de pompiers / Bregentenaz 10 |"/>
    <m/>
    <m/>
    <m/>
    <m/>
    <m/>
    <m/>
    <x v="0"/>
    <x v="27"/>
    <x v="0"/>
    <x v="0"/>
    <x v="25"/>
    <x v="1"/>
    <x v="0"/>
    <x v="380"/>
    <x v="44"/>
    <x v="0"/>
    <x v="0"/>
    <x v="39"/>
    <x v="5"/>
    <x v="0"/>
    <x v="229"/>
    <m/>
    <m/>
    <m/>
  </r>
  <r>
    <m/>
    <s v="3512.314.1"/>
    <s v="CASERNE / CTC ENTRETIEN BATIMENT"/>
    <s v="PCO"/>
    <s v="3512"/>
    <n v="3512"/>
    <s v="314"/>
    <n v="1"/>
    <m/>
    <m/>
    <n v="0"/>
    <m/>
    <m/>
    <n v="0"/>
    <m/>
    <s v="02905"/>
    <s v="3101"/>
    <s v="00"/>
    <s v="Matériel d'exploitation, petites fournitures PA | Caserne de pompiers / Bregentenaz 10 |"/>
    <m/>
    <m/>
    <m/>
    <m/>
    <m/>
    <m/>
    <x v="0"/>
    <x v="27"/>
    <x v="0"/>
    <x v="0"/>
    <x v="25"/>
    <x v="1"/>
    <x v="0"/>
    <x v="380"/>
    <x v="44"/>
    <x v="0"/>
    <x v="0"/>
    <x v="30"/>
    <x v="0"/>
    <x v="0"/>
    <x v="227"/>
    <m/>
    <m/>
    <m/>
  </r>
  <r>
    <m/>
    <s v="3512.314.1"/>
    <s v="CASERNE / CTC ENTRETIEN BATIMENT"/>
    <s v="PCO"/>
    <s v="3512"/>
    <n v="3512"/>
    <s v="314"/>
    <n v="1"/>
    <m/>
    <m/>
    <n v="0"/>
    <m/>
    <m/>
    <n v="0"/>
    <m/>
    <s v="02905"/>
    <s v="3110"/>
    <s v="00"/>
    <s v="Meubles et appareils de bureau PA | Caserne de pompiers / Bregentenaz 10 |"/>
    <m/>
    <m/>
    <m/>
    <m/>
    <m/>
    <m/>
    <x v="0"/>
    <x v="27"/>
    <x v="0"/>
    <x v="0"/>
    <x v="25"/>
    <x v="1"/>
    <x v="0"/>
    <x v="380"/>
    <x v="44"/>
    <x v="0"/>
    <x v="0"/>
    <x v="82"/>
    <x v="0"/>
    <x v="0"/>
    <x v="230"/>
    <m/>
    <m/>
    <m/>
  </r>
  <r>
    <n v="0"/>
    <s v="3512.314.2"/>
    <s v="CASERNE Décompte de charges Rytz (inactif)"/>
    <s v="PCO"/>
    <s v="3512"/>
    <n v="3512"/>
    <s v="314"/>
    <n v="2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25"/>
    <x v="2"/>
    <x v="0"/>
    <x v="381"/>
    <x v="1"/>
    <x v="0"/>
    <x v="0"/>
    <x v="9"/>
    <x v="2"/>
    <x v="0"/>
    <x v="17"/>
    <m/>
    <m/>
    <m/>
  </r>
  <r>
    <n v="0"/>
    <s v="3512.314.3"/>
    <s v="CASERNE ENTRETIEN BATIMENT LOGEMENTS"/>
    <s v="PCO"/>
    <s v="3512"/>
    <n v="3512"/>
    <s v="314"/>
    <n v="3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25"/>
    <x v="3"/>
    <x v="0"/>
    <x v="382"/>
    <x v="1"/>
    <x v="0"/>
    <x v="0"/>
    <x v="9"/>
    <x v="2"/>
    <x v="0"/>
    <x v="17"/>
    <m/>
    <m/>
    <m/>
  </r>
  <r>
    <n v="0"/>
    <s v="3512.314.4"/>
    <s v="CASERNE DECOMPTE DE CHARGES SPG - VALAUR SA"/>
    <s v="PCO"/>
    <s v="3512"/>
    <n v="3512"/>
    <s v="314"/>
    <n v="4"/>
    <n v="8513.5499999999993"/>
    <n v="0"/>
    <n v="8513.5499999999993"/>
    <n v="8000"/>
    <n v="0"/>
    <n v="8000"/>
    <n v="0"/>
    <s v="96307"/>
    <s v="3431"/>
    <s v="00"/>
    <s v="Entretien courant, biens-fonds PF | Bât Caserne appartements / Bregentenaz 10 |"/>
    <n v="8513.5499999999993"/>
    <m/>
    <m/>
    <m/>
    <m/>
    <m/>
    <x v="0"/>
    <x v="27"/>
    <x v="0"/>
    <x v="0"/>
    <x v="25"/>
    <x v="6"/>
    <x v="0"/>
    <x v="383"/>
    <x v="45"/>
    <x v="0"/>
    <x v="0"/>
    <x v="75"/>
    <x v="0"/>
    <x v="0"/>
    <x v="231"/>
    <m/>
    <m/>
    <m/>
  </r>
  <r>
    <m/>
    <s v="3512.314.4"/>
    <s v="CASERNE DECOMPTE DE CHARGES SPG - VALAUR SA"/>
    <s v="PCO"/>
    <s v="3512"/>
    <n v="3512"/>
    <s v="314"/>
    <n v="4"/>
    <m/>
    <m/>
    <n v="0"/>
    <m/>
    <m/>
    <n v="0"/>
    <m/>
    <s v="96307"/>
    <s v="3439"/>
    <s v="00"/>
    <s v="Autres charges de biens-fonds PF | Bât Caserne appartements / Bregentenaz 10 |Assurances"/>
    <m/>
    <m/>
    <m/>
    <m/>
    <m/>
    <m/>
    <x v="0"/>
    <x v="27"/>
    <x v="0"/>
    <x v="0"/>
    <x v="25"/>
    <x v="6"/>
    <x v="0"/>
    <x v="383"/>
    <x v="45"/>
    <x v="0"/>
    <x v="0"/>
    <x v="81"/>
    <x v="0"/>
    <x v="0"/>
    <x v="232"/>
    <m/>
    <m/>
    <m/>
  </r>
  <r>
    <m/>
    <s v="3512.314.4"/>
    <s v="CASERNE DECOMPTE DE CHARGES SPG - VALAUR SA"/>
    <s v="PCO"/>
    <s v="3512"/>
    <n v="3512"/>
    <s v="314"/>
    <n v="4"/>
    <m/>
    <m/>
    <n v="0"/>
    <m/>
    <m/>
    <n v="0"/>
    <m/>
    <s v="96307"/>
    <s v="3439"/>
    <s v="01"/>
    <s v="Autres charges de biens-fonds PF | Bât Caserne appartements / Bregentenaz 10 | Eau"/>
    <m/>
    <m/>
    <m/>
    <m/>
    <m/>
    <m/>
    <x v="0"/>
    <x v="27"/>
    <x v="0"/>
    <x v="0"/>
    <x v="25"/>
    <x v="6"/>
    <x v="0"/>
    <x v="383"/>
    <x v="45"/>
    <x v="0"/>
    <x v="0"/>
    <x v="81"/>
    <x v="1"/>
    <x v="0"/>
    <x v="233"/>
    <m/>
    <m/>
    <m/>
  </r>
  <r>
    <m/>
    <s v="3512.314.4"/>
    <s v="CASERNE DECOMPTE DE CHARGES SPG - VALAUR SA"/>
    <s v="PCO"/>
    <s v="3512"/>
    <n v="3512"/>
    <s v="314"/>
    <n v="4"/>
    <m/>
    <m/>
    <n v="0"/>
    <m/>
    <m/>
    <n v="0"/>
    <m/>
    <s v="96307"/>
    <s v="3439"/>
    <s v="02"/>
    <s v="Autres charges de biens-fonds PF | Bât Caserne appartements / Bregentenaz 10 | Electricité"/>
    <m/>
    <m/>
    <m/>
    <m/>
    <m/>
    <m/>
    <x v="0"/>
    <x v="27"/>
    <x v="0"/>
    <x v="0"/>
    <x v="25"/>
    <x v="6"/>
    <x v="0"/>
    <x v="383"/>
    <x v="45"/>
    <x v="0"/>
    <x v="0"/>
    <x v="81"/>
    <x v="5"/>
    <x v="0"/>
    <x v="234"/>
    <m/>
    <m/>
    <m/>
  </r>
  <r>
    <m/>
    <s v="3512.314.4"/>
    <s v="CASERNE DECOMPTE DE CHARGES SPG - VALAUR SA"/>
    <s v="PCO"/>
    <s v="3512"/>
    <n v="3512"/>
    <s v="314"/>
    <n v="4"/>
    <m/>
    <m/>
    <n v="0"/>
    <m/>
    <m/>
    <n v="0"/>
    <m/>
    <s v="96307"/>
    <s v="3439"/>
    <s v="03"/>
    <s v="Autres charges de biens-fonds PF | Bât Caserne appartements / Bregentenaz 10 | Chauffage"/>
    <m/>
    <m/>
    <m/>
    <m/>
    <m/>
    <m/>
    <x v="0"/>
    <x v="27"/>
    <x v="0"/>
    <x v="0"/>
    <x v="25"/>
    <x v="6"/>
    <x v="0"/>
    <x v="383"/>
    <x v="45"/>
    <x v="0"/>
    <x v="0"/>
    <x v="81"/>
    <x v="9"/>
    <x v="0"/>
    <x v="235"/>
    <m/>
    <m/>
    <m/>
  </r>
  <r>
    <m/>
    <s v="3512.314.4"/>
    <s v="CASERNE DECOMPTE DE CHARGES SPG - VALAUR SA"/>
    <s v="PCO"/>
    <s v="3512"/>
    <n v="3512"/>
    <s v="314"/>
    <n v="4"/>
    <m/>
    <m/>
    <n v="0"/>
    <m/>
    <m/>
    <n v="0"/>
    <m/>
    <s v="96307"/>
    <s v="3439"/>
    <s v="04"/>
    <s v="Autres charges de biens-fonds PF | Bât Caserne appartements / Bregentenaz 10 | Frais de gérance"/>
    <m/>
    <m/>
    <m/>
    <m/>
    <m/>
    <m/>
    <x v="0"/>
    <x v="27"/>
    <x v="0"/>
    <x v="0"/>
    <x v="25"/>
    <x v="6"/>
    <x v="0"/>
    <x v="383"/>
    <x v="45"/>
    <x v="0"/>
    <x v="0"/>
    <x v="81"/>
    <x v="3"/>
    <x v="0"/>
    <x v="236"/>
    <m/>
    <m/>
    <m/>
  </r>
  <r>
    <m/>
    <s v="3512.314.4"/>
    <s v="CASERNE DECOMPTE DE CHARGES SPG - VALAUR SA"/>
    <s v="PCO"/>
    <s v="3512"/>
    <n v="3512"/>
    <s v="314"/>
    <n v="4"/>
    <m/>
    <m/>
    <n v="0"/>
    <m/>
    <m/>
    <n v="0"/>
    <m/>
    <s v="96307"/>
    <s v="3430"/>
    <s v="00"/>
    <s v="Tavaux Ponctuels, biens-fonds PF | Bât Caserne appartements / Bregentenaz 10 |"/>
    <m/>
    <m/>
    <m/>
    <m/>
    <m/>
    <m/>
    <x v="0"/>
    <x v="27"/>
    <x v="0"/>
    <x v="0"/>
    <x v="25"/>
    <x v="6"/>
    <x v="0"/>
    <x v="383"/>
    <x v="45"/>
    <x v="0"/>
    <x v="0"/>
    <x v="80"/>
    <x v="0"/>
    <x v="0"/>
    <x v="237"/>
    <m/>
    <m/>
    <m/>
  </r>
  <r>
    <n v="0"/>
    <s v="3512.315"/>
    <s v="CASERNE CONTRAT MAINTENANCE PHOTOVOLTAIQUE"/>
    <s v="PCO"/>
    <s v="3512"/>
    <n v="3512"/>
    <s v="315"/>
    <m/>
    <n v="571.35"/>
    <n v="0"/>
    <n v="571.35"/>
    <n v="0"/>
    <n v="0"/>
    <n v="0"/>
    <n v="0"/>
    <s v="02905"/>
    <s v="3144"/>
    <s v="00"/>
    <s v="Entretien des bâtiments, immeubles PA | Caserne de pompiers / Bregentenaz 10 |"/>
    <n v="571.35"/>
    <m/>
    <m/>
    <s v="four de la caserne"/>
    <m/>
    <m/>
    <x v="0"/>
    <x v="27"/>
    <x v="0"/>
    <x v="0"/>
    <x v="24"/>
    <x v="0"/>
    <x v="0"/>
    <x v="384"/>
    <x v="44"/>
    <x v="0"/>
    <x v="0"/>
    <x v="83"/>
    <x v="0"/>
    <x v="0"/>
    <x v="228"/>
    <m/>
    <m/>
    <m/>
  </r>
  <r>
    <n v="0"/>
    <s v="3512.315.1"/>
    <s v="CASERNE / CTC ENTRETIEN + CONTRAT MOB. INSTALLATIONS CTC"/>
    <s v="PCO"/>
    <s v="3512"/>
    <n v="3512"/>
    <s v="315"/>
    <n v="1"/>
    <n v="515"/>
    <n v="0"/>
    <n v="515"/>
    <n v="1000"/>
    <n v="0"/>
    <n v="1000"/>
    <n v="200"/>
    <s v="02905"/>
    <s v="3144"/>
    <s v="00"/>
    <s v="Entretien des bâtiments, immeubles PA | Caserne de pompiers / Bregentenaz 10 |"/>
    <n v="515"/>
    <m/>
    <m/>
    <m/>
    <m/>
    <m/>
    <x v="0"/>
    <x v="27"/>
    <x v="0"/>
    <x v="0"/>
    <x v="24"/>
    <x v="1"/>
    <x v="0"/>
    <x v="385"/>
    <x v="44"/>
    <x v="0"/>
    <x v="0"/>
    <x v="83"/>
    <x v="0"/>
    <x v="0"/>
    <x v="228"/>
    <m/>
    <m/>
    <m/>
  </r>
  <r>
    <n v="0"/>
    <s v="3512.315.2"/>
    <s v="CASERNE ENTRETIEN MOB. INSTALLATIONS CASERNE"/>
    <s v="PCO"/>
    <s v="3512"/>
    <n v="3512"/>
    <s v="315"/>
    <n v="2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24"/>
    <x v="2"/>
    <x v="0"/>
    <x v="386"/>
    <x v="1"/>
    <x v="0"/>
    <x v="0"/>
    <x v="9"/>
    <x v="2"/>
    <x v="0"/>
    <x v="17"/>
    <m/>
    <m/>
    <m/>
  </r>
  <r>
    <n v="0"/>
    <s v="3512.315.3"/>
    <s v="CASERNE ENTRETIEN MOB. INSTALLATIONS LOGEMENTS"/>
    <s v="PCO"/>
    <s v="3512"/>
    <n v="3512"/>
    <s v="315"/>
    <n v="3"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24"/>
    <x v="3"/>
    <x v="0"/>
    <x v="387"/>
    <x v="1"/>
    <x v="0"/>
    <x v="0"/>
    <x v="9"/>
    <x v="2"/>
    <x v="0"/>
    <x v="17"/>
    <m/>
    <m/>
    <m/>
  </r>
  <r>
    <n v="0"/>
    <s v="3512.318"/>
    <s v="CASERNE  PRESTATIONS ASSURANCES et HONORAIRES"/>
    <s v="PCO"/>
    <s v="3512"/>
    <n v="3512"/>
    <s v="318"/>
    <m/>
    <n v="2360.9"/>
    <n v="0"/>
    <n v="2360.9"/>
    <n v="0"/>
    <n v="0"/>
    <n v="0"/>
    <n v="0"/>
    <s v="02905"/>
    <s v="3134"/>
    <s v="00"/>
    <s v="Frais Assurances PA | Caserne de pompiers / Bregentenaz 10 |"/>
    <n v="2360.9"/>
    <m/>
    <m/>
    <m/>
    <m/>
    <m/>
    <x v="0"/>
    <x v="27"/>
    <x v="0"/>
    <x v="0"/>
    <x v="10"/>
    <x v="0"/>
    <x v="0"/>
    <x v="388"/>
    <x v="44"/>
    <x v="0"/>
    <x v="0"/>
    <x v="21"/>
    <x v="0"/>
    <x v="0"/>
    <x v="238"/>
    <m/>
    <m/>
    <m/>
  </r>
  <r>
    <n v="0"/>
    <s v="3512.331"/>
    <s v="CASERNE AMORTISSEMENTS PATR ADM COMMUNAL"/>
    <s v="PCO"/>
    <s v="3512"/>
    <n v="3512"/>
    <s v="331"/>
    <m/>
    <n v="75000"/>
    <n v="0"/>
    <n v="75000"/>
    <n v="75000"/>
    <n v="0"/>
    <n v="75000"/>
    <n v="0"/>
    <s v="15000"/>
    <s v="3300"/>
    <s v="09"/>
    <s v="Amortissements planifiés des immobilisations corporelles PA"/>
    <n v="75000"/>
    <m/>
    <m/>
    <m/>
    <m/>
    <m/>
    <x v="0"/>
    <x v="27"/>
    <x v="0"/>
    <x v="0"/>
    <x v="31"/>
    <x v="0"/>
    <x v="0"/>
    <x v="389"/>
    <x v="46"/>
    <x v="0"/>
    <x v="0"/>
    <x v="41"/>
    <x v="6"/>
    <x v="0"/>
    <x v="54"/>
    <m/>
    <m/>
    <m/>
  </r>
  <r>
    <n v="0"/>
    <s v="3512.380"/>
    <s v="CASERNE ATTRIBUTION FONDS DE RENOVATION"/>
    <s v="PCO"/>
    <s v="3512"/>
    <n v="3512"/>
    <s v="380"/>
    <m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22"/>
    <x v="0"/>
    <x v="0"/>
    <x v="390"/>
    <x v="1"/>
    <x v="0"/>
    <x v="0"/>
    <x v="9"/>
    <x v="2"/>
    <x v="0"/>
    <x v="17"/>
    <m/>
    <m/>
    <m/>
  </r>
  <r>
    <n v="0"/>
    <s v="3512.423"/>
    <s v="CASERNE LOYERS CASERNE"/>
    <s v="PCO"/>
    <s v="3512"/>
    <n v="3512"/>
    <s v="423"/>
    <m/>
    <n v="0"/>
    <n v="-44248.2"/>
    <n v="-44248.2"/>
    <n v="0"/>
    <n v="-44248.2"/>
    <n v="-44248.2"/>
    <n v="-44248.2"/>
    <s v="02905"/>
    <s v="4612"/>
    <s v="00"/>
    <s v="Dédommagement des communes et associations intercommunales - SDIS"/>
    <n v="-44248.2"/>
    <m/>
    <m/>
    <s v="SDIS NYON-DOLE, Location local pompiers (intercommunal à Nyon)"/>
    <m/>
    <m/>
    <x v="0"/>
    <x v="27"/>
    <x v="0"/>
    <x v="0"/>
    <x v="46"/>
    <x v="0"/>
    <x v="0"/>
    <x v="391"/>
    <x v="44"/>
    <x v="0"/>
    <x v="0"/>
    <x v="35"/>
    <x v="0"/>
    <x v="0"/>
    <x v="239"/>
    <m/>
    <m/>
    <m/>
  </r>
  <r>
    <n v="0"/>
    <s v="3512.427"/>
    <s v="CASERNE APPART. DECPTE LOYERS SPG - VALAUR SA"/>
    <s v="PCO"/>
    <s v="3512"/>
    <n v="3512"/>
    <s v="427"/>
    <m/>
    <n v="0"/>
    <n v="-76881.3"/>
    <n v="-76881.3"/>
    <n v="0"/>
    <n v="-75000"/>
    <n v="-75000"/>
    <n v="0"/>
    <s v="96307"/>
    <s v="4430"/>
    <s v="00"/>
    <s v="Loyers et fermages, immeubles du PF | Bât Caserne appartements / Bregentenaz 10 |"/>
    <n v="-76881.3"/>
    <m/>
    <m/>
    <m/>
    <m/>
    <m/>
    <x v="0"/>
    <x v="27"/>
    <x v="0"/>
    <x v="0"/>
    <x v="49"/>
    <x v="0"/>
    <x v="0"/>
    <x v="392"/>
    <x v="45"/>
    <x v="0"/>
    <x v="0"/>
    <x v="76"/>
    <x v="0"/>
    <x v="0"/>
    <x v="240"/>
    <m/>
    <m/>
    <m/>
  </r>
  <r>
    <n v="0"/>
    <s v="3512.436"/>
    <s v="CASERNE  PART DE TIERS"/>
    <s v="PCO"/>
    <s v="3512"/>
    <n v="3512"/>
    <s v="436"/>
    <m/>
    <n v="0"/>
    <n v="0"/>
    <n v="0"/>
    <n v="0"/>
    <n v="0"/>
    <n v="0"/>
    <n v="0"/>
    <s v="-"/>
    <s v="-"/>
    <s v="-"/>
    <s v="-"/>
    <m/>
    <m/>
    <m/>
    <m/>
    <m/>
    <m/>
    <x v="0"/>
    <x v="27"/>
    <x v="0"/>
    <x v="0"/>
    <x v="13"/>
    <x v="0"/>
    <x v="0"/>
    <x v="393"/>
    <x v="1"/>
    <x v="0"/>
    <x v="0"/>
    <x v="9"/>
    <x v="2"/>
    <x v="0"/>
    <x v="17"/>
    <m/>
    <m/>
    <m/>
  </r>
  <r>
    <n v="0"/>
    <s v="3513.312"/>
    <s v="La Chèvrerie : Eau, Electricité, Chauffage"/>
    <s v="PCO"/>
    <s v="3513"/>
    <n v="3513"/>
    <s v="312"/>
    <m/>
    <n v="0"/>
    <n v="0"/>
    <n v="0"/>
    <n v="0"/>
    <n v="0"/>
    <n v="0"/>
    <n v="0"/>
    <s v="-"/>
    <s v="-"/>
    <s v="-"/>
    <s v="-"/>
    <m/>
    <m/>
    <m/>
    <m/>
    <m/>
    <m/>
    <x v="0"/>
    <x v="28"/>
    <x v="0"/>
    <x v="0"/>
    <x v="30"/>
    <x v="0"/>
    <x v="0"/>
    <x v="394"/>
    <x v="1"/>
    <x v="0"/>
    <x v="0"/>
    <x v="9"/>
    <x v="2"/>
    <x v="0"/>
    <x v="17"/>
    <m/>
    <m/>
    <m/>
  </r>
  <r>
    <n v="0"/>
    <s v="3513.314"/>
    <s v="La Chèvrerie : Entretien Bâti., Déneigement accès, Nettoy.Parcelles"/>
    <s v="PCO"/>
    <s v="3513"/>
    <n v="3513"/>
    <s v="314"/>
    <m/>
    <n v="1232.2"/>
    <n v="0"/>
    <n v="1232.2"/>
    <n v="1500"/>
    <n v="0"/>
    <n v="1500"/>
    <n v="0"/>
    <n v="96903"/>
    <s v="3431"/>
    <s v="00"/>
    <s v="Entretien courant, biens-fonds PF | La Chèvrerie |"/>
    <n v="1232.2"/>
    <m/>
    <m/>
    <m/>
    <m/>
    <m/>
    <x v="0"/>
    <x v="28"/>
    <x v="0"/>
    <x v="0"/>
    <x v="25"/>
    <x v="0"/>
    <x v="0"/>
    <x v="395"/>
    <x v="47"/>
    <x v="0"/>
    <x v="0"/>
    <x v="75"/>
    <x v="0"/>
    <x v="0"/>
    <x v="241"/>
    <m/>
    <m/>
    <m/>
  </r>
  <r>
    <n v="0"/>
    <s v="3513.318"/>
    <s v="La Chèvrerie : Assurance et Prestations de service"/>
    <s v="PCO"/>
    <s v="3513"/>
    <n v="3513"/>
    <s v="318"/>
    <m/>
    <n v="0"/>
    <n v="0"/>
    <n v="0"/>
    <n v="0"/>
    <n v="0"/>
    <n v="0"/>
    <n v="0"/>
    <s v="-"/>
    <s v="-"/>
    <s v="-"/>
    <s v="-"/>
    <m/>
    <m/>
    <m/>
    <m/>
    <m/>
    <m/>
    <x v="0"/>
    <x v="28"/>
    <x v="0"/>
    <x v="0"/>
    <x v="10"/>
    <x v="0"/>
    <x v="0"/>
    <x v="396"/>
    <x v="1"/>
    <x v="0"/>
    <x v="0"/>
    <x v="9"/>
    <x v="2"/>
    <x v="0"/>
    <x v="17"/>
    <m/>
    <m/>
    <m/>
  </r>
  <r>
    <n v="0"/>
    <s v="3513.331"/>
    <s v="La Chèvrerie : Amort. Patr. Admn."/>
    <s v="PCO"/>
    <s v="3513"/>
    <n v="3513"/>
    <s v="331"/>
    <m/>
    <n v="0"/>
    <n v="0"/>
    <n v="0"/>
    <n v="0"/>
    <n v="0"/>
    <n v="0"/>
    <n v="0"/>
    <s v="-"/>
    <s v="-"/>
    <s v="-"/>
    <s v="-"/>
    <m/>
    <m/>
    <m/>
    <m/>
    <m/>
    <m/>
    <x v="0"/>
    <x v="28"/>
    <x v="0"/>
    <x v="0"/>
    <x v="31"/>
    <x v="0"/>
    <x v="0"/>
    <x v="397"/>
    <x v="1"/>
    <x v="0"/>
    <x v="0"/>
    <x v="9"/>
    <x v="2"/>
    <x v="0"/>
    <x v="17"/>
    <m/>
    <m/>
    <m/>
  </r>
  <r>
    <n v="0"/>
    <s v="3513.380"/>
    <s v="La Chèvrerie : Attrib. Fonds réser., renouv. (9282.1)"/>
    <s v="PCO"/>
    <s v="3513"/>
    <n v="3513"/>
    <s v="380"/>
    <m/>
    <n v="0"/>
    <n v="0"/>
    <n v="0"/>
    <n v="0"/>
    <n v="0"/>
    <n v="0"/>
    <n v="0"/>
    <s v="-"/>
    <s v="-"/>
    <s v="-"/>
    <s v="-"/>
    <m/>
    <m/>
    <m/>
    <m/>
    <m/>
    <m/>
    <x v="0"/>
    <x v="28"/>
    <x v="0"/>
    <x v="0"/>
    <x v="22"/>
    <x v="0"/>
    <x v="0"/>
    <x v="398"/>
    <x v="1"/>
    <x v="0"/>
    <x v="0"/>
    <x v="9"/>
    <x v="2"/>
    <x v="0"/>
    <x v="17"/>
    <m/>
    <m/>
    <m/>
  </r>
  <r>
    <n v="0"/>
    <s v="3513.423"/>
    <s v="La Chèvrerie : Loyers"/>
    <s v="PCO"/>
    <s v="3513"/>
    <n v="3513"/>
    <s v="423"/>
    <m/>
    <n v="0"/>
    <n v="0"/>
    <n v="0"/>
    <n v="0"/>
    <n v="0"/>
    <n v="0"/>
    <n v="0"/>
    <s v="-"/>
    <s v="-"/>
    <s v="-"/>
    <s v="-"/>
    <m/>
    <m/>
    <m/>
    <m/>
    <m/>
    <m/>
    <x v="0"/>
    <x v="28"/>
    <x v="0"/>
    <x v="0"/>
    <x v="46"/>
    <x v="0"/>
    <x v="0"/>
    <x v="399"/>
    <x v="1"/>
    <x v="0"/>
    <x v="0"/>
    <x v="9"/>
    <x v="2"/>
    <x v="0"/>
    <x v="17"/>
    <m/>
    <m/>
    <m/>
  </r>
  <r>
    <n v="0"/>
    <s v="3513.424"/>
    <s v="La Chèvrerie : Gains immobiliers patrimoine financer"/>
    <s v="PCO"/>
    <s v="3513"/>
    <n v="3513"/>
    <s v="424"/>
    <m/>
    <n v="0"/>
    <n v="0"/>
    <n v="0"/>
    <n v="0"/>
    <n v="0"/>
    <n v="0"/>
    <n v="0"/>
    <s v="-"/>
    <s v="-"/>
    <s v="-"/>
    <s v="-"/>
    <m/>
    <m/>
    <m/>
    <m/>
    <m/>
    <m/>
    <x v="0"/>
    <x v="28"/>
    <x v="0"/>
    <x v="0"/>
    <x v="47"/>
    <x v="0"/>
    <x v="0"/>
    <x v="400"/>
    <x v="1"/>
    <x v="0"/>
    <x v="0"/>
    <x v="9"/>
    <x v="2"/>
    <x v="0"/>
    <x v="17"/>
    <m/>
    <m/>
    <m/>
  </r>
  <r>
    <n v="0"/>
    <s v="3513.480"/>
    <s v="La Chèvrerie :  Prélèvement fonds rés. Travaux futurs (9282.1)"/>
    <s v="PCO"/>
    <s v="3513"/>
    <n v="3513"/>
    <s v="480"/>
    <m/>
    <n v="0"/>
    <n v="0"/>
    <n v="0"/>
    <n v="0"/>
    <n v="0"/>
    <n v="0"/>
    <n v="0"/>
    <s v="-"/>
    <s v="-"/>
    <s v="-"/>
    <s v="-"/>
    <m/>
    <m/>
    <m/>
    <m/>
    <m/>
    <m/>
    <x v="0"/>
    <x v="28"/>
    <x v="0"/>
    <x v="0"/>
    <x v="14"/>
    <x v="0"/>
    <x v="0"/>
    <x v="401"/>
    <x v="1"/>
    <x v="0"/>
    <x v="0"/>
    <x v="9"/>
    <x v="2"/>
    <x v="0"/>
    <x v="17"/>
    <m/>
    <m/>
    <m/>
  </r>
  <r>
    <n v="0"/>
    <s v="3514.312"/>
    <s v="Gare 5 Combustible"/>
    <s v="PCO"/>
    <s v="3514"/>
    <n v="3514"/>
    <s v="312"/>
    <m/>
    <n v="221.95"/>
    <n v="0"/>
    <n v="221.95"/>
    <n v="0"/>
    <n v="0"/>
    <n v="0"/>
    <n v="0"/>
    <s v="96308"/>
    <s v="3439"/>
    <s v="02"/>
    <s v="Autres charges de biens-fonds PF | Bât Pharmacie / Gare 5 | Electricité"/>
    <n v="221.95"/>
    <m/>
    <m/>
    <m/>
    <m/>
    <m/>
    <x v="0"/>
    <x v="29"/>
    <x v="0"/>
    <x v="0"/>
    <x v="30"/>
    <x v="0"/>
    <x v="0"/>
    <x v="402"/>
    <x v="48"/>
    <x v="0"/>
    <x v="0"/>
    <x v="81"/>
    <x v="5"/>
    <x v="0"/>
    <x v="242"/>
    <m/>
    <m/>
    <m/>
  </r>
  <r>
    <n v="0"/>
    <s v="3514.312.2"/>
    <s v="Electricité Rte de la Gare 5"/>
    <s v="PCO"/>
    <s v="3514"/>
    <n v="3514"/>
    <s v="312"/>
    <n v="2"/>
    <n v="101.05"/>
    <n v="0"/>
    <n v="101.05"/>
    <n v="0"/>
    <n v="0"/>
    <n v="0"/>
    <n v="0"/>
    <s v="96308"/>
    <s v="3439"/>
    <s v="02"/>
    <s v="Autres charges de biens-fonds PF | Bât Pharmacie / Gare 5 | Electricité"/>
    <n v="101.05"/>
    <m/>
    <m/>
    <m/>
    <m/>
    <m/>
    <x v="0"/>
    <x v="29"/>
    <x v="0"/>
    <x v="0"/>
    <x v="30"/>
    <x v="2"/>
    <x v="0"/>
    <x v="403"/>
    <x v="48"/>
    <x v="0"/>
    <x v="0"/>
    <x v="81"/>
    <x v="5"/>
    <x v="0"/>
    <x v="242"/>
    <m/>
    <m/>
    <m/>
  </r>
  <r>
    <n v="0"/>
    <s v="3514.314"/>
    <s v="Gare 5 entretien"/>
    <s v="PCO"/>
    <s v="3514"/>
    <n v="3514"/>
    <s v="314"/>
    <m/>
    <n v="605.45000000000005"/>
    <n v="0"/>
    <n v="605.45000000000005"/>
    <n v="0"/>
    <n v="0"/>
    <n v="0"/>
    <n v="0"/>
    <s v="96308"/>
    <s v="3431"/>
    <s v="00"/>
    <s v="Entretien courant, biens-fonds PF | Bât Pharmacie / Gare 5 | "/>
    <n v="605.45000000000005"/>
    <m/>
    <m/>
    <m/>
    <m/>
    <m/>
    <x v="0"/>
    <x v="29"/>
    <x v="0"/>
    <x v="0"/>
    <x v="25"/>
    <x v="0"/>
    <x v="0"/>
    <x v="404"/>
    <x v="48"/>
    <x v="0"/>
    <x v="0"/>
    <x v="75"/>
    <x v="0"/>
    <x v="0"/>
    <x v="243"/>
    <m/>
    <m/>
    <m/>
  </r>
  <r>
    <n v="0"/>
    <s v="3514.314.2"/>
    <s v="Gare 5 charges Régie SPG - VALAUR SA"/>
    <s v="PCO"/>
    <s v="3514"/>
    <n v="3514"/>
    <s v="314"/>
    <n v="2"/>
    <n v="775.5"/>
    <n v="0"/>
    <n v="775.5"/>
    <n v="0"/>
    <n v="0"/>
    <n v="0"/>
    <n v="0"/>
    <s v="96308"/>
    <s v="3431"/>
    <s v="00"/>
    <s v="Entretien courant, biens-fonds PF | Bât Pharmacie / Gare 5 | "/>
    <n v="775.5"/>
    <m/>
    <m/>
    <m/>
    <m/>
    <m/>
    <x v="0"/>
    <x v="29"/>
    <x v="0"/>
    <x v="0"/>
    <x v="25"/>
    <x v="2"/>
    <x v="0"/>
    <x v="405"/>
    <x v="48"/>
    <x v="0"/>
    <x v="0"/>
    <x v="75"/>
    <x v="0"/>
    <x v="0"/>
    <x v="243"/>
    <m/>
    <m/>
    <m/>
  </r>
  <r>
    <m/>
    <s v="3514.314.2"/>
    <s v="Gare 5 charges Régie SPG - VALAUR SA"/>
    <s v="PCO"/>
    <s v="3514"/>
    <n v="3514"/>
    <s v="314"/>
    <n v="2"/>
    <m/>
    <m/>
    <n v="0"/>
    <m/>
    <m/>
    <n v="0"/>
    <m/>
    <s v="96308"/>
    <s v="3439"/>
    <s v="01"/>
    <s v="Autres charges de biens-fonds PF | Bât Pharmacie / Gare 5 | Eau"/>
    <m/>
    <m/>
    <m/>
    <m/>
    <m/>
    <m/>
    <x v="0"/>
    <x v="29"/>
    <x v="0"/>
    <x v="0"/>
    <x v="25"/>
    <x v="2"/>
    <x v="0"/>
    <x v="405"/>
    <x v="48"/>
    <x v="0"/>
    <x v="0"/>
    <x v="81"/>
    <x v="1"/>
    <x v="0"/>
    <x v="244"/>
    <m/>
    <m/>
    <m/>
  </r>
  <r>
    <m/>
    <s v="3514.314.2"/>
    <s v="Gare 5 charges Régie SPG - VALAUR SA"/>
    <s v="PCO"/>
    <s v="3514"/>
    <n v="3514"/>
    <s v="314"/>
    <n v="2"/>
    <m/>
    <m/>
    <n v="0"/>
    <m/>
    <m/>
    <n v="0"/>
    <m/>
    <s v="96308"/>
    <s v="3439"/>
    <s v="03"/>
    <s v="Autres charges de biens-fonds PF | Bât Pharmacie / Gare 5 | Chauffage"/>
    <m/>
    <m/>
    <m/>
    <m/>
    <m/>
    <m/>
    <x v="0"/>
    <x v="29"/>
    <x v="0"/>
    <x v="0"/>
    <x v="25"/>
    <x v="2"/>
    <x v="0"/>
    <x v="405"/>
    <x v="48"/>
    <x v="0"/>
    <x v="0"/>
    <x v="81"/>
    <x v="9"/>
    <x v="0"/>
    <x v="245"/>
    <m/>
    <m/>
    <m/>
  </r>
  <r>
    <m/>
    <s v="3514.314.2"/>
    <s v="Gare 5 charges Régie SPG - VALAUR SA"/>
    <s v="PCO"/>
    <s v="3514"/>
    <n v="3514"/>
    <s v="314"/>
    <n v="2"/>
    <m/>
    <m/>
    <n v="0"/>
    <m/>
    <m/>
    <n v="0"/>
    <m/>
    <s v="96308"/>
    <s v="3439"/>
    <s v="04"/>
    <s v="Autres charges de biens-fonds PF | Bât Pharmacie / Gare 5 | Frais de gérance"/>
    <m/>
    <m/>
    <m/>
    <m/>
    <m/>
    <m/>
    <x v="0"/>
    <x v="29"/>
    <x v="0"/>
    <x v="0"/>
    <x v="25"/>
    <x v="2"/>
    <x v="0"/>
    <x v="405"/>
    <x v="48"/>
    <x v="0"/>
    <x v="0"/>
    <x v="81"/>
    <x v="3"/>
    <x v="0"/>
    <x v="246"/>
    <m/>
    <m/>
    <m/>
  </r>
  <r>
    <m/>
    <s v="3514.314.2"/>
    <s v="Gare 5 charges Régie SPG - VALAUR SA"/>
    <s v="PCO"/>
    <s v="3514"/>
    <n v="3514"/>
    <s v="314"/>
    <n v="2"/>
    <m/>
    <m/>
    <n v="0"/>
    <m/>
    <m/>
    <n v="0"/>
    <m/>
    <s v="96308"/>
    <s v="3430"/>
    <s v="00"/>
    <s v="Tavaux Ponctuels, biens-fonds PF | Bât Pharmacie / Gare 5 | "/>
    <m/>
    <m/>
    <m/>
    <m/>
    <m/>
    <m/>
    <x v="0"/>
    <x v="29"/>
    <x v="0"/>
    <x v="0"/>
    <x v="25"/>
    <x v="2"/>
    <x v="0"/>
    <x v="405"/>
    <x v="48"/>
    <x v="0"/>
    <x v="0"/>
    <x v="80"/>
    <x v="0"/>
    <x v="0"/>
    <x v="247"/>
    <m/>
    <m/>
    <m/>
  </r>
  <r>
    <n v="0"/>
    <s v="3514.315"/>
    <s v="Gare 5_Entretien mobilier et installation"/>
    <s v="PCO"/>
    <s v="3514"/>
    <n v="3514"/>
    <s v="315"/>
    <m/>
    <n v="172.95"/>
    <n v="0"/>
    <n v="172.95"/>
    <n v="0"/>
    <n v="0"/>
    <n v="0"/>
    <n v="0"/>
    <s v="96308"/>
    <s v="3431"/>
    <s v="00"/>
    <s v="Entretien courant, biens-fonds PF | Bât Pharmacie / Gare 5 | "/>
    <n v="172.95"/>
    <m/>
    <m/>
    <m/>
    <m/>
    <m/>
    <x v="0"/>
    <x v="29"/>
    <x v="0"/>
    <x v="0"/>
    <x v="24"/>
    <x v="0"/>
    <x v="0"/>
    <x v="406"/>
    <x v="48"/>
    <x v="0"/>
    <x v="0"/>
    <x v="75"/>
    <x v="0"/>
    <x v="0"/>
    <x v="243"/>
    <m/>
    <m/>
    <m/>
  </r>
  <r>
    <n v="0"/>
    <s v="3514.318"/>
    <s v="Gare 5 Assurances et honoraires"/>
    <s v="PCO"/>
    <s v="3514"/>
    <n v="3514"/>
    <s v="318"/>
    <m/>
    <n v="657.8"/>
    <n v="0"/>
    <n v="657.8"/>
    <n v="0"/>
    <n v="0"/>
    <n v="0"/>
    <n v="0"/>
    <s v="96308"/>
    <s v="3439"/>
    <s v="00"/>
    <s v="Autres charges de biens-fonds PF | Bât Pharmacie / Gare 5 | Assurances"/>
    <n v="657.8"/>
    <m/>
    <m/>
    <m/>
    <m/>
    <m/>
    <x v="0"/>
    <x v="29"/>
    <x v="0"/>
    <x v="0"/>
    <x v="10"/>
    <x v="0"/>
    <x v="0"/>
    <x v="407"/>
    <x v="48"/>
    <x v="0"/>
    <x v="0"/>
    <x v="81"/>
    <x v="0"/>
    <x v="0"/>
    <x v="248"/>
    <m/>
    <m/>
    <m/>
  </r>
  <r>
    <n v="0"/>
    <s v="3514.330"/>
    <s v="Amortissement Av. de la Gare (PA)"/>
    <s v="PCO"/>
    <s v="3514"/>
    <n v="3514"/>
    <s v="330"/>
    <m/>
    <n v="94641.85"/>
    <n v="0"/>
    <n v="94641.85"/>
    <n v="0"/>
    <n v="0"/>
    <n v="0"/>
    <n v="0"/>
    <s v="96308"/>
    <n v="3441"/>
    <s v="09"/>
    <s v="Amortissements non planifiés des immobilisations corporelles PF  | Bât Pharmacie / Gare 5 | Assurances"/>
    <n v="94641.85"/>
    <m/>
    <m/>
    <s v="gare 5"/>
    <m/>
    <m/>
    <x v="0"/>
    <x v="29"/>
    <x v="0"/>
    <x v="0"/>
    <x v="11"/>
    <x v="0"/>
    <x v="0"/>
    <x v="408"/>
    <x v="48"/>
    <x v="0"/>
    <x v="0"/>
    <x v="84"/>
    <x v="6"/>
    <x v="0"/>
    <x v="249"/>
    <m/>
    <m/>
    <m/>
  </r>
  <r>
    <n v="0"/>
    <s v="3514.380"/>
    <s v="Gare 5 attrib fonds de rénovation"/>
    <s v="PCO"/>
    <s v="3514"/>
    <n v="3514"/>
    <s v="380"/>
    <m/>
    <n v="0"/>
    <n v="0"/>
    <n v="0"/>
    <n v="0"/>
    <n v="0"/>
    <n v="0"/>
    <n v="0"/>
    <s v="-"/>
    <m/>
    <s v="-"/>
    <s v="-"/>
    <m/>
    <m/>
    <m/>
    <m/>
    <m/>
    <m/>
    <x v="0"/>
    <x v="29"/>
    <x v="0"/>
    <x v="0"/>
    <x v="22"/>
    <x v="0"/>
    <x v="0"/>
    <x v="409"/>
    <x v="1"/>
    <x v="0"/>
    <x v="0"/>
    <x v="85"/>
    <x v="2"/>
    <x v="0"/>
    <x v="17"/>
    <m/>
    <m/>
    <m/>
  </r>
  <r>
    <n v="0"/>
    <s v="3514.423"/>
    <s v="Gare 5 Loyers Rytz"/>
    <s v="PCO"/>
    <s v="3514"/>
    <n v="3514"/>
    <s v="423"/>
    <m/>
    <n v="0"/>
    <n v="0"/>
    <n v="0"/>
    <n v="0"/>
    <n v="0"/>
    <n v="0"/>
    <n v="0"/>
    <s v="-"/>
    <s v="-"/>
    <s v="-"/>
    <s v="-"/>
    <m/>
    <m/>
    <m/>
    <m/>
    <m/>
    <m/>
    <x v="0"/>
    <x v="29"/>
    <x v="0"/>
    <x v="0"/>
    <x v="46"/>
    <x v="0"/>
    <x v="0"/>
    <x v="410"/>
    <x v="1"/>
    <x v="0"/>
    <x v="0"/>
    <x v="9"/>
    <x v="2"/>
    <x v="0"/>
    <x v="17"/>
    <m/>
    <m/>
    <m/>
  </r>
  <r>
    <n v="0"/>
    <s v="3514.427.2"/>
    <s v="Gare 5 décompte loyer, SPG - VALAUR SA"/>
    <s v="PCO"/>
    <s v="3514"/>
    <n v="3514"/>
    <s v="427"/>
    <n v="2"/>
    <n v="0"/>
    <n v="-28510"/>
    <n v="-28510"/>
    <n v="0"/>
    <n v="0"/>
    <n v="0"/>
    <n v="0"/>
    <s v="96308"/>
    <s v="4430"/>
    <s v="00"/>
    <s v="Loyers et fermages, immeubles du PF | Bât Pharmacie / Gare 5 | "/>
    <n v="-28510"/>
    <m/>
    <m/>
    <m/>
    <m/>
    <m/>
    <x v="0"/>
    <x v="29"/>
    <x v="0"/>
    <x v="0"/>
    <x v="49"/>
    <x v="2"/>
    <x v="0"/>
    <x v="411"/>
    <x v="48"/>
    <x v="0"/>
    <x v="0"/>
    <x v="76"/>
    <x v="0"/>
    <x v="0"/>
    <x v="250"/>
    <m/>
    <m/>
    <m/>
  </r>
  <r>
    <n v="0"/>
    <s v="3514.480"/>
    <s v="PRELEVEMENT FONDS RESERVE"/>
    <s v="PCO"/>
    <s v="3514"/>
    <n v="3514"/>
    <s v="480"/>
    <m/>
    <n v="0"/>
    <n v="-94641.85"/>
    <n v="-94641.85"/>
    <n v="0"/>
    <n v="0"/>
    <n v="0"/>
    <n v="0"/>
    <s v="99000"/>
    <s v="4894"/>
    <s v="00"/>
    <s v="Prélèvement sur la réserve de politique budgétaire"/>
    <n v="-94641.85"/>
    <m/>
    <m/>
    <m/>
    <m/>
    <m/>
    <x v="0"/>
    <x v="29"/>
    <x v="0"/>
    <x v="0"/>
    <x v="14"/>
    <x v="0"/>
    <x v="0"/>
    <x v="412"/>
    <x v="13"/>
    <x v="0"/>
    <x v="0"/>
    <x v="29"/>
    <x v="0"/>
    <x v="0"/>
    <x v="39"/>
    <m/>
    <m/>
    <m/>
  </r>
  <r>
    <n v="0"/>
    <s v="410.310"/>
    <s v="SERVICE TECHNIQUE  PARUTIONS ENQUÊTES (140.310)"/>
    <s v="PCO"/>
    <s v="41"/>
    <n v="410"/>
    <s v="310"/>
    <m/>
    <n v="85.55"/>
    <n v="0"/>
    <n v="85.55"/>
    <n v="0"/>
    <n v="0"/>
    <n v="0"/>
    <n v="0"/>
    <s v="79010"/>
    <s v="3612"/>
    <s v="00"/>
    <s v="Parts aux communes et assoc intercomm - Parutions &amp; autres"/>
    <n v="85.55"/>
    <m/>
    <m/>
    <m/>
    <m/>
    <m/>
    <x v="0"/>
    <x v="30"/>
    <x v="0"/>
    <x v="0"/>
    <x v="18"/>
    <x v="0"/>
    <x v="0"/>
    <x v="413"/>
    <x v="8"/>
    <x v="0"/>
    <x v="0"/>
    <x v="13"/>
    <x v="0"/>
    <x v="0"/>
    <x v="251"/>
    <m/>
    <m/>
    <m/>
  </r>
  <r>
    <n v="0"/>
    <s v="410.318"/>
    <s v="SERVICE TECHNIQUE  FRAIS ENQUÊTE STI (140.318.2)"/>
    <s v="PCO"/>
    <s v="41"/>
    <n v="410"/>
    <s v="318"/>
    <m/>
    <n v="156099.65"/>
    <n v="0"/>
    <n v="156099.65"/>
    <n v="30000"/>
    <n v="0"/>
    <n v="30000"/>
    <n v="9062.65"/>
    <s v="79010"/>
    <s v="3132"/>
    <s v="00"/>
    <s v="Honoraires conseils externes, spécialistes (STI - PAC)"/>
    <n v="156099.65"/>
    <m/>
    <m/>
    <s v="STI à notre charge pour les PAC par exemple"/>
    <m/>
    <m/>
    <x v="0"/>
    <x v="30"/>
    <x v="0"/>
    <x v="0"/>
    <x v="10"/>
    <x v="0"/>
    <x v="0"/>
    <x v="414"/>
    <x v="8"/>
    <x v="0"/>
    <x v="0"/>
    <x v="12"/>
    <x v="0"/>
    <x v="0"/>
    <x v="252"/>
    <m/>
    <m/>
    <m/>
  </r>
  <r>
    <n v="0"/>
    <s v="410.431"/>
    <s v="SERVICE TECHNIQUE  PERMIS CONSTRUIRE HABITER"/>
    <s v="PCO"/>
    <s v="41"/>
    <n v="410"/>
    <s v="431"/>
    <m/>
    <n v="0"/>
    <n v="-44846.45"/>
    <n v="-44846.45"/>
    <n v="0"/>
    <n v="-35000"/>
    <n v="-35000"/>
    <n v="-2998.35"/>
    <s v="79010"/>
    <s v="4210"/>
    <s v="00"/>
    <s v="Emoluments pour actes administratifs - permis et autres attestations CDH"/>
    <n v="-44846.45"/>
    <m/>
    <m/>
    <m/>
    <m/>
    <m/>
    <x v="0"/>
    <x v="30"/>
    <x v="0"/>
    <x v="0"/>
    <x v="23"/>
    <x v="0"/>
    <x v="0"/>
    <x v="415"/>
    <x v="8"/>
    <x v="0"/>
    <x v="0"/>
    <x v="26"/>
    <x v="0"/>
    <x v="0"/>
    <x v="36"/>
    <m/>
    <m/>
    <m/>
  </r>
  <r>
    <n v="0"/>
    <s v="420.318"/>
    <s v="URBANISME  CONSEIL REGIONAL"/>
    <s v="PCO"/>
    <s v="42"/>
    <n v="420"/>
    <s v="318"/>
    <m/>
    <n v="157316.25"/>
    <n v="0"/>
    <n v="157316.25"/>
    <n v="132000"/>
    <n v="0"/>
    <n v="132000"/>
    <n v="18234"/>
    <s v="79070"/>
    <s v="3612"/>
    <s v="00"/>
    <s v="Parts aux communes et assoc intercomm - DISREN"/>
    <n v="157316.25"/>
    <n v="80000"/>
    <m/>
    <s v="Association pour faire un pot commun"/>
    <m/>
    <m/>
    <x v="0"/>
    <x v="31"/>
    <x v="0"/>
    <x v="0"/>
    <x v="10"/>
    <x v="0"/>
    <x v="0"/>
    <x v="416"/>
    <x v="49"/>
    <x v="0"/>
    <x v="0"/>
    <x v="13"/>
    <x v="0"/>
    <x v="0"/>
    <x v="253"/>
    <m/>
    <m/>
    <m/>
  </r>
  <r>
    <m/>
    <s v="420.318"/>
    <s v="URBANISME  CONSEIL REGIONAL"/>
    <s v="PCO"/>
    <s v="42"/>
    <n v="420"/>
    <s v="318"/>
    <m/>
    <m/>
    <m/>
    <n v="0"/>
    <m/>
    <m/>
    <n v="0"/>
    <m/>
    <s v="79070"/>
    <s v="3612"/>
    <s v="01"/>
    <s v="Parts aux communes et assoc intercomm - Region Nyon"/>
    <m/>
    <n v="50000"/>
    <m/>
    <s v="Region Nyon - participation pour utilisation des infrastructures à Nyon (patinoir cinéman à Nyon)"/>
    <m/>
    <m/>
    <x v="0"/>
    <x v="31"/>
    <x v="0"/>
    <x v="0"/>
    <x v="10"/>
    <x v="0"/>
    <x v="0"/>
    <x v="416"/>
    <x v="49"/>
    <x v="0"/>
    <x v="0"/>
    <x v="13"/>
    <x v="1"/>
    <x v="0"/>
    <x v="254"/>
    <m/>
    <m/>
    <m/>
  </r>
  <r>
    <m/>
    <s v="420.318"/>
    <s v="URBANISME  CONSEIL REGIONAL"/>
    <s v="PCO"/>
    <s v="42"/>
    <n v="420"/>
    <s v="318"/>
    <m/>
    <m/>
    <m/>
    <n v="0"/>
    <m/>
    <m/>
    <n v="0"/>
    <m/>
    <s v="79070"/>
    <s v="3612"/>
    <s v="02"/>
    <s v="Parts aux communes et assoc intercomm - Aménagement du territoire - mobilité régionale"/>
    <m/>
    <n v="18000"/>
    <m/>
    <m/>
    <m/>
    <m/>
    <x v="0"/>
    <x v="31"/>
    <x v="0"/>
    <x v="0"/>
    <x v="10"/>
    <x v="0"/>
    <x v="0"/>
    <x v="416"/>
    <x v="49"/>
    <x v="0"/>
    <x v="0"/>
    <x v="13"/>
    <x v="5"/>
    <x v="0"/>
    <x v="255"/>
    <m/>
    <m/>
    <m/>
  </r>
  <r>
    <n v="0"/>
    <s v="420.331"/>
    <s v="URBANISME   AMORT PATR ADMINISTRATIF"/>
    <s v="PCO"/>
    <s v="42"/>
    <n v="420"/>
    <s v="331"/>
    <m/>
    <n v="0"/>
    <n v="0"/>
    <n v="0"/>
    <n v="0"/>
    <n v="0"/>
    <n v="0"/>
    <n v="0"/>
    <s v="-"/>
    <s v="-"/>
    <s v="-"/>
    <s v="-"/>
    <m/>
    <m/>
    <m/>
    <m/>
    <m/>
    <m/>
    <x v="0"/>
    <x v="31"/>
    <x v="0"/>
    <x v="0"/>
    <x v="31"/>
    <x v="0"/>
    <x v="0"/>
    <x v="417"/>
    <x v="1"/>
    <x v="0"/>
    <x v="0"/>
    <x v="9"/>
    <x v="2"/>
    <x v="0"/>
    <x v="17"/>
    <m/>
    <m/>
    <m/>
  </r>
  <r>
    <n v="0"/>
    <s v="420.332"/>
    <s v="Amortissement suppl Service Urbanisme"/>
    <s v="PCO"/>
    <s v="42"/>
    <n v="420"/>
    <s v="332"/>
    <m/>
    <n v="170014.85"/>
    <n v="0"/>
    <n v="170014.85"/>
    <n v="0"/>
    <n v="0"/>
    <n v="0"/>
    <n v="0"/>
    <s v="02901"/>
    <s v="3301"/>
    <s v="09"/>
    <s v="Amortissements non planifiés des immobilisations corporelles PA"/>
    <n v="170014.85"/>
    <m/>
    <m/>
    <s v="Brégent + mensurations cadastrales"/>
    <m/>
    <m/>
    <x v="0"/>
    <x v="31"/>
    <x v="0"/>
    <x v="0"/>
    <x v="20"/>
    <x v="0"/>
    <x v="0"/>
    <x v="418"/>
    <x v="31"/>
    <x v="0"/>
    <x v="0"/>
    <x v="42"/>
    <x v="6"/>
    <x v="0"/>
    <x v="32"/>
    <m/>
    <m/>
    <m/>
  </r>
  <r>
    <n v="0"/>
    <s v="420.380"/>
    <s v="URBANISME   ATTRIB FONDS RENOUV."/>
    <s v="PCO"/>
    <s v="42"/>
    <n v="420"/>
    <s v="380"/>
    <m/>
    <n v="0"/>
    <n v="0"/>
    <n v="0"/>
    <n v="0"/>
    <n v="0"/>
    <n v="0"/>
    <n v="0"/>
    <s v="-"/>
    <s v="-"/>
    <s v="-"/>
    <s v="-"/>
    <m/>
    <m/>
    <m/>
    <m/>
    <m/>
    <m/>
    <x v="0"/>
    <x v="31"/>
    <x v="0"/>
    <x v="0"/>
    <x v="22"/>
    <x v="0"/>
    <x v="0"/>
    <x v="419"/>
    <x v="1"/>
    <x v="0"/>
    <x v="0"/>
    <x v="9"/>
    <x v="2"/>
    <x v="0"/>
    <x v="17"/>
    <m/>
    <m/>
    <m/>
  </r>
  <r>
    <n v="0"/>
    <s v="420.436"/>
    <s v="REMBOURSEMENT DE TIERS"/>
    <s v="PCO"/>
    <s v="42"/>
    <n v="420"/>
    <s v="436"/>
    <m/>
    <n v="0"/>
    <n v="-66120.25"/>
    <n v="-66120.25"/>
    <n v="0"/>
    <n v="0"/>
    <n v="0"/>
    <n v="0"/>
    <s v="79070"/>
    <s v="4612"/>
    <s v="00"/>
    <s v="Dédommagement des communes et associations intercommunales "/>
    <n v="-66120.25"/>
    <n v="0"/>
    <m/>
    <s v="Remboursement 2024 en 2025"/>
    <m/>
    <m/>
    <x v="0"/>
    <x v="31"/>
    <x v="0"/>
    <x v="0"/>
    <x v="13"/>
    <x v="0"/>
    <x v="0"/>
    <x v="420"/>
    <x v="49"/>
    <x v="0"/>
    <x v="0"/>
    <x v="35"/>
    <x v="0"/>
    <x v="0"/>
    <x v="256"/>
    <m/>
    <m/>
    <m/>
  </r>
  <r>
    <n v="0"/>
    <s v="420.480"/>
    <s v="URBANISME  PRELEVEMENT FONDS DE RESERVE"/>
    <s v="PCO"/>
    <s v="42"/>
    <n v="420"/>
    <s v="480"/>
    <m/>
    <n v="0"/>
    <n v="-170014.85"/>
    <n v="-170014.85"/>
    <n v="0"/>
    <n v="0"/>
    <n v="0"/>
    <n v="0"/>
    <s v="99000"/>
    <s v="4894"/>
    <s v="00"/>
    <s v="Prélèvement sur la réserve de politique budgétaire"/>
    <n v="-170014.85"/>
    <m/>
    <m/>
    <m/>
    <m/>
    <m/>
    <x v="0"/>
    <x v="31"/>
    <x v="0"/>
    <x v="0"/>
    <x v="14"/>
    <x v="0"/>
    <x v="0"/>
    <x v="421"/>
    <x v="13"/>
    <x v="0"/>
    <x v="0"/>
    <x v="29"/>
    <x v="0"/>
    <x v="0"/>
    <x v="39"/>
    <m/>
    <m/>
    <m/>
  </r>
  <r>
    <n v="0"/>
    <s v="430.301"/>
    <s v="ROUTES  VOIRIE SALAIRES"/>
    <s v="ADA"/>
    <s v="43"/>
    <n v="430"/>
    <s v="301"/>
    <m/>
    <n v="225166.25"/>
    <n v="0"/>
    <n v="225166.25"/>
    <n v="206000"/>
    <n v="0"/>
    <n v="206000"/>
    <n v="116946.9"/>
    <s v="61500"/>
    <s v="3010"/>
    <s v="00"/>
    <s v="Salaire du personnel administratif"/>
    <n v="225166.25"/>
    <m/>
    <m/>
    <s v="Blum, Tavel, De Matos, Quentin"/>
    <m/>
    <m/>
    <x v="0"/>
    <x v="32"/>
    <x v="0"/>
    <x v="0"/>
    <x v="1"/>
    <x v="0"/>
    <x v="0"/>
    <x v="422"/>
    <x v="15"/>
    <x v="0"/>
    <x v="0"/>
    <x v="15"/>
    <x v="0"/>
    <x v="0"/>
    <x v="19"/>
    <m/>
    <m/>
    <m/>
  </r>
  <r>
    <m/>
    <s v="430.301"/>
    <s v="ROUTES  VOIRIE SALAIRES"/>
    <s v="ADA"/>
    <s v="43"/>
    <n v="430"/>
    <s v="301"/>
    <m/>
    <m/>
    <m/>
    <n v="0"/>
    <m/>
    <m/>
    <n v="0"/>
    <m/>
    <s v="61500"/>
    <s v="3010"/>
    <s v="99"/>
    <s v="Remboursements IJM"/>
    <m/>
    <m/>
    <m/>
    <m/>
    <m/>
    <m/>
    <x v="0"/>
    <x v="32"/>
    <x v="0"/>
    <x v="0"/>
    <x v="1"/>
    <x v="0"/>
    <x v="0"/>
    <x v="422"/>
    <x v="15"/>
    <x v="0"/>
    <x v="0"/>
    <x v="15"/>
    <x v="4"/>
    <x v="0"/>
    <x v="20"/>
    <m/>
    <m/>
    <m/>
  </r>
  <r>
    <n v="0"/>
    <s v="430.303"/>
    <s v="ROUTES  VOIRIE COTISATIONS AVS AC AF"/>
    <s v="ADA"/>
    <s v="43"/>
    <n v="430"/>
    <s v="303"/>
    <m/>
    <n v="20885.2"/>
    <n v="0"/>
    <n v="20885.2"/>
    <n v="19500"/>
    <n v="0"/>
    <n v="19500"/>
    <n v="10928.15"/>
    <s v="61500"/>
    <s v="3050"/>
    <s v="00"/>
    <s v="Cotisations AVS, AI, APG, AC, frais adm"/>
    <n v="20885.2"/>
    <m/>
    <m/>
    <m/>
    <m/>
    <m/>
    <x v="0"/>
    <x v="32"/>
    <x v="0"/>
    <x v="0"/>
    <x v="2"/>
    <x v="0"/>
    <x v="0"/>
    <x v="423"/>
    <x v="15"/>
    <x v="0"/>
    <x v="0"/>
    <x v="1"/>
    <x v="0"/>
    <x v="0"/>
    <x v="2"/>
    <m/>
    <m/>
    <m/>
  </r>
  <r>
    <m/>
    <s v="430.303"/>
    <s v="ROUTES  VOIRIE COTISATIONS AVS AC AF"/>
    <s v="ADA"/>
    <s v="43"/>
    <n v="430"/>
    <s v="303"/>
    <m/>
    <n v="0"/>
    <n v="0"/>
    <n v="0"/>
    <n v="0"/>
    <n v="0"/>
    <n v="0"/>
    <m/>
    <s v="61500"/>
    <s v="3054"/>
    <s v="00"/>
    <s v="Cotisations CAF"/>
    <n v="0"/>
    <m/>
    <m/>
    <m/>
    <m/>
    <m/>
    <x v="0"/>
    <x v="32"/>
    <x v="0"/>
    <x v="0"/>
    <x v="2"/>
    <x v="0"/>
    <x v="0"/>
    <x v="423"/>
    <x v="15"/>
    <x v="0"/>
    <x v="0"/>
    <x v="2"/>
    <x v="0"/>
    <x v="0"/>
    <x v="3"/>
    <m/>
    <m/>
    <m/>
  </r>
  <r>
    <n v="0"/>
    <s v="430.304"/>
    <s v="ROUTES  VOIRIE CAISSE PREVOYANCE LPP"/>
    <s v="ADA"/>
    <s v="43"/>
    <n v="430"/>
    <s v="304"/>
    <m/>
    <n v="9956.9500000000007"/>
    <n v="0"/>
    <n v="9956.9500000000007"/>
    <n v="11500"/>
    <n v="0"/>
    <n v="11500"/>
    <n v="8591.15"/>
    <s v="61500"/>
    <s v="3052"/>
    <s v="00"/>
    <s v="Cotisations patronales aux caisses de pensions"/>
    <n v="9956.9500000000007"/>
    <m/>
    <m/>
    <m/>
    <m/>
    <m/>
    <x v="0"/>
    <x v="32"/>
    <x v="0"/>
    <x v="0"/>
    <x v="8"/>
    <x v="0"/>
    <x v="0"/>
    <x v="424"/>
    <x v="15"/>
    <x v="0"/>
    <x v="0"/>
    <x v="4"/>
    <x v="0"/>
    <x v="0"/>
    <x v="5"/>
    <m/>
    <m/>
    <m/>
  </r>
  <r>
    <n v="0"/>
    <s v="430.305"/>
    <s v="ROUTES  VOIRIE ASS ACCIDENTS et MALADIE"/>
    <s v="ADA"/>
    <s v="43"/>
    <n v="430"/>
    <s v="305"/>
    <m/>
    <n v="7150.8"/>
    <n v="0"/>
    <n v="7150.8"/>
    <n v="6600"/>
    <n v="0"/>
    <n v="6600"/>
    <n v="3769.65"/>
    <s v="61500"/>
    <s v="3053"/>
    <s v="00"/>
    <s v="Cotisations patronales aux assurance-accidents"/>
    <n v="7150.8"/>
    <m/>
    <m/>
    <m/>
    <m/>
    <m/>
    <x v="0"/>
    <x v="32"/>
    <x v="0"/>
    <x v="0"/>
    <x v="3"/>
    <x v="0"/>
    <x v="0"/>
    <x v="425"/>
    <x v="15"/>
    <x v="0"/>
    <x v="0"/>
    <x v="3"/>
    <x v="0"/>
    <x v="0"/>
    <x v="4"/>
    <m/>
    <m/>
    <m/>
  </r>
  <r>
    <n v="0"/>
    <s v="430.306"/>
    <s v="ROUTES  VOIRIE INDEMNISATION et REMBOURSEMENT DE  FRAIS"/>
    <s v="ADA"/>
    <s v="43"/>
    <n v="430"/>
    <s v="306"/>
    <m/>
    <n v="997.9"/>
    <n v="0"/>
    <n v="997.9"/>
    <n v="2500"/>
    <n v="0"/>
    <n v="2500"/>
    <n v="630.9"/>
    <s v="61500"/>
    <s v="3170"/>
    <s v="00"/>
    <s v="Remboursements de frais effectifs km"/>
    <n v="997.9"/>
    <m/>
    <m/>
    <m/>
    <m/>
    <m/>
    <x v="0"/>
    <x v="32"/>
    <x v="0"/>
    <x v="0"/>
    <x v="5"/>
    <x v="0"/>
    <x v="0"/>
    <x v="426"/>
    <x v="15"/>
    <x v="0"/>
    <x v="0"/>
    <x v="7"/>
    <x v="0"/>
    <x v="0"/>
    <x v="8"/>
    <m/>
    <m/>
    <m/>
  </r>
  <r>
    <m/>
    <s v="430.306"/>
    <s v="ROUTES  VOIRIE INDEMNISATION et REMBOURSEMENT DE  FRAIS"/>
    <s v="ADA"/>
    <s v="43"/>
    <n v="430"/>
    <s v="306"/>
    <m/>
    <n v="0"/>
    <n v="0"/>
    <n v="0"/>
    <n v="0"/>
    <n v="0"/>
    <n v="0"/>
    <m/>
    <s v="61500"/>
    <s v="3099"/>
    <s v="00"/>
    <s v="Autres charges du personnel"/>
    <m/>
    <m/>
    <m/>
    <m/>
    <m/>
    <m/>
    <x v="0"/>
    <x v="32"/>
    <x v="0"/>
    <x v="0"/>
    <x v="5"/>
    <x v="0"/>
    <x v="0"/>
    <x v="426"/>
    <x v="15"/>
    <x v="0"/>
    <x v="0"/>
    <x v="5"/>
    <x v="0"/>
    <x v="0"/>
    <x v="6"/>
    <m/>
    <m/>
    <m/>
  </r>
  <r>
    <s v="§§"/>
    <s v="430.309"/>
    <s v="ROUTES  VOIRIE COURS DE FORMATION"/>
    <s v="ADA"/>
    <s v="43"/>
    <n v="430"/>
    <s v="309"/>
    <m/>
    <n v="1215"/>
    <n v="0"/>
    <n v="1215"/>
    <n v="1500"/>
    <n v="0"/>
    <n v="1500"/>
    <n v="0"/>
    <s v="61500"/>
    <s v="3090"/>
    <s v="00"/>
    <s v="Formation et perfectionnement"/>
    <n v="1215"/>
    <m/>
    <m/>
    <m/>
    <m/>
    <m/>
    <x v="0"/>
    <x v="32"/>
    <x v="0"/>
    <x v="0"/>
    <x v="16"/>
    <x v="0"/>
    <x v="0"/>
    <x v="427"/>
    <x v="15"/>
    <x v="0"/>
    <x v="0"/>
    <x v="11"/>
    <x v="0"/>
    <x v="0"/>
    <x v="14"/>
    <m/>
    <m/>
    <m/>
  </r>
  <r>
    <m/>
    <s v="430.309"/>
    <s v="ROUTES  VOIRIE COURS DE FORMATION"/>
    <s v="ADA"/>
    <s v="43"/>
    <n v="430"/>
    <s v="309"/>
    <m/>
    <n v="0"/>
    <n v="0"/>
    <n v="0"/>
    <n v="0"/>
    <n v="0"/>
    <n v="0"/>
    <m/>
    <s v="61500"/>
    <s v="3091"/>
    <s v="00"/>
    <s v="Recrutement"/>
    <m/>
    <m/>
    <m/>
    <m/>
    <m/>
    <m/>
    <x v="0"/>
    <x v="32"/>
    <x v="0"/>
    <x v="0"/>
    <x v="16"/>
    <x v="0"/>
    <x v="0"/>
    <x v="427"/>
    <x v="15"/>
    <x v="0"/>
    <x v="0"/>
    <x v="17"/>
    <x v="0"/>
    <x v="0"/>
    <x v="21"/>
    <m/>
    <m/>
    <m/>
  </r>
  <r>
    <n v="0"/>
    <s v="430.311"/>
    <s v="ROUTES  VOIRIE ACHATS MACHINE MATERIEL HABITS"/>
    <s v="ADA"/>
    <s v="43"/>
    <n v="430"/>
    <s v="311"/>
    <m/>
    <n v="47309.65"/>
    <n v="0"/>
    <n v="47309.65"/>
    <n v="45000"/>
    <n v="0"/>
    <n v="45000"/>
    <n v="22006.400000000001"/>
    <s v="61500"/>
    <s v="3101"/>
    <s v="00"/>
    <s v="Matériel d'exploitation, petites fournitures"/>
    <n v="47309.65"/>
    <m/>
    <s v="mieux budgéter"/>
    <s v="aussi achat des piquets"/>
    <m/>
    <m/>
    <x v="0"/>
    <x v="32"/>
    <x v="0"/>
    <x v="0"/>
    <x v="6"/>
    <x v="0"/>
    <x v="0"/>
    <x v="428"/>
    <x v="15"/>
    <x v="0"/>
    <x v="0"/>
    <x v="30"/>
    <x v="0"/>
    <x v="0"/>
    <x v="40"/>
    <m/>
    <m/>
    <m/>
  </r>
  <r>
    <n v="0"/>
    <s v="430.313"/>
    <s v="ROUTES  VOIRIE ACHATS MARCHANDISES PROD ENTRETIEN Consommables"/>
    <s v="ADA"/>
    <s v="43"/>
    <n v="430"/>
    <s v="313"/>
    <m/>
    <n v="31146.35"/>
    <n v="0"/>
    <n v="31146.35"/>
    <n v="17500"/>
    <n v="0"/>
    <n v="17500"/>
    <n v="5002.05"/>
    <s v="61500"/>
    <s v="3101"/>
    <s v="00"/>
    <s v="Matériel d'exploitation, petites fournitures"/>
    <n v="31146.35"/>
    <m/>
    <s v="mieux budgéter"/>
    <m/>
    <m/>
    <m/>
    <x v="0"/>
    <x v="32"/>
    <x v="0"/>
    <x v="0"/>
    <x v="53"/>
    <x v="0"/>
    <x v="0"/>
    <x v="429"/>
    <x v="15"/>
    <x v="0"/>
    <x v="0"/>
    <x v="30"/>
    <x v="0"/>
    <x v="0"/>
    <x v="40"/>
    <m/>
    <m/>
    <m/>
  </r>
  <r>
    <m/>
    <s v="430.313"/>
    <s v="ROUTES  VOIRIE ACHATS MARCHANDISES PROD ENTRETIEN Consommables"/>
    <s v="ADA"/>
    <s v="43"/>
    <n v="430"/>
    <s v="313"/>
    <m/>
    <n v="0"/>
    <n v="0"/>
    <n v="0"/>
    <n v="0"/>
    <n v="0"/>
    <n v="0"/>
    <m/>
    <s v="61500"/>
    <s v="3111"/>
    <s v="00"/>
    <s v="Machines, appareils et véhicules"/>
    <m/>
    <m/>
    <m/>
    <s v="cafetière, tracteur ou véhicule à 15K"/>
    <m/>
    <m/>
    <x v="0"/>
    <x v="32"/>
    <x v="0"/>
    <x v="0"/>
    <x v="53"/>
    <x v="0"/>
    <x v="0"/>
    <x v="429"/>
    <x v="15"/>
    <x v="0"/>
    <x v="0"/>
    <x v="38"/>
    <x v="0"/>
    <x v="0"/>
    <x v="50"/>
    <m/>
    <m/>
    <m/>
  </r>
  <r>
    <n v="0"/>
    <s v="430.311.1"/>
    <s v="ROUTES  VOIRIE ACHATS SIGNALISATION"/>
    <s v="ADA"/>
    <s v="43"/>
    <n v="430"/>
    <s v="311"/>
    <n v="1"/>
    <n v="7239.15"/>
    <n v="0"/>
    <n v="7239.15"/>
    <n v="15000"/>
    <n v="0"/>
    <n v="15000"/>
    <n v="2449.9"/>
    <s v="61500"/>
    <s v="3141"/>
    <s v="02"/>
    <s v="Signalisation routière"/>
    <n v="7239.15"/>
    <m/>
    <m/>
    <m/>
    <m/>
    <m/>
    <x v="0"/>
    <x v="32"/>
    <x v="0"/>
    <x v="0"/>
    <x v="6"/>
    <x v="1"/>
    <x v="0"/>
    <x v="430"/>
    <x v="15"/>
    <x v="0"/>
    <x v="0"/>
    <x v="93"/>
    <x v="5"/>
    <x v="0"/>
    <x v="257"/>
    <m/>
    <m/>
    <m/>
  </r>
  <r>
    <m/>
    <s v="430.311.1"/>
    <s v="ROUTES  VOIRIE ACHATS SIGNALISATION"/>
    <s v="ADA"/>
    <s v="43"/>
    <n v="430"/>
    <s v="311"/>
    <n v="1"/>
    <n v="0"/>
    <n v="0"/>
    <n v="0"/>
    <n v="0"/>
    <n v="0"/>
    <n v="0"/>
    <m/>
    <s v="61500"/>
    <s v="3141"/>
    <s v="03"/>
    <s v="Entretien des routes et éclairages publics - travaux EP"/>
    <m/>
    <m/>
    <m/>
    <s v="pas Romande Energie"/>
    <m/>
    <m/>
    <x v="0"/>
    <x v="32"/>
    <x v="0"/>
    <x v="0"/>
    <x v="6"/>
    <x v="1"/>
    <x v="0"/>
    <x v="430"/>
    <x v="15"/>
    <x v="0"/>
    <x v="0"/>
    <x v="93"/>
    <x v="9"/>
    <x v="0"/>
    <x v="258"/>
    <m/>
    <m/>
    <m/>
  </r>
  <r>
    <n v="0"/>
    <s v="430.312"/>
    <s v="ROUTES  VOIRIE ACHATS ELECTRICITE"/>
    <s v="ADA"/>
    <s v="43"/>
    <n v="430"/>
    <s v="312"/>
    <m/>
    <n v="10146.200000000001"/>
    <n v="0"/>
    <n v="10146.200000000001"/>
    <n v="19000"/>
    <n v="0"/>
    <n v="19000"/>
    <n v="2494.1999999999998"/>
    <s v="61500"/>
    <s v="3120"/>
    <s v="01"/>
    <s v="Frais électricité, routes EP (Romande Energie)"/>
    <n v="10146.200000000001"/>
    <m/>
    <m/>
    <s v="contrôle borne de recharge = bâtiment 3144"/>
    <m/>
    <m/>
    <x v="0"/>
    <x v="32"/>
    <x v="0"/>
    <x v="0"/>
    <x v="30"/>
    <x v="0"/>
    <x v="0"/>
    <x v="431"/>
    <x v="15"/>
    <x v="0"/>
    <x v="0"/>
    <x v="39"/>
    <x v="1"/>
    <x v="0"/>
    <x v="259"/>
    <m/>
    <m/>
    <m/>
  </r>
  <r>
    <n v="0"/>
    <s v="430.314"/>
    <s v="ROUTES  ENTRETIEN"/>
    <s v="ADA"/>
    <s v="43"/>
    <n v="430"/>
    <s v="314"/>
    <m/>
    <n v="69279.03"/>
    <n v="0"/>
    <n v="69279.03"/>
    <n v="50000"/>
    <n v="0"/>
    <n v="50000"/>
    <n v="7186.49"/>
    <s v="61500"/>
    <s v="3141"/>
    <s v="00"/>
    <s v="Entretien des routes - divers"/>
    <n v="69279.03"/>
    <m/>
    <m/>
    <m/>
    <m/>
    <m/>
    <x v="0"/>
    <x v="32"/>
    <x v="0"/>
    <x v="0"/>
    <x v="25"/>
    <x v="0"/>
    <x v="0"/>
    <x v="432"/>
    <x v="15"/>
    <x v="0"/>
    <x v="0"/>
    <x v="93"/>
    <x v="0"/>
    <x v="0"/>
    <x v="260"/>
    <m/>
    <m/>
    <m/>
  </r>
  <r>
    <n v="0"/>
    <s v="430.314.0"/>
    <s v="ROUTES  Espaces verts, fleurs (hors dép.thématiques)"/>
    <s v="ADA"/>
    <s v="43"/>
    <n v="430"/>
    <s v="314"/>
    <n v="0"/>
    <n v="7350.3"/>
    <n v="0"/>
    <n v="7350.3"/>
    <n v="8000"/>
    <n v="0"/>
    <n v="8000"/>
    <n v="12559.06"/>
    <s v="34200"/>
    <s v="3101"/>
    <s v="00"/>
    <s v="Matériel d'exploitation, petites fournitures - fleurs"/>
    <n v="7350.3"/>
    <m/>
    <s v="mieux budgéter"/>
    <s v="fleurs, arbre milieu village (entretien tondeuse dans voirie)"/>
    <m/>
    <m/>
    <x v="0"/>
    <x v="32"/>
    <x v="0"/>
    <x v="0"/>
    <x v="25"/>
    <x v="0"/>
    <x v="0"/>
    <x v="433"/>
    <x v="50"/>
    <x v="0"/>
    <x v="0"/>
    <x v="30"/>
    <x v="0"/>
    <x v="0"/>
    <x v="261"/>
    <m/>
    <m/>
    <m/>
  </r>
  <r>
    <m/>
    <s v="430.314.0"/>
    <s v="ROUTES  Espaces verts, fleurs (hors dép.thématiques)"/>
    <s v="ADA"/>
    <s v="43"/>
    <n v="430"/>
    <s v="314"/>
    <n v="0"/>
    <n v="0"/>
    <n v="0"/>
    <n v="0"/>
    <n v="0"/>
    <n v="0"/>
    <n v="0"/>
    <m/>
    <s v="34200"/>
    <s v="3143"/>
    <s v="00"/>
    <s v="Entretien autres travaux de genie civil"/>
    <m/>
    <m/>
    <m/>
    <s v="fosse de plantations"/>
    <m/>
    <m/>
    <x v="0"/>
    <x v="32"/>
    <x v="0"/>
    <x v="0"/>
    <x v="25"/>
    <x v="0"/>
    <x v="0"/>
    <x v="433"/>
    <x v="50"/>
    <x v="0"/>
    <x v="0"/>
    <x v="94"/>
    <x v="0"/>
    <x v="0"/>
    <x v="262"/>
    <m/>
    <m/>
    <m/>
  </r>
  <r>
    <n v="0"/>
    <s v="430.314.1"/>
    <s v="ROUTES  ENTRETIEN CHEMINS FORESTIERS"/>
    <s v="ADA"/>
    <s v="43"/>
    <n v="430"/>
    <s v="314"/>
    <n v="1"/>
    <n v="4577.3"/>
    <n v="0"/>
    <n v="4577.3"/>
    <n v="4000"/>
    <n v="0"/>
    <n v="4000"/>
    <n v="2889.5"/>
    <s v="82000"/>
    <s v="3141"/>
    <s v="04"/>
    <s v="Entretien des routes - chemins forestiers"/>
    <n v="4577.3"/>
    <m/>
    <m/>
    <m/>
    <m/>
    <m/>
    <x v="0"/>
    <x v="32"/>
    <x v="0"/>
    <x v="0"/>
    <x v="25"/>
    <x v="1"/>
    <x v="0"/>
    <x v="434"/>
    <x v="12"/>
    <x v="0"/>
    <x v="0"/>
    <x v="93"/>
    <x v="3"/>
    <x v="0"/>
    <x v="263"/>
    <m/>
    <m/>
    <m/>
  </r>
  <r>
    <n v="0"/>
    <s v="430.314.2"/>
    <s v="ROUTES  ENTRETIEN DENEIGEMENT COMMUNAL"/>
    <s v="ADA"/>
    <s v="43"/>
    <n v="430"/>
    <s v="314"/>
    <n v="2"/>
    <n v="4006.21"/>
    <n v="0"/>
    <n v="4006.21"/>
    <n v="20000"/>
    <n v="0"/>
    <n v="20000"/>
    <n v="8604.75"/>
    <s v="61500"/>
    <s v="3141"/>
    <s v="01"/>
    <s v="Entretien des routes - déneigement"/>
    <n v="4006.21"/>
    <m/>
    <m/>
    <m/>
    <m/>
    <m/>
    <x v="0"/>
    <x v="32"/>
    <x v="0"/>
    <x v="0"/>
    <x v="25"/>
    <x v="2"/>
    <x v="0"/>
    <x v="435"/>
    <x v="15"/>
    <x v="0"/>
    <x v="0"/>
    <x v="93"/>
    <x v="1"/>
    <x v="0"/>
    <x v="264"/>
    <m/>
    <m/>
    <m/>
  </r>
  <r>
    <n v="0"/>
    <s v="430.315"/>
    <s v="ROUTES  VOIRIE ENTRETIEN MACH VHC INST TECH"/>
    <s v="ADA"/>
    <s v="43"/>
    <n v="430"/>
    <s v="315"/>
    <m/>
    <n v="47774.45"/>
    <n v="0"/>
    <n v="47774.45"/>
    <n v="32500"/>
    <n v="0"/>
    <n v="32500"/>
    <n v="24614.3"/>
    <s v="61500"/>
    <s v="3101"/>
    <s v="01"/>
    <s v="Matériel d'exploitation, essence"/>
    <n v="47774.45"/>
    <m/>
    <s v="mieux budgéter"/>
    <s v="AVIA, essence"/>
    <m/>
    <m/>
    <x v="0"/>
    <x v="32"/>
    <x v="0"/>
    <x v="0"/>
    <x v="24"/>
    <x v="0"/>
    <x v="0"/>
    <x v="436"/>
    <x v="15"/>
    <x v="0"/>
    <x v="0"/>
    <x v="30"/>
    <x v="1"/>
    <x v="0"/>
    <x v="265"/>
    <m/>
    <m/>
    <m/>
  </r>
  <r>
    <m/>
    <s v="430.315"/>
    <s v="ROUTES  VOIRIE ENTRETIEN MACH VHC INST TECH"/>
    <s v="ADA"/>
    <s v="43"/>
    <n v="430"/>
    <s v="315"/>
    <m/>
    <n v="0"/>
    <n v="0"/>
    <n v="0"/>
    <n v="0"/>
    <n v="0"/>
    <n v="0"/>
    <m/>
    <s v="61500"/>
    <s v="3151"/>
    <s v="00"/>
    <s v="Entretien de machines, hors véhicules"/>
    <m/>
    <m/>
    <m/>
    <m/>
    <m/>
    <m/>
    <x v="0"/>
    <x v="32"/>
    <x v="0"/>
    <x v="0"/>
    <x v="24"/>
    <x v="0"/>
    <x v="0"/>
    <x v="436"/>
    <x v="15"/>
    <x v="0"/>
    <x v="0"/>
    <x v="95"/>
    <x v="0"/>
    <x v="0"/>
    <x v="266"/>
    <m/>
    <m/>
    <m/>
  </r>
  <r>
    <m/>
    <s v="430.315"/>
    <s v="ROUTES  VOIRIE ENTRETIEN MACH VHC INST TECH"/>
    <s v="ADA"/>
    <s v="43"/>
    <n v="430"/>
    <s v="315"/>
    <m/>
    <n v="0"/>
    <n v="0"/>
    <n v="0"/>
    <n v="0"/>
    <n v="0"/>
    <n v="0"/>
    <m/>
    <s v="61500"/>
    <s v="3151"/>
    <s v="01"/>
    <s v="Entretien de machines, véhicules"/>
    <m/>
    <m/>
    <m/>
    <m/>
    <m/>
    <m/>
    <x v="0"/>
    <x v="32"/>
    <x v="0"/>
    <x v="0"/>
    <x v="24"/>
    <x v="0"/>
    <x v="0"/>
    <x v="436"/>
    <x v="15"/>
    <x v="0"/>
    <x v="0"/>
    <x v="95"/>
    <x v="1"/>
    <x v="0"/>
    <x v="267"/>
    <m/>
    <m/>
    <m/>
  </r>
  <r>
    <n v="0"/>
    <s v="430.318"/>
    <s v="ROUTES  VOIRIE HONORAIRES, ASS. VHC, PREST. SERVICES"/>
    <s v="ADA"/>
    <s v="43"/>
    <n v="430"/>
    <s v="318"/>
    <m/>
    <n v="9771.2000000000007"/>
    <n v="0"/>
    <n v="9771.2000000000007"/>
    <n v="9500"/>
    <n v="0"/>
    <n v="9500"/>
    <n v="7487.9"/>
    <s v="61500"/>
    <s v="3134"/>
    <s v="00"/>
    <s v="Frais assurances"/>
    <n v="9771.2000000000007"/>
    <m/>
    <m/>
    <m/>
    <m/>
    <m/>
    <x v="0"/>
    <x v="32"/>
    <x v="0"/>
    <x v="0"/>
    <x v="10"/>
    <x v="0"/>
    <x v="0"/>
    <x v="437"/>
    <x v="15"/>
    <x v="0"/>
    <x v="0"/>
    <x v="21"/>
    <x v="0"/>
    <x v="0"/>
    <x v="104"/>
    <m/>
    <m/>
    <m/>
  </r>
  <r>
    <m/>
    <s v="430.318"/>
    <s v="ROUTES  VOIRIE HONORAIRES, ASS. VHC, PREST. SERVICES"/>
    <s v="ADA"/>
    <s v="43"/>
    <n v="430"/>
    <s v="318"/>
    <m/>
    <n v="0"/>
    <n v="0"/>
    <n v="0"/>
    <n v="0"/>
    <n v="0"/>
    <n v="0"/>
    <m/>
    <s v="61500"/>
    <s v="3611"/>
    <s v="00"/>
    <s v="Parts aux cantons et concordats - DGMR"/>
    <m/>
    <m/>
    <m/>
    <s v="SAN SERVICE DES AUTOMOBILE ET DE LA NAVIGATION"/>
    <m/>
    <m/>
    <x v="0"/>
    <x v="32"/>
    <x v="0"/>
    <x v="0"/>
    <x v="10"/>
    <x v="0"/>
    <x v="0"/>
    <x v="437"/>
    <x v="15"/>
    <x v="0"/>
    <x v="0"/>
    <x v="96"/>
    <x v="0"/>
    <x v="0"/>
    <x v="268"/>
    <m/>
    <m/>
    <m/>
  </r>
  <r>
    <n v="0"/>
    <s v="430.331"/>
    <s v="ROUTES  VOIRIE AMORTISSEMENT ROUTES VEHICULES"/>
    <s v="ADA"/>
    <s v="43"/>
    <n v="430"/>
    <s v="331"/>
    <m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31"/>
    <x v="0"/>
    <x v="0"/>
    <x v="438"/>
    <x v="1"/>
    <x v="0"/>
    <x v="0"/>
    <x v="9"/>
    <x v="2"/>
    <x v="0"/>
    <x v="17"/>
    <m/>
    <m/>
    <m/>
  </r>
  <r>
    <n v="0"/>
    <s v="430.331.0"/>
    <s v="ROUTES  AMORTISSEMENT REFECTION GENERALE 2019"/>
    <s v="ADA"/>
    <s v="43"/>
    <n v="430"/>
    <s v="331"/>
    <n v="0"/>
    <n v="80000"/>
    <n v="0"/>
    <n v="80000"/>
    <n v="80000"/>
    <n v="0"/>
    <n v="80000"/>
    <n v="0"/>
    <s v="61500"/>
    <s v="3300"/>
    <s v="09"/>
    <s v="Amortissements planifiés des immobilisations corporelles PA"/>
    <n v="80000"/>
    <m/>
    <m/>
    <m/>
    <m/>
    <m/>
    <x v="0"/>
    <x v="32"/>
    <x v="0"/>
    <x v="0"/>
    <x v="31"/>
    <x v="0"/>
    <x v="0"/>
    <x v="439"/>
    <x v="15"/>
    <x v="0"/>
    <x v="0"/>
    <x v="41"/>
    <x v="6"/>
    <x v="0"/>
    <x v="54"/>
    <m/>
    <m/>
    <m/>
  </r>
  <r>
    <n v="0"/>
    <s v="430.331.5"/>
    <s v="ROUTES  VOIRIE AMORTISSEMENT PISTE PIETONNIERE RTE DE DUILLIER"/>
    <s v="ADA"/>
    <s v="43"/>
    <n v="430"/>
    <s v="331"/>
    <n v="5"/>
    <n v="11900"/>
    <n v="0"/>
    <n v="11900"/>
    <n v="11900"/>
    <n v="0"/>
    <n v="11900"/>
    <n v="0"/>
    <s v="61500"/>
    <s v="3300"/>
    <s v="09"/>
    <s v="Amortissements planifiés des immobilisations corporelles PA"/>
    <n v="11900"/>
    <m/>
    <m/>
    <m/>
    <m/>
    <m/>
    <x v="0"/>
    <x v="32"/>
    <x v="0"/>
    <x v="0"/>
    <x v="31"/>
    <x v="7"/>
    <x v="0"/>
    <x v="440"/>
    <x v="15"/>
    <x v="0"/>
    <x v="0"/>
    <x v="41"/>
    <x v="6"/>
    <x v="0"/>
    <x v="54"/>
    <m/>
    <m/>
    <m/>
  </r>
  <r>
    <n v="0"/>
    <s v="430.331.1"/>
    <s v="ROUTES  VOIRIE AMORTISSEMENT ROUTE DE LA GARE"/>
    <s v="ADA"/>
    <s v="43"/>
    <n v="430"/>
    <s v="331"/>
    <n v="1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31"/>
    <x v="1"/>
    <x v="0"/>
    <x v="441"/>
    <x v="1"/>
    <x v="0"/>
    <x v="0"/>
    <x v="9"/>
    <x v="2"/>
    <x v="0"/>
    <x v="17"/>
    <m/>
    <m/>
    <m/>
  </r>
  <r>
    <n v="0"/>
    <s v="430.331.2"/>
    <s v="ROUTES  VOIRIE AMORTISSEMENT ROUTE DE TRELEX"/>
    <s v="ADA"/>
    <s v="43"/>
    <n v="430"/>
    <s v="331"/>
    <n v="2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31"/>
    <x v="2"/>
    <x v="0"/>
    <x v="442"/>
    <x v="1"/>
    <x v="0"/>
    <x v="0"/>
    <x v="9"/>
    <x v="2"/>
    <x v="0"/>
    <x v="17"/>
    <m/>
    <m/>
    <m/>
  </r>
  <r>
    <n v="0"/>
    <s v="430.331.3"/>
    <s v="ROUTES  VOIRIE AMORTISSEMENT ROUTE DE LA CEZILLE"/>
    <s v="ADA"/>
    <s v="43"/>
    <n v="430"/>
    <s v="331"/>
    <n v="3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31"/>
    <x v="3"/>
    <x v="0"/>
    <x v="443"/>
    <x v="1"/>
    <x v="0"/>
    <x v="0"/>
    <x v="9"/>
    <x v="2"/>
    <x v="0"/>
    <x v="17"/>
    <m/>
    <m/>
    <m/>
  </r>
  <r>
    <n v="0"/>
    <s v="430.331.4"/>
    <s v="ROUTES  VOIRIE AMORTISSEMENT ROUTE DE DUILLIER"/>
    <s v="ADA"/>
    <s v="43"/>
    <n v="430"/>
    <s v="331"/>
    <n v="4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31"/>
    <x v="6"/>
    <x v="0"/>
    <x v="444"/>
    <x v="1"/>
    <x v="0"/>
    <x v="0"/>
    <x v="9"/>
    <x v="2"/>
    <x v="0"/>
    <x v="17"/>
    <m/>
    <m/>
    <m/>
  </r>
  <r>
    <n v="0"/>
    <s v="430.332"/>
    <s v="ROUTES  VOIRIE AMORTISSEMENT SUPPL P ADM"/>
    <s v="ADA"/>
    <s v="43"/>
    <n v="430"/>
    <s v="332"/>
    <m/>
    <n v="241549.31"/>
    <n v="0"/>
    <n v="241549.31"/>
    <n v="0"/>
    <n v="0"/>
    <n v="0"/>
    <n v="0"/>
    <s v="61500"/>
    <s v="3301"/>
    <s v="09"/>
    <s v="Amortissements non planifiés des immobilisations corporelles PA"/>
    <n v="241549.31"/>
    <m/>
    <m/>
    <s v="machine mortes à réévaluer - voiture qui part à la casse (ici routes)"/>
    <m/>
    <m/>
    <x v="0"/>
    <x v="32"/>
    <x v="0"/>
    <x v="0"/>
    <x v="20"/>
    <x v="0"/>
    <x v="0"/>
    <x v="445"/>
    <x v="15"/>
    <x v="0"/>
    <x v="0"/>
    <x v="42"/>
    <x v="6"/>
    <x v="0"/>
    <x v="32"/>
    <m/>
    <m/>
    <m/>
  </r>
  <r>
    <n v="0"/>
    <s v="430.351"/>
    <s v="ROUTES  VOIRIE CHARGES CANTONALES S. HIVERNAL"/>
    <s v="ADA"/>
    <s v="43"/>
    <n v="430"/>
    <s v="351"/>
    <m/>
    <n v="15250.1"/>
    <n v="0"/>
    <n v="15250.1"/>
    <n v="10000"/>
    <n v="0"/>
    <n v="10000"/>
    <n v="0"/>
    <s v="61500"/>
    <s v="3611"/>
    <s v="01"/>
    <s v="Parts aux cantons - SAGEFI service hivernal"/>
    <n v="15250.1"/>
    <m/>
    <m/>
    <s v="SAGEFI service hivernal"/>
    <m/>
    <m/>
    <x v="0"/>
    <x v="32"/>
    <x v="0"/>
    <x v="0"/>
    <x v="33"/>
    <x v="0"/>
    <x v="0"/>
    <x v="446"/>
    <x v="15"/>
    <x v="0"/>
    <x v="0"/>
    <x v="96"/>
    <x v="1"/>
    <x v="0"/>
    <x v="269"/>
    <m/>
    <m/>
    <m/>
  </r>
  <r>
    <n v="0"/>
    <s v="430.380"/>
    <s v="ROUTES  ATTRIB FONDS RENOUV. MAT et VHC (9281.3)"/>
    <s v="ADA"/>
    <s v="43"/>
    <n v="430"/>
    <s v="380"/>
    <m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22"/>
    <x v="0"/>
    <x v="0"/>
    <x v="447"/>
    <x v="1"/>
    <x v="0"/>
    <x v="0"/>
    <x v="9"/>
    <x v="2"/>
    <x v="0"/>
    <x v="17"/>
    <m/>
    <m/>
    <m/>
  </r>
  <r>
    <n v="0"/>
    <s v="430.380.1"/>
    <s v="ROUTES  ATTRIB FONDS RENOVATION (9282.1)"/>
    <s v="ADA"/>
    <s v="43"/>
    <n v="430"/>
    <s v="380"/>
    <n v="1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22"/>
    <x v="1"/>
    <x v="0"/>
    <x v="448"/>
    <x v="1"/>
    <x v="0"/>
    <x v="0"/>
    <x v="9"/>
    <x v="2"/>
    <x v="0"/>
    <x v="17"/>
    <m/>
    <m/>
    <m/>
  </r>
  <r>
    <n v="0"/>
    <s v="430.390.1"/>
    <s v="ROUTES  IMPUTATIONS INT SALAIRES"/>
    <s v="ADA"/>
    <s v="43"/>
    <n v="430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7"/>
    <x v="1"/>
    <x v="0"/>
    <x v="449"/>
    <x v="1"/>
    <x v="0"/>
    <x v="0"/>
    <x v="9"/>
    <x v="2"/>
    <x v="0"/>
    <x v="17"/>
    <m/>
    <m/>
    <m/>
  </r>
  <r>
    <n v="0"/>
    <s v="430.390.2"/>
    <s v="ROUTES  IMPUTATIONS INTERNES INTERÊTS"/>
    <s v="ADA"/>
    <s v="43"/>
    <n v="430"/>
    <s v="390"/>
    <n v="2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7"/>
    <x v="2"/>
    <x v="0"/>
    <x v="450"/>
    <x v="1"/>
    <x v="0"/>
    <x v="0"/>
    <x v="9"/>
    <x v="2"/>
    <x v="0"/>
    <x v="17"/>
    <m/>
    <m/>
    <m/>
  </r>
  <r>
    <n v="0"/>
    <s v="430.424.1"/>
    <s v="ROUTES  GAINS COMPTABLE PATR FIN"/>
    <s v="ADA"/>
    <s v="43"/>
    <n v="430"/>
    <s v="424"/>
    <n v="1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47"/>
    <x v="1"/>
    <x v="0"/>
    <x v="451"/>
    <x v="1"/>
    <x v="0"/>
    <x v="0"/>
    <x v="9"/>
    <x v="2"/>
    <x v="0"/>
    <x v="17"/>
    <m/>
    <m/>
    <m/>
  </r>
  <r>
    <n v="0"/>
    <s v="430.436"/>
    <s v="ROUTES  PART DE TIERS/ASS/CAD"/>
    <s v="ADA"/>
    <s v="43"/>
    <n v="430"/>
    <s v="436"/>
    <m/>
    <n v="0"/>
    <n v="-14269.05"/>
    <n v="-14269.05"/>
    <n v="0"/>
    <n v="0"/>
    <n v="0"/>
    <n v="-1508.9"/>
    <s v="61500"/>
    <s v="4260"/>
    <s v="00"/>
    <s v="Remboursements et participations de tiers"/>
    <n v="-14269.05"/>
    <m/>
    <m/>
    <s v="Remb assurances (jamais au bilan) - Genolier CAD SA , Prestations des employés communaux 2024-2025"/>
    <m/>
    <m/>
    <x v="0"/>
    <x v="32"/>
    <x v="0"/>
    <x v="0"/>
    <x v="13"/>
    <x v="0"/>
    <x v="0"/>
    <x v="452"/>
    <x v="15"/>
    <x v="0"/>
    <x v="0"/>
    <x v="46"/>
    <x v="0"/>
    <x v="0"/>
    <x v="270"/>
    <m/>
    <m/>
    <m/>
  </r>
  <r>
    <n v="0"/>
    <s v="430.436.1"/>
    <s v="ROUTES Remboursement de Tiers"/>
    <s v="ADA"/>
    <s v="43"/>
    <n v="430"/>
    <s v="436"/>
    <n v="1"/>
    <n v="0"/>
    <n v="-3424.55"/>
    <n v="-3424.55"/>
    <n v="0"/>
    <n v="0"/>
    <n v="0"/>
    <n v="0"/>
    <s v="61500"/>
    <s v="4260"/>
    <s v="00"/>
    <s v="Remboursements et participations de tiers"/>
    <n v="-3424.55"/>
    <m/>
    <m/>
    <s v="Remb sinitres accurances"/>
    <m/>
    <m/>
    <x v="0"/>
    <x v="32"/>
    <x v="0"/>
    <x v="0"/>
    <x v="13"/>
    <x v="1"/>
    <x v="0"/>
    <x v="453"/>
    <x v="15"/>
    <x v="0"/>
    <x v="0"/>
    <x v="46"/>
    <x v="0"/>
    <x v="0"/>
    <x v="270"/>
    <m/>
    <m/>
    <m/>
  </r>
  <r>
    <n v="0"/>
    <s v="430.451.7"/>
    <s v="ROUTES  PARTICIPATION, REMBOURSEMENT CANTONAL"/>
    <s v="ADA"/>
    <s v="43"/>
    <n v="430"/>
    <s v="451"/>
    <n v="7"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32"/>
    <x v="9"/>
    <x v="0"/>
    <x v="454"/>
    <x v="1"/>
    <x v="0"/>
    <x v="0"/>
    <x v="9"/>
    <x v="2"/>
    <x v="0"/>
    <x v="17"/>
    <m/>
    <m/>
    <m/>
  </r>
  <r>
    <n v="0"/>
    <s v="430.465"/>
    <s v="ROUTES  Subventions et participations de tiers"/>
    <s v="ADA"/>
    <s v="43"/>
    <n v="430"/>
    <s v="465"/>
    <m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52"/>
    <x v="0"/>
    <x v="0"/>
    <x v="455"/>
    <x v="1"/>
    <x v="0"/>
    <x v="0"/>
    <x v="9"/>
    <x v="2"/>
    <x v="0"/>
    <x v="17"/>
    <m/>
    <m/>
    <m/>
  </r>
  <r>
    <n v="0"/>
    <s v="430.480"/>
    <s v="ROUTES  PREL FONDS RENOUV ROUTES et VHC (9281.3)"/>
    <s v="ADA"/>
    <s v="43"/>
    <n v="430"/>
    <s v="480"/>
    <m/>
    <n v="0"/>
    <n v="-241549.31"/>
    <n v="-241549.31"/>
    <n v="0"/>
    <n v="0"/>
    <n v="0"/>
    <n v="0"/>
    <s v="99000"/>
    <s v="4894"/>
    <s v="00"/>
    <s v="Prélèvement sur la réserve de politique budgétaire"/>
    <n v="-241549.31"/>
    <m/>
    <m/>
    <m/>
    <m/>
    <m/>
    <x v="0"/>
    <x v="32"/>
    <x v="0"/>
    <x v="0"/>
    <x v="14"/>
    <x v="0"/>
    <x v="0"/>
    <x v="456"/>
    <x v="13"/>
    <x v="0"/>
    <x v="0"/>
    <x v="29"/>
    <x v="0"/>
    <x v="0"/>
    <x v="39"/>
    <m/>
    <m/>
    <m/>
  </r>
  <r>
    <n v="0"/>
    <s v="430.490"/>
    <s v="ROUTES  IMPUTATIONS INTERNES"/>
    <s v="ADA"/>
    <s v="43"/>
    <n v="430"/>
    <s v="490"/>
    <m/>
    <n v="0"/>
    <n v="0"/>
    <n v="0"/>
    <n v="0"/>
    <n v="0"/>
    <n v="0"/>
    <n v="0"/>
    <s v="-"/>
    <s v="-"/>
    <s v="-"/>
    <s v="-"/>
    <m/>
    <m/>
    <m/>
    <m/>
    <m/>
    <m/>
    <x v="0"/>
    <x v="32"/>
    <x v="0"/>
    <x v="0"/>
    <x v="15"/>
    <x v="0"/>
    <x v="0"/>
    <x v="457"/>
    <x v="1"/>
    <x v="0"/>
    <x v="0"/>
    <x v="9"/>
    <x v="2"/>
    <x v="0"/>
    <x v="17"/>
    <m/>
    <m/>
    <m/>
  </r>
  <r>
    <n v="0"/>
    <s v="440.301"/>
    <s v="PARCS  CIMETIERE SALAIRES"/>
    <s v="CMA"/>
    <s v="44"/>
    <n v="440"/>
    <s v="301"/>
    <m/>
    <n v="28572.3"/>
    <n v="0"/>
    <n v="28572.3"/>
    <n v="26000"/>
    <n v="0"/>
    <n v="26000"/>
    <n v="14053.55"/>
    <s v="61500"/>
    <s v="3010"/>
    <s v="00"/>
    <s v="Salaire du personnel administratif"/>
    <n v="28572.3"/>
    <n v="0"/>
    <s v="Regroupement en 61500 et 73000"/>
    <m/>
    <m/>
    <m/>
    <x v="0"/>
    <x v="33"/>
    <x v="0"/>
    <x v="0"/>
    <x v="1"/>
    <x v="0"/>
    <x v="0"/>
    <x v="458"/>
    <x v="15"/>
    <x v="0"/>
    <x v="0"/>
    <x v="15"/>
    <x v="0"/>
    <x v="0"/>
    <x v="19"/>
    <m/>
    <m/>
    <m/>
  </r>
  <r>
    <m/>
    <s v="440.301"/>
    <s v="PARCS  CIMETIERE SALAIRES"/>
    <s v="CMA"/>
    <s v="44"/>
    <n v="440"/>
    <s v="301"/>
    <m/>
    <m/>
    <m/>
    <m/>
    <m/>
    <m/>
    <n v="0"/>
    <m/>
    <s v="61500"/>
    <s v="3010"/>
    <s v="99"/>
    <s v="Remboursements IJM"/>
    <m/>
    <m/>
    <m/>
    <m/>
    <m/>
    <m/>
    <x v="0"/>
    <x v="33"/>
    <x v="0"/>
    <x v="0"/>
    <x v="1"/>
    <x v="0"/>
    <x v="0"/>
    <x v="458"/>
    <x v="15"/>
    <x v="0"/>
    <x v="0"/>
    <x v="15"/>
    <x v="4"/>
    <x v="0"/>
    <x v="20"/>
    <m/>
    <m/>
    <m/>
  </r>
  <r>
    <n v="0"/>
    <s v="440.303"/>
    <s v="PARCS  CIMETIERE COTISATIONS AVS AC AF"/>
    <s v="CMA"/>
    <s v="44"/>
    <n v="440"/>
    <s v="303"/>
    <m/>
    <n v="2733.35"/>
    <n v="0"/>
    <n v="2733.35"/>
    <n v="2500"/>
    <n v="0"/>
    <n v="2500"/>
    <n v="1351.95"/>
    <s v="61500"/>
    <s v="3050"/>
    <s v="00"/>
    <s v="Cotisations AVS, AI, APG, AC, frais adm"/>
    <n v="2733.35"/>
    <m/>
    <m/>
    <m/>
    <m/>
    <m/>
    <x v="0"/>
    <x v="33"/>
    <x v="0"/>
    <x v="0"/>
    <x v="2"/>
    <x v="0"/>
    <x v="0"/>
    <x v="459"/>
    <x v="15"/>
    <x v="0"/>
    <x v="0"/>
    <x v="1"/>
    <x v="0"/>
    <x v="0"/>
    <x v="2"/>
    <m/>
    <m/>
    <m/>
  </r>
  <r>
    <m/>
    <s v="440.303"/>
    <s v="PARCS  CIMETIERE COTISATIONS AVS AC AF"/>
    <s v="CMA"/>
    <s v="44"/>
    <n v="440"/>
    <s v="303"/>
    <m/>
    <m/>
    <m/>
    <m/>
    <m/>
    <m/>
    <n v="0"/>
    <m/>
    <s v="61500"/>
    <s v="3054"/>
    <s v="00"/>
    <s v="Cotisations CAF"/>
    <m/>
    <m/>
    <m/>
    <m/>
    <m/>
    <m/>
    <x v="0"/>
    <x v="33"/>
    <x v="0"/>
    <x v="0"/>
    <x v="2"/>
    <x v="0"/>
    <x v="0"/>
    <x v="459"/>
    <x v="15"/>
    <x v="0"/>
    <x v="0"/>
    <x v="2"/>
    <x v="0"/>
    <x v="0"/>
    <x v="3"/>
    <m/>
    <m/>
    <m/>
  </r>
  <r>
    <n v="0"/>
    <s v="440.304"/>
    <s v="PARCS  CIMETIERE CAISSE PREVOYANCE LPP"/>
    <s v="CMA"/>
    <s v="44"/>
    <n v="440"/>
    <s v="304"/>
    <m/>
    <n v="1431.6"/>
    <n v="0"/>
    <n v="1431.6"/>
    <n v="1700"/>
    <n v="0"/>
    <n v="1700"/>
    <n v="1231.8"/>
    <s v="61500"/>
    <s v="3052"/>
    <s v="00"/>
    <s v="Cotisations patronales aux caisses de pensions"/>
    <n v="1431.6"/>
    <m/>
    <m/>
    <m/>
    <m/>
    <m/>
    <x v="0"/>
    <x v="33"/>
    <x v="0"/>
    <x v="0"/>
    <x v="8"/>
    <x v="0"/>
    <x v="0"/>
    <x v="460"/>
    <x v="15"/>
    <x v="0"/>
    <x v="0"/>
    <x v="4"/>
    <x v="0"/>
    <x v="0"/>
    <x v="5"/>
    <m/>
    <m/>
    <m/>
  </r>
  <r>
    <n v="0"/>
    <s v="440.305"/>
    <s v="PARCS  CIMETIERE ASS ACCIDENTS et MALADIE"/>
    <s v="CMA"/>
    <s v="44"/>
    <n v="440"/>
    <s v="305"/>
    <m/>
    <n v="906.9"/>
    <n v="0"/>
    <n v="906.9"/>
    <n v="850"/>
    <n v="0"/>
    <n v="850"/>
    <n v="450.1"/>
    <s v="61500"/>
    <s v="3053"/>
    <s v="00"/>
    <s v="Cotisations patronales aux assurance-accidents"/>
    <n v="906.9"/>
    <m/>
    <m/>
    <m/>
    <m/>
    <m/>
    <x v="0"/>
    <x v="33"/>
    <x v="0"/>
    <x v="0"/>
    <x v="3"/>
    <x v="0"/>
    <x v="0"/>
    <x v="461"/>
    <x v="15"/>
    <x v="0"/>
    <x v="0"/>
    <x v="3"/>
    <x v="0"/>
    <x v="0"/>
    <x v="4"/>
    <m/>
    <m/>
    <m/>
  </r>
  <r>
    <n v="0"/>
    <s v="440.306"/>
    <s v="Parcs cimetières, indemnisation remboursement frais"/>
    <s v="CMA"/>
    <s v="44"/>
    <n v="440"/>
    <s v="306"/>
    <m/>
    <n v="0"/>
    <n v="0"/>
    <n v="0"/>
    <n v="0"/>
    <n v="0"/>
    <n v="0"/>
    <n v="12.95"/>
    <s v="61500"/>
    <s v="3170"/>
    <s v="00"/>
    <s v="Remboursements de frais effectifs km"/>
    <m/>
    <m/>
    <m/>
    <m/>
    <m/>
    <m/>
    <x v="0"/>
    <x v="33"/>
    <x v="0"/>
    <x v="0"/>
    <x v="5"/>
    <x v="0"/>
    <x v="0"/>
    <x v="462"/>
    <x v="15"/>
    <x v="0"/>
    <x v="0"/>
    <x v="7"/>
    <x v="0"/>
    <x v="0"/>
    <x v="8"/>
    <m/>
    <m/>
    <m/>
  </r>
  <r>
    <m/>
    <s v="440.306"/>
    <s v="Parcs cimetières, indemnisation remboursement frais"/>
    <s v="CMA"/>
    <m/>
    <n v="440"/>
    <s v="306"/>
    <m/>
    <m/>
    <m/>
    <m/>
    <m/>
    <m/>
    <n v="0"/>
    <m/>
    <s v="61500"/>
    <s v="3049"/>
    <s v="00"/>
    <s v="Autres indemnités forfaitaires - natels"/>
    <m/>
    <m/>
    <m/>
    <m/>
    <m/>
    <m/>
    <x v="0"/>
    <x v="33"/>
    <x v="0"/>
    <x v="0"/>
    <x v="5"/>
    <x v="0"/>
    <x v="0"/>
    <x v="462"/>
    <x v="15"/>
    <x v="0"/>
    <x v="0"/>
    <x v="6"/>
    <x v="0"/>
    <x v="0"/>
    <x v="7"/>
    <m/>
    <m/>
    <m/>
  </r>
  <r>
    <m/>
    <s v="440.306"/>
    <s v="Parcs cimetières, indemnisation remboursement frais"/>
    <s v="CMA"/>
    <m/>
    <n v="440"/>
    <s v="306"/>
    <m/>
    <m/>
    <m/>
    <m/>
    <m/>
    <m/>
    <n v="0"/>
    <m/>
    <s v="61500"/>
    <s v="3170"/>
    <s v="00"/>
    <s v="Remboursements de frais effectifs km"/>
    <m/>
    <m/>
    <m/>
    <m/>
    <m/>
    <m/>
    <x v="0"/>
    <x v="33"/>
    <x v="0"/>
    <x v="0"/>
    <x v="5"/>
    <x v="0"/>
    <x v="0"/>
    <x v="462"/>
    <x v="15"/>
    <x v="0"/>
    <x v="0"/>
    <x v="7"/>
    <x v="0"/>
    <x v="0"/>
    <x v="8"/>
    <m/>
    <m/>
    <m/>
  </r>
  <r>
    <m/>
    <s v="440.306"/>
    <s v="Parcs cimetières, indemnisation remboursement frais"/>
    <s v="CMA"/>
    <m/>
    <n v="440"/>
    <s v="306"/>
    <m/>
    <m/>
    <m/>
    <m/>
    <m/>
    <m/>
    <n v="0"/>
    <m/>
    <s v="61500"/>
    <s v="3090"/>
    <s v="00"/>
    <s v="Formation et perfectionnement"/>
    <m/>
    <m/>
    <m/>
    <m/>
    <m/>
    <m/>
    <x v="0"/>
    <x v="33"/>
    <x v="0"/>
    <x v="0"/>
    <x v="5"/>
    <x v="0"/>
    <x v="0"/>
    <x v="462"/>
    <x v="15"/>
    <x v="0"/>
    <x v="0"/>
    <x v="11"/>
    <x v="0"/>
    <x v="0"/>
    <x v="14"/>
    <m/>
    <m/>
    <m/>
  </r>
  <r>
    <m/>
    <s v="440.306"/>
    <s v="Parcs cimetières, indemnisation remboursement frais"/>
    <s v="CMA"/>
    <m/>
    <n v="440"/>
    <s v="306"/>
    <m/>
    <m/>
    <m/>
    <m/>
    <m/>
    <m/>
    <n v="0"/>
    <m/>
    <s v="61500"/>
    <s v="3091"/>
    <s v="00"/>
    <s v="Recrutement"/>
    <m/>
    <m/>
    <m/>
    <m/>
    <m/>
    <m/>
    <x v="0"/>
    <x v="33"/>
    <x v="0"/>
    <x v="0"/>
    <x v="5"/>
    <x v="0"/>
    <x v="0"/>
    <x v="462"/>
    <x v="15"/>
    <x v="0"/>
    <x v="0"/>
    <x v="17"/>
    <x v="0"/>
    <x v="0"/>
    <x v="21"/>
    <m/>
    <m/>
    <m/>
  </r>
  <r>
    <m/>
    <s v="440.306"/>
    <s v="Parcs cimetières, indemnisation remboursement frais"/>
    <s v="CMA"/>
    <m/>
    <n v="440"/>
    <s v="306"/>
    <m/>
    <m/>
    <m/>
    <m/>
    <m/>
    <m/>
    <n v="0"/>
    <m/>
    <s v="61500"/>
    <s v="3099"/>
    <s v="00"/>
    <s v="Autres charges du personnel"/>
    <m/>
    <m/>
    <m/>
    <m/>
    <m/>
    <m/>
    <x v="0"/>
    <x v="33"/>
    <x v="0"/>
    <x v="0"/>
    <x v="5"/>
    <x v="0"/>
    <x v="0"/>
    <x v="462"/>
    <x v="15"/>
    <x v="0"/>
    <x v="0"/>
    <x v="5"/>
    <x v="0"/>
    <x v="0"/>
    <x v="6"/>
    <m/>
    <m/>
    <m/>
  </r>
  <r>
    <n v="0"/>
    <s v="440.311"/>
    <s v="PARCS  CIMETIERE  ACHATS MACH et MATERIEL"/>
    <s v="CMA"/>
    <s v="44"/>
    <n v="440"/>
    <s v="311"/>
    <m/>
    <n v="68.45"/>
    <n v="0"/>
    <n v="68.45"/>
    <n v="0"/>
    <n v="0"/>
    <n v="0"/>
    <n v="0"/>
    <s v="77100"/>
    <s v="3101"/>
    <s v="00"/>
    <s v="Matériel d'exploitation, petites fournitures"/>
    <n v="68.45"/>
    <m/>
    <m/>
    <m/>
    <m/>
    <m/>
    <x v="0"/>
    <x v="33"/>
    <x v="0"/>
    <x v="0"/>
    <x v="6"/>
    <x v="0"/>
    <x v="0"/>
    <x v="463"/>
    <x v="51"/>
    <x v="0"/>
    <x v="0"/>
    <x v="30"/>
    <x v="0"/>
    <x v="0"/>
    <x v="40"/>
    <m/>
    <m/>
    <m/>
  </r>
  <r>
    <n v="0"/>
    <s v="440.313"/>
    <s v="PARCS  CIMETIERE  ACHATS MARCHANDISES"/>
    <s v="CMA"/>
    <s v="44"/>
    <n v="440"/>
    <s v="313"/>
    <m/>
    <n v="0"/>
    <n v="0"/>
    <n v="0"/>
    <n v="0"/>
    <n v="0"/>
    <n v="0"/>
    <n v="0"/>
    <s v="-"/>
    <s v="-"/>
    <s v="-"/>
    <s v="-"/>
    <m/>
    <m/>
    <m/>
    <m/>
    <m/>
    <m/>
    <x v="0"/>
    <x v="33"/>
    <x v="0"/>
    <x v="0"/>
    <x v="53"/>
    <x v="0"/>
    <x v="0"/>
    <x v="464"/>
    <x v="1"/>
    <x v="0"/>
    <x v="0"/>
    <x v="9"/>
    <x v="2"/>
    <x v="0"/>
    <x v="17"/>
    <m/>
    <m/>
    <m/>
  </r>
  <r>
    <n v="0"/>
    <s v="440.314"/>
    <s v="PARCS  CIMETIERE  ENTRETIEN"/>
    <s v="CMA"/>
    <s v="44"/>
    <n v="440"/>
    <s v="314"/>
    <m/>
    <n v="2758.3"/>
    <n v="0"/>
    <n v="2758.3"/>
    <n v="25000"/>
    <n v="0"/>
    <n v="25000"/>
    <n v="5105.1499999999996"/>
    <s v="77100"/>
    <s v="3143"/>
    <s v="00"/>
    <s v="Entretien autres travaux de genie civil - creuse tombes"/>
    <n v="2758.3"/>
    <m/>
    <m/>
    <s v="Creuse tombes"/>
    <m/>
    <m/>
    <x v="0"/>
    <x v="33"/>
    <x v="0"/>
    <x v="0"/>
    <x v="25"/>
    <x v="0"/>
    <x v="0"/>
    <x v="465"/>
    <x v="51"/>
    <x v="0"/>
    <x v="0"/>
    <x v="94"/>
    <x v="0"/>
    <x v="0"/>
    <x v="271"/>
    <m/>
    <m/>
    <m/>
  </r>
  <r>
    <m/>
    <s v="440.314"/>
    <s v="PARCS  CIMETIERE  ENTRETIEN"/>
    <s v="CMA"/>
    <s v="44"/>
    <n v="440"/>
    <s v="314"/>
    <m/>
    <n v="0"/>
    <n v="0"/>
    <n v="0"/>
    <n v="0"/>
    <n v="0"/>
    <n v="0"/>
    <m/>
    <s v="75000"/>
    <s v="3132"/>
    <s v="00"/>
    <s v="Honoraires conseils externes, spécialistes (frelon, scarabée, moustique …)"/>
    <m/>
    <m/>
    <m/>
    <m/>
    <m/>
    <m/>
    <x v="0"/>
    <x v="33"/>
    <x v="0"/>
    <x v="0"/>
    <x v="25"/>
    <x v="0"/>
    <x v="0"/>
    <x v="465"/>
    <x v="52"/>
    <x v="0"/>
    <x v="0"/>
    <x v="12"/>
    <x v="0"/>
    <x v="0"/>
    <x v="272"/>
    <m/>
    <m/>
    <m/>
  </r>
  <r>
    <n v="0"/>
    <s v="440.331"/>
    <s v="PARCS  CIMETIERE  AMORTISSEMENT P ADM"/>
    <s v="CMA"/>
    <s v="44"/>
    <n v="440"/>
    <s v="331"/>
    <m/>
    <n v="0"/>
    <n v="0"/>
    <n v="0"/>
    <n v="0"/>
    <n v="0"/>
    <n v="0"/>
    <n v="0"/>
    <s v="-"/>
    <s v="-"/>
    <s v="-"/>
    <s v="-"/>
    <m/>
    <m/>
    <m/>
    <m/>
    <m/>
    <m/>
    <x v="0"/>
    <x v="33"/>
    <x v="0"/>
    <x v="0"/>
    <x v="31"/>
    <x v="0"/>
    <x v="0"/>
    <x v="466"/>
    <x v="1"/>
    <x v="0"/>
    <x v="0"/>
    <x v="9"/>
    <x v="2"/>
    <x v="0"/>
    <x v="17"/>
    <m/>
    <m/>
    <m/>
  </r>
  <r>
    <n v="0"/>
    <s v="440.332"/>
    <s v="PARCS  CIMETIERE  AMORT SUPPL P ADM"/>
    <s v="CMA"/>
    <s v="44"/>
    <n v="440"/>
    <s v="332"/>
    <m/>
    <n v="0"/>
    <n v="0"/>
    <n v="0"/>
    <n v="0"/>
    <n v="0"/>
    <n v="0"/>
    <n v="0"/>
    <s v="-"/>
    <s v="-"/>
    <s v="-"/>
    <s v="-"/>
    <m/>
    <m/>
    <m/>
    <m/>
    <m/>
    <m/>
    <x v="0"/>
    <x v="33"/>
    <x v="0"/>
    <x v="0"/>
    <x v="20"/>
    <x v="0"/>
    <x v="0"/>
    <x v="467"/>
    <x v="1"/>
    <x v="0"/>
    <x v="0"/>
    <x v="9"/>
    <x v="2"/>
    <x v="0"/>
    <x v="17"/>
    <m/>
    <m/>
    <m/>
  </r>
  <r>
    <n v="0"/>
    <s v="440.352"/>
    <s v="PARCS  CIMETIERE  CENTRE FUNERAIRE"/>
    <s v="CMA"/>
    <s v="44"/>
    <n v="440"/>
    <s v="352"/>
    <m/>
    <n v="3731.15"/>
    <n v="0"/>
    <n v="3731.15"/>
    <n v="4000"/>
    <n v="0"/>
    <n v="4000"/>
    <n v="0"/>
    <s v="77100"/>
    <s v="3612"/>
    <s v="00"/>
    <s v="Parts aux communes et assoc intercomm - Ville de Nyon - centre funéraire"/>
    <n v="3731.15"/>
    <m/>
    <m/>
    <s v="VILLE DE NYON, centre funéraire participation annuelle"/>
    <m/>
    <m/>
    <x v="0"/>
    <x v="33"/>
    <x v="0"/>
    <x v="0"/>
    <x v="26"/>
    <x v="0"/>
    <x v="0"/>
    <x v="468"/>
    <x v="51"/>
    <x v="0"/>
    <x v="0"/>
    <x v="13"/>
    <x v="0"/>
    <x v="0"/>
    <x v="273"/>
    <m/>
    <m/>
    <m/>
  </r>
  <r>
    <n v="0"/>
    <s v="440.390.1"/>
    <s v="PARCS  CIMETIERE  IMPUTATIONS INT SALAIRES"/>
    <s v="CMA"/>
    <s v="44"/>
    <n v="440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33"/>
    <x v="0"/>
    <x v="0"/>
    <x v="7"/>
    <x v="1"/>
    <x v="0"/>
    <x v="469"/>
    <x v="1"/>
    <x v="0"/>
    <x v="0"/>
    <x v="9"/>
    <x v="2"/>
    <x v="0"/>
    <x v="17"/>
    <m/>
    <m/>
    <m/>
  </r>
  <r>
    <n v="0"/>
    <s v="440.436"/>
    <s v="PARCS  CIMETIERE  PART TIERS"/>
    <s v="CMA"/>
    <s v="44"/>
    <n v="440"/>
    <s v="436"/>
    <m/>
    <n v="0"/>
    <n v="0"/>
    <n v="0"/>
    <n v="0"/>
    <n v="0"/>
    <n v="0"/>
    <n v="0"/>
    <s v="-"/>
    <s v="-"/>
    <s v="-"/>
    <s v="-"/>
    <m/>
    <m/>
    <m/>
    <m/>
    <m/>
    <m/>
    <x v="0"/>
    <x v="33"/>
    <x v="0"/>
    <x v="0"/>
    <x v="13"/>
    <x v="0"/>
    <x v="0"/>
    <x v="470"/>
    <x v="1"/>
    <x v="0"/>
    <x v="0"/>
    <x v="9"/>
    <x v="2"/>
    <x v="0"/>
    <x v="17"/>
    <m/>
    <m/>
    <m/>
  </r>
  <r>
    <n v="0"/>
    <s v="440.451"/>
    <s v="PARCS CIMETIERE, Subventions cantonales"/>
    <s v="CMA"/>
    <s v="44"/>
    <n v="440"/>
    <s v="451"/>
    <m/>
    <n v="0"/>
    <n v="0"/>
    <n v="0"/>
    <n v="0"/>
    <n v="0"/>
    <n v="0"/>
    <n v="-4855"/>
    <s v="77100"/>
    <s v="4631"/>
    <s v="00"/>
    <s v="Subvention des cantons et concordats"/>
    <m/>
    <m/>
    <m/>
    <m/>
    <m/>
    <m/>
    <x v="0"/>
    <x v="33"/>
    <x v="0"/>
    <x v="0"/>
    <x v="32"/>
    <x v="0"/>
    <x v="0"/>
    <x v="471"/>
    <x v="51"/>
    <x v="0"/>
    <x v="0"/>
    <x v="43"/>
    <x v="0"/>
    <x v="0"/>
    <x v="56"/>
    <m/>
    <m/>
    <m/>
  </r>
  <r>
    <n v="0"/>
    <s v="440.465"/>
    <s v="PARCS  CIMETIERE  CONCESSIONS, Jardin souvenir"/>
    <s v="CMA"/>
    <s v="44"/>
    <n v="440"/>
    <s v="465"/>
    <m/>
    <n v="0"/>
    <n v="-800"/>
    <n v="-800"/>
    <n v="0"/>
    <n v="0"/>
    <n v="0"/>
    <n v="-1600"/>
    <s v="77100"/>
    <s v="4120"/>
    <s v="00"/>
    <s v="Concessions - Jardin du souvenir"/>
    <n v="-800"/>
    <m/>
    <m/>
    <s v="colombarium"/>
    <m/>
    <m/>
    <x v="0"/>
    <x v="33"/>
    <x v="0"/>
    <x v="0"/>
    <x v="52"/>
    <x v="0"/>
    <x v="0"/>
    <x v="472"/>
    <x v="51"/>
    <x v="0"/>
    <x v="0"/>
    <x v="65"/>
    <x v="0"/>
    <x v="0"/>
    <x v="274"/>
    <m/>
    <m/>
    <m/>
  </r>
  <r>
    <n v="0"/>
    <s v="440.480"/>
    <s v="PARCS  CIMETIERE  PRELEVEMENT RESERVE"/>
    <s v="CMA"/>
    <s v="44"/>
    <n v="440"/>
    <s v="480"/>
    <m/>
    <n v="0"/>
    <n v="0"/>
    <n v="0"/>
    <n v="0"/>
    <n v="0"/>
    <n v="0"/>
    <n v="0"/>
    <s v="-"/>
    <s v="-"/>
    <s v="-"/>
    <s v="-"/>
    <m/>
    <m/>
    <m/>
    <m/>
    <m/>
    <m/>
    <x v="0"/>
    <x v="33"/>
    <x v="0"/>
    <x v="0"/>
    <x v="14"/>
    <x v="0"/>
    <x v="0"/>
    <x v="473"/>
    <x v="1"/>
    <x v="0"/>
    <x v="0"/>
    <x v="9"/>
    <x v="2"/>
    <x v="0"/>
    <x v="17"/>
    <m/>
    <m/>
    <m/>
  </r>
  <r>
    <n v="0"/>
    <s v="450.318.1"/>
    <s v="ORDURES  INFORMATION et ACTIONS SPECIFIQUES (inactif)"/>
    <s v="CMA"/>
    <s v="450"/>
    <n v="450"/>
    <s v="318"/>
    <n v="1"/>
    <n v="0"/>
    <n v="0"/>
    <n v="0"/>
    <n v="0"/>
    <n v="0"/>
    <n v="0"/>
    <n v="0"/>
    <s v="-"/>
    <s v="-"/>
    <s v="-"/>
    <s v="-"/>
    <m/>
    <m/>
    <m/>
    <m/>
    <m/>
    <m/>
    <x v="0"/>
    <x v="34"/>
    <x v="0"/>
    <x v="0"/>
    <x v="10"/>
    <x v="1"/>
    <x v="0"/>
    <x v="474"/>
    <x v="1"/>
    <x v="0"/>
    <x v="0"/>
    <x v="9"/>
    <x v="2"/>
    <x v="0"/>
    <x v="17"/>
    <m/>
    <m/>
    <m/>
  </r>
  <r>
    <n v="0"/>
    <s v="450.318.2"/>
    <s v="ORDURES Déchets Incinérables ménager (sacs taxés)"/>
    <s v="CMA"/>
    <s v="450"/>
    <n v="450"/>
    <s v="318"/>
    <n v="2"/>
    <n v="27842.959999999999"/>
    <n v="0"/>
    <n v="27842.959999999999"/>
    <n v="100000"/>
    <n v="0"/>
    <n v="100000"/>
    <n v="7738.21"/>
    <s v="73000"/>
    <n v="3130"/>
    <s v="10"/>
    <s v="Transport"/>
    <n v="13921"/>
    <m/>
    <m/>
    <m/>
    <m/>
    <m/>
    <x v="0"/>
    <x v="34"/>
    <x v="0"/>
    <x v="0"/>
    <x v="10"/>
    <x v="2"/>
    <x v="0"/>
    <x v="475"/>
    <x v="53"/>
    <x v="0"/>
    <x v="0"/>
    <x v="16"/>
    <x v="11"/>
    <x v="0"/>
    <x v="275"/>
    <m/>
    <m/>
    <m/>
  </r>
  <r>
    <m/>
    <s v="450.318.2"/>
    <s v="ORDURES Déchets Incinérables ménager (sacs taxés)"/>
    <s v="CMA"/>
    <s v="450"/>
    <n v="450"/>
    <s v="318"/>
    <n v="2"/>
    <n v="0"/>
    <n v="0"/>
    <n v="0"/>
    <n v="0"/>
    <n v="0"/>
    <m/>
    <m/>
    <s v="73000"/>
    <n v="3130"/>
    <s v="20"/>
    <s v="Incinération"/>
    <n v="13921"/>
    <m/>
    <m/>
    <s v="SADEC"/>
    <m/>
    <m/>
    <x v="0"/>
    <x v="34"/>
    <x v="0"/>
    <x v="0"/>
    <x v="10"/>
    <x v="2"/>
    <x v="0"/>
    <x v="475"/>
    <x v="53"/>
    <x v="0"/>
    <x v="0"/>
    <x v="16"/>
    <x v="12"/>
    <x v="0"/>
    <x v="276"/>
    <m/>
    <m/>
    <m/>
  </r>
  <r>
    <m/>
    <s v="450.318.2"/>
    <s v="ORDURES Déchets Incinérables ménager (sacs taxés)"/>
    <s v="CMA"/>
    <s v="450"/>
    <n v="450"/>
    <s v="318"/>
    <n v="2"/>
    <n v="0"/>
    <n v="0"/>
    <n v="0"/>
    <n v="0"/>
    <n v="0"/>
    <n v="0"/>
    <m/>
    <s v="73000"/>
    <s v="3612"/>
    <s v="00"/>
    <s v="Parts aux communes et assoc intercomm - Huiles (Prangins)"/>
    <m/>
    <m/>
    <m/>
    <s v="Déchêts spéciaux - Prangins"/>
    <m/>
    <m/>
    <x v="0"/>
    <x v="34"/>
    <x v="0"/>
    <x v="0"/>
    <x v="10"/>
    <x v="2"/>
    <x v="0"/>
    <x v="475"/>
    <x v="53"/>
    <x v="0"/>
    <x v="0"/>
    <x v="13"/>
    <x v="0"/>
    <x v="0"/>
    <x v="277"/>
    <m/>
    <m/>
    <m/>
  </r>
  <r>
    <n v="0"/>
    <s v="452.318"/>
    <s v="ORDURES Déchets communaux  (sacs non-taxés, cimetiere,)"/>
    <s v="CMA"/>
    <s v="452"/>
    <n v="452"/>
    <s v="318"/>
    <m/>
    <n v="4678.95"/>
    <n v="0"/>
    <n v="4678.95"/>
    <n v="500"/>
    <n v="0"/>
    <n v="500"/>
    <n v="1172.81"/>
    <s v="73000"/>
    <n v="3130"/>
    <s v="10"/>
    <s v="Transport"/>
    <n v="2339.4749999999999"/>
    <m/>
    <m/>
    <m/>
    <m/>
    <m/>
    <x v="0"/>
    <x v="35"/>
    <x v="0"/>
    <x v="0"/>
    <x v="10"/>
    <x v="0"/>
    <x v="0"/>
    <x v="476"/>
    <x v="53"/>
    <x v="0"/>
    <x v="0"/>
    <x v="16"/>
    <x v="11"/>
    <x v="0"/>
    <x v="275"/>
    <m/>
    <m/>
    <m/>
  </r>
  <r>
    <m/>
    <s v="452.318"/>
    <s v="ORDURES Déchets communaux  (sacs non-taxés, cimetiere,)"/>
    <s v="CMA"/>
    <s v="452"/>
    <n v="452"/>
    <s v="318"/>
    <m/>
    <m/>
    <m/>
    <m/>
    <m/>
    <m/>
    <m/>
    <m/>
    <s v="73000"/>
    <n v="3130"/>
    <s v="20"/>
    <s v="Incinération"/>
    <n v="2339.4749999999999"/>
    <m/>
    <m/>
    <m/>
    <m/>
    <m/>
    <x v="0"/>
    <x v="35"/>
    <x v="0"/>
    <x v="0"/>
    <x v="10"/>
    <x v="0"/>
    <x v="0"/>
    <x v="476"/>
    <x v="53"/>
    <x v="0"/>
    <x v="0"/>
    <x v="16"/>
    <x v="12"/>
    <x v="0"/>
    <x v="276"/>
    <m/>
    <m/>
    <m/>
  </r>
  <r>
    <m/>
    <s v="452.318"/>
    <s v="ORDURES Déchets communaux  (sacs non-taxés, cimetiere,)"/>
    <s v="CMA"/>
    <s v="452"/>
    <n v="452"/>
    <s v="318"/>
    <m/>
    <m/>
    <m/>
    <m/>
    <m/>
    <m/>
    <m/>
    <m/>
    <s v="73000"/>
    <s v="3612"/>
    <s v="00"/>
    <s v="Parts aux communes et assoc intercomm - Huiles (Prangins)"/>
    <m/>
    <m/>
    <m/>
    <m/>
    <m/>
    <m/>
    <x v="0"/>
    <x v="35"/>
    <x v="0"/>
    <x v="0"/>
    <x v="10"/>
    <x v="0"/>
    <x v="0"/>
    <x v="476"/>
    <x v="53"/>
    <x v="0"/>
    <x v="0"/>
    <x v="13"/>
    <x v="0"/>
    <x v="0"/>
    <x v="277"/>
    <m/>
    <m/>
    <m/>
  </r>
  <r>
    <n v="0"/>
    <s v="451.318"/>
    <s v="ORDURES Déchets organiques"/>
    <s v="CMA"/>
    <s v="451"/>
    <n v="451"/>
    <s v="318"/>
    <m/>
    <n v="87971.57"/>
    <n v="0"/>
    <n v="87971.57"/>
    <n v="36000"/>
    <n v="0"/>
    <n v="36000"/>
    <n v="30392.240000000002"/>
    <s v="73000"/>
    <n v="3130"/>
    <s v="10"/>
    <s v="Transport"/>
    <n v="43985.785000000003"/>
    <m/>
    <m/>
    <m/>
    <m/>
    <m/>
    <x v="0"/>
    <x v="36"/>
    <x v="0"/>
    <x v="0"/>
    <x v="10"/>
    <x v="0"/>
    <x v="0"/>
    <x v="477"/>
    <x v="53"/>
    <x v="0"/>
    <x v="0"/>
    <x v="16"/>
    <x v="11"/>
    <x v="0"/>
    <x v="275"/>
    <m/>
    <m/>
    <m/>
  </r>
  <r>
    <m/>
    <s v="451.318"/>
    <s v="ORDURES Déchets organiques"/>
    <s v="CMA"/>
    <s v="451"/>
    <n v="451"/>
    <s v="318"/>
    <m/>
    <m/>
    <m/>
    <m/>
    <m/>
    <m/>
    <m/>
    <m/>
    <s v="73000"/>
    <n v="3130"/>
    <s v="20"/>
    <s v="Incinération"/>
    <n v="43985.785000000003"/>
    <m/>
    <m/>
    <m/>
    <m/>
    <m/>
    <x v="0"/>
    <x v="36"/>
    <x v="0"/>
    <x v="0"/>
    <x v="10"/>
    <x v="0"/>
    <x v="0"/>
    <x v="477"/>
    <x v="53"/>
    <x v="0"/>
    <x v="0"/>
    <x v="16"/>
    <x v="12"/>
    <x v="0"/>
    <x v="276"/>
    <m/>
    <m/>
    <m/>
  </r>
  <r>
    <m/>
    <s v="451.318"/>
    <s v="ORDURES Déchets organiques"/>
    <s v="CMA"/>
    <s v="451"/>
    <n v="451"/>
    <s v="318"/>
    <m/>
    <m/>
    <m/>
    <m/>
    <m/>
    <m/>
    <m/>
    <m/>
    <s v="73000"/>
    <s v="3612"/>
    <s v="00"/>
    <s v="Parts aux communes et assoc intercomm - Huiles (Prangins)"/>
    <m/>
    <m/>
    <m/>
    <m/>
    <m/>
    <m/>
    <x v="0"/>
    <x v="36"/>
    <x v="0"/>
    <x v="0"/>
    <x v="10"/>
    <x v="0"/>
    <x v="0"/>
    <x v="477"/>
    <x v="53"/>
    <x v="0"/>
    <x v="0"/>
    <x v="13"/>
    <x v="0"/>
    <x v="0"/>
    <x v="277"/>
    <m/>
    <m/>
    <m/>
  </r>
  <r>
    <n v="0"/>
    <s v="451.318.1"/>
    <s v="ORDURES Centre de Tri - La Caisserie"/>
    <s v="CMA"/>
    <s v="451"/>
    <n v="451"/>
    <s v="318"/>
    <n v="1"/>
    <n v="74848.36"/>
    <n v="0"/>
    <n v="74848.36"/>
    <n v="75000"/>
    <n v="0"/>
    <n v="75000"/>
    <n v="33788.92"/>
    <s v="73000"/>
    <n v="3130"/>
    <s v="10"/>
    <s v="Transport"/>
    <n v="37424.18"/>
    <m/>
    <m/>
    <m/>
    <m/>
    <m/>
    <x v="0"/>
    <x v="36"/>
    <x v="0"/>
    <x v="0"/>
    <x v="10"/>
    <x v="1"/>
    <x v="0"/>
    <x v="478"/>
    <x v="53"/>
    <x v="0"/>
    <x v="0"/>
    <x v="16"/>
    <x v="11"/>
    <x v="0"/>
    <x v="275"/>
    <m/>
    <m/>
    <m/>
  </r>
  <r>
    <m/>
    <s v="451.318.1"/>
    <s v="ORDURES Centre de Tri - La Caisserie"/>
    <s v="CMA"/>
    <s v="451"/>
    <n v="451"/>
    <s v="318"/>
    <n v="1"/>
    <m/>
    <m/>
    <m/>
    <m/>
    <m/>
    <m/>
    <m/>
    <s v="73000"/>
    <n v="3130"/>
    <s v="20"/>
    <s v="Incinération"/>
    <n v="37424.18"/>
    <m/>
    <m/>
    <m/>
    <m/>
    <m/>
    <x v="0"/>
    <x v="36"/>
    <x v="0"/>
    <x v="0"/>
    <x v="10"/>
    <x v="1"/>
    <x v="0"/>
    <x v="478"/>
    <x v="53"/>
    <x v="0"/>
    <x v="0"/>
    <x v="16"/>
    <x v="12"/>
    <x v="0"/>
    <x v="276"/>
    <m/>
    <m/>
    <m/>
  </r>
  <r>
    <m/>
    <s v="451.318.1"/>
    <s v="ORDURES Centre de Tri - La Caisserie"/>
    <s v="CMA"/>
    <s v="451"/>
    <n v="451"/>
    <s v="318"/>
    <n v="1"/>
    <m/>
    <m/>
    <m/>
    <m/>
    <m/>
    <m/>
    <m/>
    <s v="73000"/>
    <s v="3612"/>
    <s v="00"/>
    <s v="Parts aux communes et assoc intercomm - Huiles (Prangins)"/>
    <m/>
    <m/>
    <m/>
    <m/>
    <m/>
    <m/>
    <x v="0"/>
    <x v="36"/>
    <x v="0"/>
    <x v="0"/>
    <x v="10"/>
    <x v="1"/>
    <x v="0"/>
    <x v="478"/>
    <x v="53"/>
    <x v="0"/>
    <x v="0"/>
    <x v="13"/>
    <x v="0"/>
    <x v="0"/>
    <x v="277"/>
    <m/>
    <m/>
    <m/>
  </r>
  <r>
    <n v="0"/>
    <s v="451.318.2"/>
    <s v="ORDURES Eco-point Sus-Châtel"/>
    <s v="CMA"/>
    <s v="451"/>
    <n v="451"/>
    <s v="318"/>
    <n v="2"/>
    <n v="13517.88"/>
    <n v="0"/>
    <n v="13517.88"/>
    <n v="20000"/>
    <n v="0"/>
    <n v="20000"/>
    <n v="6249.29"/>
    <s v="73000"/>
    <n v="3130"/>
    <s v="10"/>
    <s v="Transport"/>
    <n v="6758.94"/>
    <m/>
    <m/>
    <m/>
    <m/>
    <m/>
    <x v="0"/>
    <x v="36"/>
    <x v="0"/>
    <x v="0"/>
    <x v="10"/>
    <x v="2"/>
    <x v="0"/>
    <x v="479"/>
    <x v="53"/>
    <x v="0"/>
    <x v="0"/>
    <x v="16"/>
    <x v="11"/>
    <x v="0"/>
    <x v="275"/>
    <m/>
    <m/>
    <m/>
  </r>
  <r>
    <m/>
    <s v="451.318.2"/>
    <s v="ORDURES Eco-point Sus-Châtel"/>
    <s v="CMA"/>
    <s v="451"/>
    <n v="451"/>
    <s v="318"/>
    <n v="2"/>
    <m/>
    <m/>
    <m/>
    <m/>
    <m/>
    <m/>
    <m/>
    <s v="73000"/>
    <n v="3130"/>
    <s v="20"/>
    <s v="Incinération"/>
    <n v="6758.94"/>
    <m/>
    <m/>
    <m/>
    <m/>
    <m/>
    <x v="0"/>
    <x v="36"/>
    <x v="0"/>
    <x v="0"/>
    <x v="10"/>
    <x v="2"/>
    <x v="0"/>
    <x v="479"/>
    <x v="53"/>
    <x v="0"/>
    <x v="0"/>
    <x v="16"/>
    <x v="12"/>
    <x v="0"/>
    <x v="276"/>
    <m/>
    <m/>
    <m/>
  </r>
  <r>
    <m/>
    <s v="451.318.2"/>
    <s v="ORDURES Eco-point Sus-Châtel"/>
    <s v="CMA"/>
    <s v="451"/>
    <n v="451"/>
    <s v="318"/>
    <n v="2"/>
    <m/>
    <m/>
    <m/>
    <m/>
    <m/>
    <m/>
    <m/>
    <s v="73000"/>
    <s v="3612"/>
    <s v="00"/>
    <s v="Parts aux communes et assoc intercomm - Huiles (Prangins)"/>
    <m/>
    <m/>
    <m/>
    <m/>
    <m/>
    <m/>
    <x v="0"/>
    <x v="36"/>
    <x v="0"/>
    <x v="0"/>
    <x v="10"/>
    <x v="2"/>
    <x v="0"/>
    <x v="479"/>
    <x v="53"/>
    <x v="0"/>
    <x v="0"/>
    <x v="13"/>
    <x v="0"/>
    <x v="0"/>
    <x v="277"/>
    <m/>
    <m/>
    <m/>
  </r>
  <r>
    <n v="0"/>
    <s v="451.318.3"/>
    <s v="ORDURES Eco-point La Cézille"/>
    <s v="CMA"/>
    <s v="451"/>
    <n v="451"/>
    <s v="318"/>
    <n v="3"/>
    <n v="3041.57"/>
    <n v="0"/>
    <n v="3041.57"/>
    <n v="4000"/>
    <n v="0"/>
    <n v="4000"/>
    <n v="1287.3399999999999"/>
    <s v="73000"/>
    <n v="3130"/>
    <s v="10"/>
    <s v="Transport"/>
    <n v="1520.7850000000001"/>
    <m/>
    <m/>
    <m/>
    <m/>
    <m/>
    <x v="0"/>
    <x v="36"/>
    <x v="0"/>
    <x v="0"/>
    <x v="10"/>
    <x v="3"/>
    <x v="0"/>
    <x v="480"/>
    <x v="53"/>
    <x v="0"/>
    <x v="0"/>
    <x v="16"/>
    <x v="11"/>
    <x v="0"/>
    <x v="275"/>
    <m/>
    <m/>
    <m/>
  </r>
  <r>
    <m/>
    <s v="451.318.3"/>
    <s v="ORDURES Eco-point La Cézille"/>
    <s v="CMA"/>
    <s v="451"/>
    <n v="451"/>
    <s v="318"/>
    <n v="3"/>
    <m/>
    <m/>
    <m/>
    <m/>
    <m/>
    <m/>
    <m/>
    <s v="73000"/>
    <n v="3130"/>
    <s v="20"/>
    <s v="Incinération"/>
    <n v="1520.7850000000001"/>
    <m/>
    <m/>
    <m/>
    <m/>
    <m/>
    <x v="0"/>
    <x v="36"/>
    <x v="0"/>
    <x v="0"/>
    <x v="10"/>
    <x v="3"/>
    <x v="0"/>
    <x v="480"/>
    <x v="53"/>
    <x v="0"/>
    <x v="0"/>
    <x v="16"/>
    <x v="12"/>
    <x v="0"/>
    <x v="276"/>
    <m/>
    <m/>
    <m/>
  </r>
  <r>
    <m/>
    <s v="451.318.3"/>
    <s v="ORDURES Eco-point La Cézille"/>
    <s v="CMA"/>
    <s v="451"/>
    <n v="451"/>
    <s v="318"/>
    <n v="3"/>
    <m/>
    <m/>
    <m/>
    <m/>
    <m/>
    <m/>
    <m/>
    <s v="73000"/>
    <s v="3612"/>
    <s v="00"/>
    <s v="Parts aux communes et assoc intercomm - Huiles (Prangins)"/>
    <m/>
    <m/>
    <m/>
    <m/>
    <m/>
    <m/>
    <x v="0"/>
    <x v="36"/>
    <x v="0"/>
    <x v="0"/>
    <x v="10"/>
    <x v="3"/>
    <x v="0"/>
    <x v="480"/>
    <x v="53"/>
    <x v="0"/>
    <x v="0"/>
    <x v="13"/>
    <x v="0"/>
    <x v="0"/>
    <x v="277"/>
    <m/>
    <m/>
    <m/>
  </r>
  <r>
    <n v="0"/>
    <s v="450.318.3"/>
    <s v="ORDURES Déchets Carnés"/>
    <s v="CMA"/>
    <s v="450"/>
    <n v="450"/>
    <s v="318"/>
    <n v="3"/>
    <n v="0"/>
    <n v="0"/>
    <n v="0"/>
    <n v="0"/>
    <n v="0"/>
    <n v="0"/>
    <n v="0"/>
    <s v="-"/>
    <s v="-"/>
    <s v="-"/>
    <s v="-"/>
    <m/>
    <m/>
    <m/>
    <m/>
    <m/>
    <m/>
    <x v="0"/>
    <x v="34"/>
    <x v="0"/>
    <x v="0"/>
    <x v="10"/>
    <x v="3"/>
    <x v="0"/>
    <x v="481"/>
    <x v="1"/>
    <x v="0"/>
    <x v="0"/>
    <x v="9"/>
    <x v="2"/>
    <x v="0"/>
    <x v="17"/>
    <m/>
    <m/>
    <m/>
  </r>
  <r>
    <n v="0"/>
    <s v="450.381"/>
    <s v="DECHETS  ATTRIB FINANC SPECIAUX (9280.5)"/>
    <s v="CMA"/>
    <s v="450"/>
    <n v="450"/>
    <s v="381"/>
    <m/>
    <n v="61507.63"/>
    <n v="0"/>
    <n v="61507.63"/>
    <n v="10000"/>
    <n v="0"/>
    <n v="10000"/>
    <n v="0"/>
    <s v="73000"/>
    <s v="4510"/>
    <s v="00"/>
    <s v="Prélèvements aux fonds et financement spéciaux"/>
    <n v="61507.63"/>
    <m/>
    <m/>
    <m/>
    <m/>
    <m/>
    <x v="0"/>
    <x v="34"/>
    <x v="0"/>
    <x v="0"/>
    <x v="27"/>
    <x v="0"/>
    <x v="0"/>
    <x v="482"/>
    <x v="53"/>
    <x v="0"/>
    <x v="0"/>
    <x v="97"/>
    <x v="0"/>
    <x v="0"/>
    <x v="278"/>
    <m/>
    <m/>
    <m/>
  </r>
  <r>
    <n v="0"/>
    <s v="450.435"/>
    <s v="ORDURES  RETROCESSION SADEC (taxe au sac)"/>
    <s v="CMA"/>
    <s v="450"/>
    <n v="450"/>
    <s v="435"/>
    <m/>
    <n v="0"/>
    <n v="-89350.59"/>
    <n v="-89350.59"/>
    <n v="0"/>
    <n v="-110000"/>
    <n v="-110000"/>
    <n v="-12825.62"/>
    <s v="73000"/>
    <s v="4260"/>
    <s v="00"/>
    <s v="Remboursements et participations de tiers - retro SADEC"/>
    <n v="-89350.59"/>
    <m/>
    <m/>
    <s v="Retro SADEC"/>
    <m/>
    <m/>
    <x v="0"/>
    <x v="34"/>
    <x v="0"/>
    <x v="0"/>
    <x v="12"/>
    <x v="0"/>
    <x v="0"/>
    <x v="483"/>
    <x v="53"/>
    <x v="0"/>
    <x v="0"/>
    <x v="46"/>
    <x v="0"/>
    <x v="0"/>
    <x v="279"/>
    <m/>
    <m/>
    <m/>
  </r>
  <r>
    <n v="0"/>
    <s v="450.436.3"/>
    <s v="ORDURES  PART TIERS DECHETS CARNES (inactif)"/>
    <s v="CMA"/>
    <s v="450"/>
    <n v="450"/>
    <s v="436"/>
    <n v="3"/>
    <n v="0"/>
    <n v="0"/>
    <n v="0"/>
    <n v="0"/>
    <n v="0"/>
    <n v="0"/>
    <n v="0"/>
    <s v="-"/>
    <s v="-"/>
    <s v="-"/>
    <s v="-"/>
    <m/>
    <m/>
    <m/>
    <m/>
    <m/>
    <m/>
    <x v="0"/>
    <x v="34"/>
    <x v="0"/>
    <x v="0"/>
    <x v="13"/>
    <x v="3"/>
    <x v="0"/>
    <x v="484"/>
    <x v="1"/>
    <x v="0"/>
    <x v="0"/>
    <x v="9"/>
    <x v="2"/>
    <x v="0"/>
    <x v="17"/>
    <m/>
    <m/>
    <m/>
  </r>
  <r>
    <n v="0"/>
    <s v="450.481"/>
    <s v="DECHETS  PRELEV FINANC SPECIAUX (9280.5)"/>
    <s v="CMA"/>
    <s v="450"/>
    <n v="450"/>
    <s v="481"/>
    <m/>
    <n v="0"/>
    <n v="0"/>
    <n v="0"/>
    <n v="0"/>
    <n v="0"/>
    <n v="0"/>
    <n v="0"/>
    <s v="-"/>
    <s v="-"/>
    <s v="-"/>
    <s v="-"/>
    <m/>
    <m/>
    <m/>
    <m/>
    <m/>
    <m/>
    <x v="0"/>
    <x v="34"/>
    <x v="0"/>
    <x v="0"/>
    <x v="29"/>
    <x v="0"/>
    <x v="0"/>
    <x v="485"/>
    <x v="1"/>
    <x v="0"/>
    <x v="0"/>
    <x v="9"/>
    <x v="2"/>
    <x v="0"/>
    <x v="17"/>
    <m/>
    <m/>
    <m/>
  </r>
  <r>
    <n v="0"/>
    <s v="451.301"/>
    <s v="ORDURES Salaires"/>
    <s v="CMA"/>
    <s v="451"/>
    <n v="451"/>
    <s v="301"/>
    <m/>
    <n v="64241.95"/>
    <n v="0"/>
    <n v="64241.95"/>
    <n v="63000"/>
    <n v="0"/>
    <n v="63000"/>
    <n v="34255.4"/>
    <s v="73000"/>
    <s v="3010"/>
    <s v="00"/>
    <s v="Salaire du personnel administratif"/>
    <n v="64241.95"/>
    <m/>
    <m/>
    <s v="Bruger, Bindin, Bariatti"/>
    <m/>
    <m/>
    <x v="0"/>
    <x v="36"/>
    <x v="0"/>
    <x v="0"/>
    <x v="1"/>
    <x v="0"/>
    <x v="0"/>
    <x v="486"/>
    <x v="53"/>
    <x v="0"/>
    <x v="0"/>
    <x v="15"/>
    <x v="0"/>
    <x v="0"/>
    <x v="19"/>
    <m/>
    <m/>
    <m/>
  </r>
  <r>
    <m/>
    <s v="451.301"/>
    <s v="ORDURES Salaires"/>
    <s v="CMA"/>
    <s v="451"/>
    <n v="451"/>
    <s v="301"/>
    <m/>
    <m/>
    <m/>
    <m/>
    <m/>
    <m/>
    <n v="0"/>
    <m/>
    <s v="73000"/>
    <s v="3010"/>
    <s v="99"/>
    <s v="Remboursements IJM"/>
    <m/>
    <m/>
    <m/>
    <m/>
    <m/>
    <m/>
    <x v="0"/>
    <x v="36"/>
    <x v="0"/>
    <x v="0"/>
    <x v="1"/>
    <x v="0"/>
    <x v="0"/>
    <x v="486"/>
    <x v="53"/>
    <x v="0"/>
    <x v="0"/>
    <x v="15"/>
    <x v="4"/>
    <x v="0"/>
    <x v="20"/>
    <m/>
    <m/>
    <m/>
  </r>
  <r>
    <n v="0"/>
    <s v="451.303"/>
    <s v="ORDURES AVS / AC / AF"/>
    <s v="CMA"/>
    <s v="451"/>
    <n v="451"/>
    <s v="303"/>
    <m/>
    <n v="4376.1000000000004"/>
    <n v="0"/>
    <n v="4376.1000000000004"/>
    <n v="5100"/>
    <n v="0"/>
    <n v="5100"/>
    <n v="2479.5500000000002"/>
    <s v="73000"/>
    <s v="3050"/>
    <s v="00"/>
    <s v="Cotisations AVS, AI, APG, AC, frais adm"/>
    <n v="4376.1000000000004"/>
    <m/>
    <m/>
    <m/>
    <m/>
    <m/>
    <x v="0"/>
    <x v="36"/>
    <x v="0"/>
    <x v="0"/>
    <x v="2"/>
    <x v="0"/>
    <x v="0"/>
    <x v="487"/>
    <x v="53"/>
    <x v="0"/>
    <x v="0"/>
    <x v="1"/>
    <x v="0"/>
    <x v="0"/>
    <x v="2"/>
    <m/>
    <m/>
    <m/>
  </r>
  <r>
    <m/>
    <s v="451.303"/>
    <s v="ORDURES AVS / AC / AF"/>
    <s v="CMA"/>
    <s v="451"/>
    <n v="451"/>
    <s v="303"/>
    <m/>
    <m/>
    <m/>
    <m/>
    <m/>
    <m/>
    <n v="0"/>
    <m/>
    <s v="73000"/>
    <s v="3054"/>
    <s v="00"/>
    <s v="Cotisations CAF"/>
    <m/>
    <m/>
    <m/>
    <m/>
    <m/>
    <m/>
    <x v="0"/>
    <x v="36"/>
    <x v="0"/>
    <x v="0"/>
    <x v="2"/>
    <x v="0"/>
    <x v="0"/>
    <x v="487"/>
    <x v="53"/>
    <x v="0"/>
    <x v="0"/>
    <x v="2"/>
    <x v="0"/>
    <x v="0"/>
    <x v="3"/>
    <m/>
    <m/>
    <m/>
  </r>
  <r>
    <n v="0"/>
    <s v="451.304"/>
    <s v="ORDURES  CAISSE PREVOYANCE LPP"/>
    <s v="CMA"/>
    <s v="451"/>
    <n v="451"/>
    <s v="304"/>
    <m/>
    <n v="1910.55"/>
    <n v="0"/>
    <n v="1910.55"/>
    <n v="1900"/>
    <n v="0"/>
    <n v="1900"/>
    <n v="1440.1"/>
    <s v="73000"/>
    <s v="3052"/>
    <s v="00"/>
    <s v="Cotisations patronales aux caisses de pensions"/>
    <n v="1910.55"/>
    <m/>
    <m/>
    <m/>
    <m/>
    <m/>
    <x v="0"/>
    <x v="36"/>
    <x v="0"/>
    <x v="0"/>
    <x v="8"/>
    <x v="0"/>
    <x v="0"/>
    <x v="488"/>
    <x v="53"/>
    <x v="0"/>
    <x v="0"/>
    <x v="4"/>
    <x v="0"/>
    <x v="0"/>
    <x v="5"/>
    <m/>
    <m/>
    <m/>
  </r>
  <r>
    <n v="0"/>
    <s v="451.305"/>
    <s v="ORDURES ASS ACCIDENTS et MALADIE"/>
    <s v="CMA"/>
    <s v="451"/>
    <n v="451"/>
    <s v="305"/>
    <m/>
    <n v="1828.85"/>
    <n v="0"/>
    <n v="1828.85"/>
    <n v="1590"/>
    <n v="0"/>
    <n v="1590"/>
    <n v="1029.55"/>
    <s v="73000"/>
    <s v="3053"/>
    <s v="00"/>
    <s v="Cotisations patronales aux assurance-accidents"/>
    <n v="1828.85"/>
    <m/>
    <m/>
    <m/>
    <m/>
    <m/>
    <x v="0"/>
    <x v="36"/>
    <x v="0"/>
    <x v="0"/>
    <x v="3"/>
    <x v="0"/>
    <x v="0"/>
    <x v="489"/>
    <x v="53"/>
    <x v="0"/>
    <x v="0"/>
    <x v="3"/>
    <x v="0"/>
    <x v="0"/>
    <x v="4"/>
    <m/>
    <m/>
    <m/>
  </r>
  <r>
    <n v="0"/>
    <s v="451.306"/>
    <s v="ORDURES FRAIS DU PERSONNEL"/>
    <s v="CMA"/>
    <s v="451"/>
    <n v="451"/>
    <s v="306"/>
    <m/>
    <n v="812.3"/>
    <n v="0"/>
    <n v="812.3"/>
    <n v="1000"/>
    <n v="0"/>
    <n v="1000"/>
    <n v="240.05"/>
    <s v="73000"/>
    <s v="3099"/>
    <s v="00"/>
    <s v="Autres charges du personnel"/>
    <n v="812.3"/>
    <m/>
    <m/>
    <m/>
    <m/>
    <m/>
    <x v="0"/>
    <x v="36"/>
    <x v="0"/>
    <x v="0"/>
    <x v="5"/>
    <x v="0"/>
    <x v="0"/>
    <x v="490"/>
    <x v="53"/>
    <x v="0"/>
    <x v="0"/>
    <x v="5"/>
    <x v="0"/>
    <x v="0"/>
    <x v="6"/>
    <m/>
    <m/>
    <m/>
  </r>
  <r>
    <m/>
    <s v="451.306"/>
    <s v="ORDURES FRAIS DU PERSONNEL"/>
    <s v="CMA"/>
    <s v="451"/>
    <n v="451"/>
    <s v="306"/>
    <m/>
    <m/>
    <m/>
    <m/>
    <m/>
    <m/>
    <n v="0"/>
    <m/>
    <s v="73000"/>
    <s v="3049"/>
    <s v="00"/>
    <s v="Autres indemnités forfaitaires - natels"/>
    <m/>
    <m/>
    <m/>
    <m/>
    <m/>
    <m/>
    <x v="0"/>
    <x v="36"/>
    <x v="0"/>
    <x v="0"/>
    <x v="5"/>
    <x v="0"/>
    <x v="0"/>
    <x v="490"/>
    <x v="53"/>
    <x v="0"/>
    <x v="0"/>
    <x v="6"/>
    <x v="0"/>
    <x v="0"/>
    <x v="7"/>
    <m/>
    <m/>
    <m/>
  </r>
  <r>
    <m/>
    <s v="451.306"/>
    <s v="ORDURES FRAIS DU PERSONNEL"/>
    <s v="CMA"/>
    <s v="451"/>
    <n v="451"/>
    <s v="306"/>
    <m/>
    <m/>
    <m/>
    <m/>
    <m/>
    <m/>
    <n v="0"/>
    <m/>
    <s v="73000"/>
    <s v="3170"/>
    <s v="00"/>
    <s v="Remboursements de frais effectifs km"/>
    <m/>
    <m/>
    <m/>
    <m/>
    <m/>
    <m/>
    <x v="0"/>
    <x v="36"/>
    <x v="0"/>
    <x v="0"/>
    <x v="5"/>
    <x v="0"/>
    <x v="0"/>
    <x v="490"/>
    <x v="53"/>
    <x v="0"/>
    <x v="0"/>
    <x v="7"/>
    <x v="0"/>
    <x v="0"/>
    <x v="8"/>
    <m/>
    <m/>
    <m/>
  </r>
  <r>
    <m/>
    <s v="451.306"/>
    <s v="ORDURES FRAIS DU PERSONNEL"/>
    <s v="CMA"/>
    <m/>
    <n v="451"/>
    <s v="306"/>
    <m/>
    <m/>
    <m/>
    <m/>
    <m/>
    <m/>
    <n v="0"/>
    <m/>
    <s v="73000"/>
    <s v="3090"/>
    <s v="00"/>
    <s v="Formation et perfectionnement"/>
    <m/>
    <m/>
    <m/>
    <m/>
    <m/>
    <m/>
    <x v="0"/>
    <x v="36"/>
    <x v="0"/>
    <x v="0"/>
    <x v="5"/>
    <x v="0"/>
    <x v="0"/>
    <x v="490"/>
    <x v="53"/>
    <x v="0"/>
    <x v="0"/>
    <x v="11"/>
    <x v="0"/>
    <x v="0"/>
    <x v="14"/>
    <m/>
    <m/>
    <m/>
  </r>
  <r>
    <m/>
    <s v="451.306"/>
    <s v="ORDURES FRAIS DU PERSONNEL"/>
    <s v="CMA"/>
    <m/>
    <n v="451"/>
    <s v="306"/>
    <m/>
    <m/>
    <m/>
    <m/>
    <m/>
    <m/>
    <n v="0"/>
    <m/>
    <s v="73000"/>
    <s v="3091"/>
    <s v="00"/>
    <s v="Recrutement"/>
    <m/>
    <m/>
    <m/>
    <m/>
    <m/>
    <m/>
    <x v="0"/>
    <x v="36"/>
    <x v="0"/>
    <x v="0"/>
    <x v="5"/>
    <x v="0"/>
    <x v="0"/>
    <x v="490"/>
    <x v="53"/>
    <x v="0"/>
    <x v="0"/>
    <x v="17"/>
    <x v="0"/>
    <x v="0"/>
    <x v="21"/>
    <m/>
    <m/>
    <m/>
  </r>
  <r>
    <n v="0"/>
    <s v="451.309"/>
    <s v="ORDURES COURS DE FORMATION"/>
    <s v="CMA"/>
    <s v="451"/>
    <n v="451"/>
    <s v="309"/>
    <m/>
    <n v="333.2"/>
    <n v="0"/>
    <n v="333.2"/>
    <n v="0"/>
    <n v="0"/>
    <n v="0"/>
    <n v="0"/>
    <s v="73000"/>
    <s v="3090"/>
    <s v="00"/>
    <s v="Formation et perfectionnement"/>
    <n v="333.2"/>
    <m/>
    <m/>
    <m/>
    <m/>
    <m/>
    <x v="0"/>
    <x v="36"/>
    <x v="0"/>
    <x v="0"/>
    <x v="16"/>
    <x v="0"/>
    <x v="0"/>
    <x v="491"/>
    <x v="53"/>
    <x v="0"/>
    <x v="0"/>
    <x v="11"/>
    <x v="0"/>
    <x v="0"/>
    <x v="14"/>
    <m/>
    <m/>
    <m/>
  </r>
  <r>
    <n v="0"/>
    <s v="451.311"/>
    <s v="ORDURES Achat matériel déchèterie+éco-points"/>
    <s v="CMA"/>
    <s v="451"/>
    <n v="451"/>
    <s v="311"/>
    <m/>
    <n v="1275.3699999999999"/>
    <n v="0"/>
    <n v="1275.3699999999999"/>
    <n v="2500"/>
    <n v="0"/>
    <n v="2500"/>
    <n v="0"/>
    <s v="73000"/>
    <s v="3144"/>
    <s v="00"/>
    <s v="Entretien des bâtiments, immeubles PA - Déchetterie et Eco-points"/>
    <n v="1275.3699999999999"/>
    <m/>
    <m/>
    <m/>
    <m/>
    <m/>
    <x v="0"/>
    <x v="36"/>
    <x v="0"/>
    <x v="0"/>
    <x v="6"/>
    <x v="0"/>
    <x v="0"/>
    <x v="492"/>
    <x v="53"/>
    <x v="0"/>
    <x v="0"/>
    <x v="83"/>
    <x v="0"/>
    <x v="0"/>
    <x v="280"/>
    <m/>
    <m/>
    <m/>
  </r>
  <r>
    <n v="0"/>
    <s v="451.312"/>
    <s v="ORDURES Achat énergie et électricité"/>
    <s v="CMA"/>
    <s v="451"/>
    <n v="451"/>
    <s v="312"/>
    <m/>
    <n v="1365.68"/>
    <n v="0"/>
    <n v="1365.68"/>
    <n v="1600"/>
    <n v="0"/>
    <n v="1600"/>
    <n v="158.33000000000001"/>
    <s v="73000"/>
    <s v="3120"/>
    <s v="01"/>
    <s v="Frais d'électricité"/>
    <n v="1365.68"/>
    <m/>
    <m/>
    <m/>
    <m/>
    <m/>
    <x v="0"/>
    <x v="36"/>
    <x v="0"/>
    <x v="0"/>
    <x v="30"/>
    <x v="0"/>
    <x v="0"/>
    <x v="493"/>
    <x v="53"/>
    <x v="0"/>
    <x v="0"/>
    <x v="39"/>
    <x v="1"/>
    <x v="0"/>
    <x v="114"/>
    <m/>
    <m/>
    <m/>
  </r>
  <r>
    <n v="0"/>
    <s v="451.314"/>
    <s v="ORDURES Entretien, matériel et produits entretien"/>
    <s v="CMA"/>
    <s v="451"/>
    <n v="451"/>
    <s v="314"/>
    <m/>
    <n v="0"/>
    <n v="0"/>
    <n v="0"/>
    <n v="5000"/>
    <n v="0"/>
    <n v="5000"/>
    <n v="688.07"/>
    <s v="73000"/>
    <s v="3144"/>
    <s v="00"/>
    <s v="Entretien des bâtiments, immeubles PA - Déchetterie et Eco-points"/>
    <m/>
    <m/>
    <m/>
    <m/>
    <m/>
    <m/>
    <x v="0"/>
    <x v="36"/>
    <x v="0"/>
    <x v="0"/>
    <x v="25"/>
    <x v="0"/>
    <x v="0"/>
    <x v="494"/>
    <x v="53"/>
    <x v="0"/>
    <x v="0"/>
    <x v="83"/>
    <x v="0"/>
    <x v="0"/>
    <x v="280"/>
    <m/>
    <m/>
    <m/>
  </r>
  <r>
    <n v="0"/>
    <s v="451.316"/>
    <s v="ORDURES Location Droit de superficie (non somis à TVA)"/>
    <s v="CMA"/>
    <s v="451"/>
    <n v="451"/>
    <s v="316"/>
    <m/>
    <n v="12000"/>
    <n v="0"/>
    <n v="12000"/>
    <n v="12000"/>
    <n v="0"/>
    <n v="12000"/>
    <n v="12000"/>
    <s v="73000"/>
    <s v="3160"/>
    <s v="00"/>
    <s v="Loyers et baux à ferme des biens-fonds"/>
    <n v="12000"/>
    <m/>
    <m/>
    <m/>
    <m/>
    <m/>
    <x v="0"/>
    <x v="36"/>
    <x v="0"/>
    <x v="0"/>
    <x v="54"/>
    <x v="0"/>
    <x v="0"/>
    <x v="495"/>
    <x v="53"/>
    <x v="0"/>
    <x v="0"/>
    <x v="98"/>
    <x v="0"/>
    <x v="0"/>
    <x v="281"/>
    <m/>
    <m/>
    <m/>
  </r>
  <r>
    <m/>
    <m/>
    <m/>
    <m/>
    <m/>
    <m/>
    <m/>
    <m/>
    <n v="0"/>
    <n v="0"/>
    <n v="0"/>
    <n v="0"/>
    <n v="0"/>
    <n v="0"/>
    <m/>
    <s v="73000"/>
    <s v="3181"/>
    <s v="00"/>
    <s v="Pertes sur créances effectives"/>
    <m/>
    <m/>
    <m/>
    <s v="Débiteurs non solvables à mettre dans les pertes sur créances par fonction (eau, ordures, autres) - si crédit aussi dans ce comtpe"/>
    <m/>
    <m/>
    <x v="0"/>
    <x v="1"/>
    <x v="0"/>
    <x v="0"/>
    <x v="4"/>
    <x v="0"/>
    <x v="0"/>
    <x v="4"/>
    <x v="53"/>
    <x v="0"/>
    <x v="0"/>
    <x v="50"/>
    <x v="0"/>
    <x v="0"/>
    <x v="282"/>
    <m/>
    <m/>
    <m/>
  </r>
  <r>
    <n v="0"/>
    <s v="451.318.0"/>
    <s v="ORDURES Centre de Tri Assurance ECA"/>
    <s v="CMA"/>
    <s v="451"/>
    <n v="451"/>
    <s v="318"/>
    <n v="0"/>
    <n v="362.9"/>
    <n v="0"/>
    <n v="362.9"/>
    <n v="370"/>
    <n v="0"/>
    <n v="370"/>
    <n v="366.65"/>
    <s v="73000"/>
    <s v="3134"/>
    <s v="00"/>
    <s v="Frais assurances"/>
    <n v="362.9"/>
    <m/>
    <m/>
    <m/>
    <m/>
    <m/>
    <x v="0"/>
    <x v="36"/>
    <x v="0"/>
    <x v="0"/>
    <x v="10"/>
    <x v="0"/>
    <x v="0"/>
    <x v="496"/>
    <x v="53"/>
    <x v="0"/>
    <x v="0"/>
    <x v="21"/>
    <x v="0"/>
    <x v="0"/>
    <x v="104"/>
    <m/>
    <m/>
    <m/>
  </r>
  <r>
    <n v="0"/>
    <s v="451.318.4"/>
    <s v="ORDURES Informations et actions spécifiques"/>
    <s v="CMA"/>
    <s v="451"/>
    <n v="451"/>
    <s v="318"/>
    <n v="4"/>
    <n v="0"/>
    <n v="0"/>
    <n v="0"/>
    <n v="0"/>
    <n v="0"/>
    <n v="0"/>
    <n v="3248"/>
    <s v="73000"/>
    <s v="3132"/>
    <s v="00"/>
    <s v="Honoraires conseils externes, spécialistes"/>
    <m/>
    <m/>
    <m/>
    <m/>
    <m/>
    <m/>
    <x v="0"/>
    <x v="36"/>
    <x v="0"/>
    <x v="0"/>
    <x v="10"/>
    <x v="6"/>
    <x v="0"/>
    <x v="497"/>
    <x v="53"/>
    <x v="0"/>
    <x v="0"/>
    <x v="12"/>
    <x v="0"/>
    <x v="0"/>
    <x v="283"/>
    <m/>
    <m/>
    <m/>
  </r>
  <r>
    <n v="0"/>
    <s v="451.319"/>
    <s v="ORDURES TVA + REDIP s/TVA Taxe EM"/>
    <s v="CMA"/>
    <s v="451"/>
    <n v="451"/>
    <s v="319"/>
    <m/>
    <n v="0"/>
    <n v="0"/>
    <n v="0"/>
    <n v="0"/>
    <n v="0"/>
    <n v="0"/>
    <n v="0"/>
    <s v="-"/>
    <s v="-"/>
    <s v="-"/>
    <s v="-"/>
    <m/>
    <m/>
    <m/>
    <m/>
    <m/>
    <m/>
    <x v="0"/>
    <x v="36"/>
    <x v="0"/>
    <x v="0"/>
    <x v="19"/>
    <x v="0"/>
    <x v="0"/>
    <x v="498"/>
    <x v="1"/>
    <x v="0"/>
    <x v="0"/>
    <x v="9"/>
    <x v="2"/>
    <x v="0"/>
    <x v="17"/>
    <m/>
    <m/>
    <m/>
  </r>
  <r>
    <n v="0"/>
    <s v="451.381"/>
    <s v="Attribution financements spéciaux déchets"/>
    <s v="CMA"/>
    <s v="451"/>
    <n v="451"/>
    <s v="381"/>
    <m/>
    <n v="0"/>
    <n v="0"/>
    <n v="0"/>
    <n v="0"/>
    <n v="0"/>
    <n v="0"/>
    <n v="0"/>
    <s v="-"/>
    <s v="-"/>
    <s v="-"/>
    <s v="-"/>
    <m/>
    <m/>
    <m/>
    <m/>
    <m/>
    <m/>
    <x v="0"/>
    <x v="36"/>
    <x v="0"/>
    <x v="0"/>
    <x v="27"/>
    <x v="0"/>
    <x v="0"/>
    <x v="499"/>
    <x v="1"/>
    <x v="0"/>
    <x v="0"/>
    <x v="9"/>
    <x v="2"/>
    <x v="0"/>
    <x v="17"/>
    <m/>
    <m/>
    <m/>
  </r>
  <r>
    <n v="0"/>
    <s v="451.390"/>
    <s v="ORDURES couverture des surcoûts 450"/>
    <s v="CMA"/>
    <s v="451"/>
    <n v="451"/>
    <s v="390"/>
    <m/>
    <n v="0"/>
    <n v="0"/>
    <n v="0"/>
    <n v="0"/>
    <n v="0"/>
    <n v="0"/>
    <n v="0"/>
    <s v="-"/>
    <s v="-"/>
    <s v="-"/>
    <s v="-"/>
    <m/>
    <m/>
    <m/>
    <m/>
    <m/>
    <m/>
    <x v="0"/>
    <x v="36"/>
    <x v="0"/>
    <x v="0"/>
    <x v="7"/>
    <x v="0"/>
    <x v="0"/>
    <x v="500"/>
    <x v="1"/>
    <x v="0"/>
    <x v="0"/>
    <x v="9"/>
    <x v="2"/>
    <x v="0"/>
    <x v="17"/>
    <m/>
    <m/>
    <m/>
  </r>
  <r>
    <n v="0"/>
    <s v="451.430"/>
    <s v="ORDURES  CHE-115.611.147 TVA taux normal"/>
    <s v="CMA"/>
    <s v="451"/>
    <n v="451"/>
    <s v="430"/>
    <m/>
    <n v="0"/>
    <n v="0"/>
    <n v="0"/>
    <n v="0"/>
    <n v="0"/>
    <n v="0"/>
    <n v="0"/>
    <s v="-"/>
    <s v="-"/>
    <s v="-"/>
    <s v="-"/>
    <m/>
    <m/>
    <m/>
    <m/>
    <m/>
    <m/>
    <x v="0"/>
    <x v="36"/>
    <x v="0"/>
    <x v="0"/>
    <x v="55"/>
    <x v="0"/>
    <x v="0"/>
    <x v="501"/>
    <x v="1"/>
    <x v="0"/>
    <x v="0"/>
    <x v="9"/>
    <x v="2"/>
    <x v="0"/>
    <x v="17"/>
    <m/>
    <m/>
    <m/>
  </r>
  <r>
    <n v="0"/>
    <s v="451.430.1"/>
    <s v="ORDURES  Aide sociale (interne)"/>
    <s v="CMA"/>
    <s v="451"/>
    <n v="451"/>
    <s v="430"/>
    <n v="1"/>
    <n v="0"/>
    <n v="0"/>
    <n v="0"/>
    <n v="0"/>
    <n v="0"/>
    <n v="0"/>
    <n v="0"/>
    <s v="-"/>
    <s v="-"/>
    <s v="-"/>
    <s v="-"/>
    <m/>
    <m/>
    <m/>
    <m/>
    <m/>
    <m/>
    <x v="0"/>
    <x v="36"/>
    <x v="0"/>
    <x v="0"/>
    <x v="55"/>
    <x v="1"/>
    <x v="0"/>
    <x v="502"/>
    <x v="1"/>
    <x v="0"/>
    <x v="0"/>
    <x v="9"/>
    <x v="2"/>
    <x v="0"/>
    <x v="17"/>
    <m/>
    <m/>
    <m/>
  </r>
  <r>
    <n v="0"/>
    <s v="451.431"/>
    <s v="CARTES CENTRE DE TRI"/>
    <s v="CMA"/>
    <s v="451"/>
    <n v="451"/>
    <s v="431"/>
    <m/>
    <n v="0"/>
    <n v="0"/>
    <n v="0"/>
    <n v="0"/>
    <n v="0"/>
    <n v="0"/>
    <n v="-148"/>
    <s v="73000"/>
    <s v="4309"/>
    <s v="00"/>
    <s v="Autres revenus d’exploitation"/>
    <m/>
    <m/>
    <m/>
    <m/>
    <m/>
    <m/>
    <x v="0"/>
    <x v="36"/>
    <x v="0"/>
    <x v="0"/>
    <x v="23"/>
    <x v="0"/>
    <x v="0"/>
    <x v="503"/>
    <x v="53"/>
    <x v="0"/>
    <x v="0"/>
    <x v="14"/>
    <x v="0"/>
    <x v="0"/>
    <x v="18"/>
    <m/>
    <m/>
    <m/>
  </r>
  <r>
    <n v="0"/>
    <s v="451.434"/>
    <s v="ORDURES Taxe EM"/>
    <s v="CMA"/>
    <s v="451"/>
    <n v="451"/>
    <s v="434"/>
    <m/>
    <n v="0"/>
    <n v="-209730.85"/>
    <n v="-209730.85"/>
    <n v="0"/>
    <n v="-210000"/>
    <n v="-210000"/>
    <n v="1194"/>
    <s v="73000"/>
    <s v="4240"/>
    <s v="00"/>
    <s v="Taxes d'utilisation et prestations de service - ménages"/>
    <n v="-209730.85"/>
    <m/>
    <m/>
    <m/>
    <m/>
    <m/>
    <x v="0"/>
    <x v="36"/>
    <x v="0"/>
    <x v="0"/>
    <x v="50"/>
    <x v="0"/>
    <x v="0"/>
    <x v="504"/>
    <x v="53"/>
    <x v="0"/>
    <x v="0"/>
    <x v="37"/>
    <x v="0"/>
    <x v="0"/>
    <x v="284"/>
    <m/>
    <m/>
    <m/>
  </r>
  <r>
    <m/>
    <s v="451.434"/>
    <s v="ORDURES Taxe EM"/>
    <s v="CMA"/>
    <s v="451"/>
    <n v="451"/>
    <s v="434"/>
    <m/>
    <n v="0"/>
    <n v="0"/>
    <n v="0"/>
    <n v="0"/>
    <n v="0"/>
    <n v="0"/>
    <m/>
    <s v="73000"/>
    <s v="4240"/>
    <s v="01"/>
    <s v="Taxes d'utilisation et prestations de service - entreprises"/>
    <m/>
    <m/>
    <m/>
    <m/>
    <m/>
    <m/>
    <x v="0"/>
    <x v="36"/>
    <x v="0"/>
    <x v="0"/>
    <x v="50"/>
    <x v="0"/>
    <x v="0"/>
    <x v="504"/>
    <x v="53"/>
    <x v="0"/>
    <x v="0"/>
    <x v="37"/>
    <x v="1"/>
    <x v="0"/>
    <x v="285"/>
    <m/>
    <m/>
    <m/>
  </r>
  <r>
    <n v="0"/>
    <s v="451.435"/>
    <s v="ORDURES Ristourne : verre, papier, ferraille"/>
    <s v="CMA"/>
    <s v="451"/>
    <n v="451"/>
    <s v="435"/>
    <m/>
    <n v="0"/>
    <n v="-13301.62"/>
    <n v="-13301.62"/>
    <n v="0"/>
    <n v="-16000"/>
    <n v="-16000"/>
    <n v="-1087.6500000000001"/>
    <s v="73000"/>
    <s v="4260"/>
    <s v="01"/>
    <s v="Remboursements et participations de tiers - autres"/>
    <n v="-13301.62"/>
    <m/>
    <m/>
    <s v="Retro Texaid, Birchler, Rétripa"/>
    <m/>
    <m/>
    <x v="0"/>
    <x v="36"/>
    <x v="0"/>
    <x v="0"/>
    <x v="12"/>
    <x v="0"/>
    <x v="0"/>
    <x v="505"/>
    <x v="53"/>
    <x v="0"/>
    <x v="0"/>
    <x v="46"/>
    <x v="1"/>
    <x v="0"/>
    <x v="286"/>
    <m/>
    <m/>
    <m/>
  </r>
  <r>
    <n v="0"/>
    <s v="451.435.1"/>
    <s v="ORDURES Vente Containers et divers"/>
    <s v="CMA"/>
    <s v="451"/>
    <n v="451"/>
    <s v="435"/>
    <n v="1"/>
    <n v="0"/>
    <n v="0"/>
    <n v="0"/>
    <n v="0"/>
    <n v="0"/>
    <n v="0"/>
    <n v="-55.5"/>
    <s v="73000"/>
    <s v="4309"/>
    <s v="00"/>
    <s v="Autres revenus d’exploitation"/>
    <m/>
    <m/>
    <m/>
    <m/>
    <m/>
    <m/>
    <x v="0"/>
    <x v="36"/>
    <x v="0"/>
    <x v="0"/>
    <x v="12"/>
    <x v="1"/>
    <x v="0"/>
    <x v="506"/>
    <x v="53"/>
    <x v="0"/>
    <x v="0"/>
    <x v="14"/>
    <x v="0"/>
    <x v="0"/>
    <x v="18"/>
    <m/>
    <m/>
    <m/>
  </r>
  <r>
    <n v="0"/>
    <s v="451.436"/>
    <s v="ORDURES Remboursements de tiers (Ass.)"/>
    <s v="CMA"/>
    <s v="451"/>
    <n v="451"/>
    <s v="436"/>
    <m/>
    <n v="0"/>
    <n v="-245.35"/>
    <n v="-245.35"/>
    <n v="0"/>
    <n v="0"/>
    <n v="0"/>
    <n v="0"/>
    <s v="61500"/>
    <s v="3010"/>
    <s v="99"/>
    <s v="Remboursements IJM"/>
    <n v="-245.35"/>
    <m/>
    <m/>
    <m/>
    <m/>
    <m/>
    <x v="0"/>
    <x v="36"/>
    <x v="0"/>
    <x v="0"/>
    <x v="13"/>
    <x v="0"/>
    <x v="0"/>
    <x v="507"/>
    <x v="15"/>
    <x v="0"/>
    <x v="0"/>
    <x v="15"/>
    <x v="4"/>
    <x v="0"/>
    <x v="20"/>
    <m/>
    <m/>
    <m/>
  </r>
  <r>
    <n v="0"/>
    <s v="451.437"/>
    <s v="ORDURES  Amende Dépôt sauvage"/>
    <s v="CMA"/>
    <s v="451"/>
    <n v="451"/>
    <s v="437"/>
    <m/>
    <n v="0"/>
    <n v="0"/>
    <n v="0"/>
    <n v="0"/>
    <n v="0"/>
    <n v="0"/>
    <n v="0"/>
    <s v="-"/>
    <s v="-"/>
    <s v="-"/>
    <s v="-"/>
    <m/>
    <m/>
    <m/>
    <m/>
    <m/>
    <m/>
    <x v="0"/>
    <x v="36"/>
    <x v="0"/>
    <x v="0"/>
    <x v="56"/>
    <x v="0"/>
    <x v="0"/>
    <x v="508"/>
    <x v="1"/>
    <x v="0"/>
    <x v="0"/>
    <x v="9"/>
    <x v="2"/>
    <x v="0"/>
    <x v="17"/>
    <m/>
    <m/>
    <m/>
  </r>
  <r>
    <n v="0"/>
    <s v="451.481"/>
    <s v="Prélèvement s/fonds affecté 9280.5"/>
    <s v="CMA"/>
    <s v="451"/>
    <n v="451"/>
    <s v="481"/>
    <m/>
    <n v="0"/>
    <n v="-44608.46"/>
    <n v="-44608.46"/>
    <n v="0"/>
    <n v="-10960"/>
    <n v="-10960"/>
    <n v="0"/>
    <s v="73000"/>
    <s v="4510"/>
    <s v="00"/>
    <s v="Prélèvements aux fonds et financement spéciaux"/>
    <n v="-44608.46"/>
    <m/>
    <m/>
    <m/>
    <m/>
    <m/>
    <x v="0"/>
    <x v="36"/>
    <x v="0"/>
    <x v="0"/>
    <x v="29"/>
    <x v="0"/>
    <x v="0"/>
    <x v="509"/>
    <x v="53"/>
    <x v="0"/>
    <x v="0"/>
    <x v="97"/>
    <x v="0"/>
    <x v="0"/>
    <x v="278"/>
    <m/>
    <m/>
    <m/>
  </r>
  <r>
    <m/>
    <m/>
    <m/>
    <m/>
    <m/>
    <m/>
    <m/>
    <m/>
    <n v="0"/>
    <n v="0"/>
    <n v="0"/>
    <n v="0"/>
    <n v="0"/>
    <n v="0"/>
    <m/>
    <s v="73000"/>
    <s v="3510"/>
    <s v="00"/>
    <s v="Attributions aux fonds et financements spéciaux"/>
    <m/>
    <m/>
    <m/>
    <m/>
    <m/>
    <m/>
    <x v="0"/>
    <x v="1"/>
    <x v="0"/>
    <x v="0"/>
    <x v="4"/>
    <x v="0"/>
    <x v="0"/>
    <x v="4"/>
    <x v="53"/>
    <x v="0"/>
    <x v="0"/>
    <x v="99"/>
    <x v="0"/>
    <x v="0"/>
    <x v="287"/>
    <m/>
    <m/>
    <m/>
  </r>
  <r>
    <n v="0"/>
    <s v="451.490"/>
    <s v="ORDURES IMPUTATIONS INTERNES"/>
    <s v="CMA"/>
    <s v="451"/>
    <n v="451"/>
    <s v="490"/>
    <m/>
    <n v="0"/>
    <n v="0"/>
    <n v="0"/>
    <n v="0"/>
    <n v="0"/>
    <n v="0"/>
    <n v="0"/>
    <s v="-"/>
    <s v="-"/>
    <s v="-"/>
    <s v="-"/>
    <m/>
    <m/>
    <m/>
    <m/>
    <m/>
    <m/>
    <x v="0"/>
    <x v="36"/>
    <x v="0"/>
    <x v="0"/>
    <x v="15"/>
    <x v="0"/>
    <x v="0"/>
    <x v="510"/>
    <x v="1"/>
    <x v="0"/>
    <x v="0"/>
    <x v="9"/>
    <x v="2"/>
    <x v="0"/>
    <x v="17"/>
    <m/>
    <m/>
    <m/>
  </r>
  <r>
    <n v="0"/>
    <s v="452.318.1"/>
    <s v="ORDURES Déchets carnés (animaux rentes)"/>
    <s v="CMA"/>
    <s v="452"/>
    <n v="452"/>
    <s v="318"/>
    <n v="1"/>
    <n v="3245.23"/>
    <n v="0"/>
    <n v="3245.23"/>
    <n v="3000"/>
    <n v="0"/>
    <n v="3000"/>
    <n v="565.73"/>
    <s v="-"/>
    <s v="-"/>
    <s v="-"/>
    <s v="compte de bilan - refacturé"/>
    <n v="3245.23"/>
    <m/>
    <m/>
    <s v="compte de bilan - refacturé (sinon 7301)"/>
    <m/>
    <m/>
    <x v="0"/>
    <x v="35"/>
    <x v="0"/>
    <x v="0"/>
    <x v="10"/>
    <x v="1"/>
    <x v="0"/>
    <x v="511"/>
    <x v="1"/>
    <x v="0"/>
    <x v="0"/>
    <x v="9"/>
    <x v="2"/>
    <x v="0"/>
    <x v="288"/>
    <m/>
    <m/>
    <m/>
  </r>
  <r>
    <n v="0"/>
    <s v="452.318.2"/>
    <s v="ORDURES Déchets Spéciaux Ménager, Part. animaux compagnie"/>
    <s v="CMA"/>
    <s v="452"/>
    <n v="452"/>
    <s v="318"/>
    <n v="2"/>
    <n v="5517.71"/>
    <n v="0"/>
    <n v="5517.71"/>
    <n v="6500"/>
    <n v="0"/>
    <n v="6500"/>
    <n v="0"/>
    <s v="73010"/>
    <s v="3130"/>
    <s v="10"/>
    <s v="Prestations de services tiers - non refacturés"/>
    <n v="5517.71"/>
    <m/>
    <m/>
    <m/>
    <m/>
    <m/>
    <x v="0"/>
    <x v="35"/>
    <x v="0"/>
    <x v="0"/>
    <x v="10"/>
    <x v="2"/>
    <x v="0"/>
    <x v="512"/>
    <x v="54"/>
    <x v="0"/>
    <x v="0"/>
    <x v="10"/>
    <x v="11"/>
    <x v="0"/>
    <x v="289"/>
    <m/>
    <m/>
    <m/>
  </r>
  <r>
    <n v="0"/>
    <s v="452.436.1"/>
    <s v="ORDURES Part de tiers déchets carnés (animaux rentes)"/>
    <s v="CMA"/>
    <s v="452"/>
    <n v="452"/>
    <s v="436"/>
    <n v="1"/>
    <n v="0"/>
    <n v="-3124.85"/>
    <n v="-3124.85"/>
    <n v="0"/>
    <n v="-2100"/>
    <n v="-2100"/>
    <n v="-565.75"/>
    <s v="-"/>
    <s v="-"/>
    <s v="-"/>
    <s v="compte de bilan - refacturé"/>
    <n v="-3124.85"/>
    <m/>
    <m/>
    <m/>
    <m/>
    <m/>
    <x v="0"/>
    <x v="35"/>
    <x v="0"/>
    <x v="0"/>
    <x v="13"/>
    <x v="1"/>
    <x v="0"/>
    <x v="513"/>
    <x v="1"/>
    <x v="0"/>
    <x v="0"/>
    <x v="9"/>
    <x v="2"/>
    <x v="0"/>
    <x v="288"/>
    <m/>
    <m/>
    <m/>
  </r>
  <r>
    <n v="0"/>
    <s v="460.301"/>
    <s v="EGOUTS SALAIRES"/>
    <s v="CMA"/>
    <n v="460"/>
    <n v="460"/>
    <s v="301"/>
    <m/>
    <n v="5826.8"/>
    <n v="0"/>
    <n v="5826.8"/>
    <n v="6100"/>
    <n v="0"/>
    <n v="6100"/>
    <n v="2109"/>
    <s v="61500"/>
    <s v="3010"/>
    <s v="00"/>
    <s v="Salaire du personnel administratif"/>
    <n v="5826.8"/>
    <n v="0"/>
    <s v="Regroupement en 61500 et 73000"/>
    <m/>
    <m/>
    <m/>
    <x v="0"/>
    <x v="37"/>
    <x v="0"/>
    <x v="0"/>
    <x v="1"/>
    <x v="0"/>
    <x v="0"/>
    <x v="514"/>
    <x v="15"/>
    <x v="0"/>
    <x v="0"/>
    <x v="15"/>
    <x v="0"/>
    <x v="0"/>
    <x v="19"/>
    <m/>
    <m/>
    <m/>
  </r>
  <r>
    <m/>
    <s v="460.301"/>
    <s v="EGOUTS SALAIRES"/>
    <s v="CMA"/>
    <s v="46"/>
    <n v="460"/>
    <s v="301"/>
    <m/>
    <m/>
    <m/>
    <m/>
    <m/>
    <m/>
    <n v="0"/>
    <m/>
    <s v="61500"/>
    <s v="3010"/>
    <s v="99"/>
    <s v="Remboursements IJM"/>
    <m/>
    <m/>
    <m/>
    <m/>
    <m/>
    <m/>
    <x v="0"/>
    <x v="37"/>
    <x v="0"/>
    <x v="0"/>
    <x v="1"/>
    <x v="0"/>
    <x v="0"/>
    <x v="514"/>
    <x v="15"/>
    <x v="0"/>
    <x v="0"/>
    <x v="15"/>
    <x v="4"/>
    <x v="0"/>
    <x v="20"/>
    <m/>
    <m/>
    <m/>
  </r>
  <r>
    <n v="0"/>
    <s v="460.303"/>
    <s v="EGOUTS COTISATIONS AVS AC AF"/>
    <s v="CMA"/>
    <s v="46"/>
    <n v="460"/>
    <s v="303"/>
    <m/>
    <n v="398.6"/>
    <n v="0"/>
    <n v="398.6"/>
    <n v="500"/>
    <n v="0"/>
    <n v="500"/>
    <n v="184"/>
    <s v="61500"/>
    <s v="3050"/>
    <s v="00"/>
    <s v="Cotisations AVS, AI, APG, AC, frais adm"/>
    <n v="398.6"/>
    <m/>
    <m/>
    <m/>
    <m/>
    <m/>
    <x v="0"/>
    <x v="37"/>
    <x v="0"/>
    <x v="0"/>
    <x v="2"/>
    <x v="0"/>
    <x v="0"/>
    <x v="515"/>
    <x v="15"/>
    <x v="0"/>
    <x v="0"/>
    <x v="1"/>
    <x v="0"/>
    <x v="0"/>
    <x v="2"/>
    <m/>
    <m/>
    <m/>
  </r>
  <r>
    <m/>
    <s v="460.303"/>
    <s v="EGOUTS COTISATIONS AVS AC AF"/>
    <s v="CMA"/>
    <s v="46"/>
    <n v="460"/>
    <s v="303"/>
    <m/>
    <m/>
    <m/>
    <m/>
    <m/>
    <m/>
    <n v="0"/>
    <m/>
    <s v="61500"/>
    <s v="3054"/>
    <s v="00"/>
    <s v="Cotisations CAF"/>
    <m/>
    <m/>
    <m/>
    <m/>
    <m/>
    <m/>
    <x v="0"/>
    <x v="37"/>
    <x v="0"/>
    <x v="0"/>
    <x v="2"/>
    <x v="0"/>
    <x v="0"/>
    <x v="515"/>
    <x v="15"/>
    <x v="0"/>
    <x v="0"/>
    <x v="2"/>
    <x v="0"/>
    <x v="0"/>
    <x v="3"/>
    <m/>
    <m/>
    <m/>
  </r>
  <r>
    <n v="0"/>
    <s v="460.304"/>
    <s v="EGOUTS CAISSE PREVOYANCE LPP"/>
    <s v="CMA"/>
    <s v="46"/>
    <n v="460"/>
    <s v="304"/>
    <m/>
    <n v="422.7"/>
    <n v="0"/>
    <n v="422.7"/>
    <n v="600"/>
    <n v="0"/>
    <n v="600"/>
    <n v="265.05"/>
    <s v="61500"/>
    <s v="3052"/>
    <s v="00"/>
    <s v="Cotisations patronales aux caisses de pensions"/>
    <n v="422.7"/>
    <m/>
    <m/>
    <m/>
    <m/>
    <m/>
    <x v="0"/>
    <x v="37"/>
    <x v="0"/>
    <x v="0"/>
    <x v="8"/>
    <x v="0"/>
    <x v="0"/>
    <x v="516"/>
    <x v="15"/>
    <x v="0"/>
    <x v="0"/>
    <x v="4"/>
    <x v="0"/>
    <x v="0"/>
    <x v="5"/>
    <m/>
    <m/>
    <m/>
  </r>
  <r>
    <n v="0"/>
    <s v="460.305"/>
    <s v="EGOUTS ASS ACCIDENTS et MALADIE"/>
    <s v="CMA"/>
    <s v="46"/>
    <n v="460"/>
    <s v="305"/>
    <m/>
    <n v="102.05"/>
    <n v="0"/>
    <n v="102.05"/>
    <n v="135"/>
    <n v="0"/>
    <n v="135"/>
    <n v="47.2"/>
    <s v="61500"/>
    <s v="3053"/>
    <s v="00"/>
    <s v="Cotisations patronales aux assurance-accidents"/>
    <n v="102.05"/>
    <m/>
    <m/>
    <m/>
    <m/>
    <m/>
    <x v="0"/>
    <x v="37"/>
    <x v="0"/>
    <x v="0"/>
    <x v="3"/>
    <x v="0"/>
    <x v="0"/>
    <x v="517"/>
    <x v="15"/>
    <x v="0"/>
    <x v="0"/>
    <x v="3"/>
    <x v="0"/>
    <x v="0"/>
    <x v="4"/>
    <m/>
    <m/>
    <m/>
  </r>
  <r>
    <n v="0"/>
    <s v="460.306"/>
    <s v="EGOUTS FRAIS DU PERSONNEL"/>
    <s v="CMA"/>
    <s v="46"/>
    <n v="460"/>
    <s v="306"/>
    <m/>
    <n v="0"/>
    <n v="0"/>
    <n v="0"/>
    <n v="0"/>
    <n v="0"/>
    <n v="0"/>
    <n v="3"/>
    <s v="61500"/>
    <s v="3049"/>
    <s v="00"/>
    <s v="Autres indemnités forfaitaires - natels"/>
    <m/>
    <m/>
    <m/>
    <m/>
    <m/>
    <m/>
    <x v="0"/>
    <x v="37"/>
    <x v="0"/>
    <x v="0"/>
    <x v="5"/>
    <x v="0"/>
    <x v="0"/>
    <x v="518"/>
    <x v="15"/>
    <x v="0"/>
    <x v="0"/>
    <x v="6"/>
    <x v="0"/>
    <x v="0"/>
    <x v="7"/>
    <m/>
    <m/>
    <m/>
  </r>
  <r>
    <m/>
    <s v="460.306"/>
    <s v="EGOUTS FRAIS DU PERSONNEL"/>
    <s v="CMA"/>
    <s v="46"/>
    <n v="460"/>
    <s v="306"/>
    <m/>
    <m/>
    <m/>
    <m/>
    <m/>
    <m/>
    <n v="0"/>
    <m/>
    <s v="61500"/>
    <s v="3170"/>
    <s v="00"/>
    <s v="Remboursements de frais effectifs km"/>
    <m/>
    <m/>
    <m/>
    <m/>
    <m/>
    <m/>
    <x v="0"/>
    <x v="37"/>
    <x v="0"/>
    <x v="0"/>
    <x v="5"/>
    <x v="0"/>
    <x v="0"/>
    <x v="518"/>
    <x v="15"/>
    <x v="0"/>
    <x v="0"/>
    <x v="7"/>
    <x v="0"/>
    <x v="0"/>
    <x v="8"/>
    <m/>
    <m/>
    <m/>
  </r>
  <r>
    <m/>
    <s v="460.306"/>
    <s v="EGOUTS FRAIS DU PERSONNEL"/>
    <s v="CMA"/>
    <m/>
    <n v="460"/>
    <s v="306"/>
    <m/>
    <m/>
    <m/>
    <m/>
    <m/>
    <m/>
    <n v="0"/>
    <m/>
    <s v="61500"/>
    <s v="3090"/>
    <s v="00"/>
    <s v="Formation et perfectionnement"/>
    <m/>
    <m/>
    <m/>
    <m/>
    <m/>
    <m/>
    <x v="0"/>
    <x v="37"/>
    <x v="0"/>
    <x v="0"/>
    <x v="5"/>
    <x v="0"/>
    <x v="0"/>
    <x v="518"/>
    <x v="15"/>
    <x v="0"/>
    <x v="0"/>
    <x v="11"/>
    <x v="0"/>
    <x v="0"/>
    <x v="14"/>
    <m/>
    <m/>
    <m/>
  </r>
  <r>
    <m/>
    <s v="460.306"/>
    <s v="EGOUTS FRAIS DU PERSONNEL"/>
    <s v="CMA"/>
    <m/>
    <n v="460"/>
    <s v="306"/>
    <m/>
    <m/>
    <m/>
    <m/>
    <m/>
    <m/>
    <n v="0"/>
    <m/>
    <s v="61500"/>
    <s v="3091"/>
    <s v="00"/>
    <s v="Recrutement"/>
    <m/>
    <m/>
    <m/>
    <m/>
    <m/>
    <m/>
    <x v="0"/>
    <x v="37"/>
    <x v="0"/>
    <x v="0"/>
    <x v="5"/>
    <x v="0"/>
    <x v="0"/>
    <x v="518"/>
    <x v="15"/>
    <x v="0"/>
    <x v="0"/>
    <x v="17"/>
    <x v="0"/>
    <x v="0"/>
    <x v="21"/>
    <m/>
    <m/>
    <m/>
  </r>
  <r>
    <m/>
    <s v="460.306"/>
    <s v="EGOUTS FRAIS DU PERSONNEL"/>
    <s v="CMA"/>
    <m/>
    <n v="460"/>
    <s v="306"/>
    <m/>
    <m/>
    <m/>
    <m/>
    <m/>
    <m/>
    <n v="0"/>
    <m/>
    <s v="61500"/>
    <s v="3099"/>
    <s v="00"/>
    <s v="Autres charges du personnel"/>
    <m/>
    <m/>
    <m/>
    <m/>
    <m/>
    <m/>
    <x v="0"/>
    <x v="37"/>
    <x v="0"/>
    <x v="0"/>
    <x v="5"/>
    <x v="0"/>
    <x v="0"/>
    <x v="518"/>
    <x v="15"/>
    <x v="0"/>
    <x v="0"/>
    <x v="5"/>
    <x v="0"/>
    <x v="0"/>
    <x v="6"/>
    <m/>
    <m/>
    <m/>
  </r>
  <r>
    <n v="0"/>
    <s v="460.311"/>
    <s v="EGOUTS  ACHAT MACHINE MATERIEL"/>
    <s v="CMA"/>
    <s v="46"/>
    <n v="460"/>
    <s v="311"/>
    <m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6"/>
    <x v="0"/>
    <x v="0"/>
    <x v="519"/>
    <x v="1"/>
    <x v="0"/>
    <x v="0"/>
    <x v="9"/>
    <x v="2"/>
    <x v="0"/>
    <x v="17"/>
    <m/>
    <m/>
    <m/>
  </r>
  <r>
    <n v="0"/>
    <s v="460.312"/>
    <s v="EGOUTS  ACHATS ELECTRICITE"/>
    <s v="CMA"/>
    <s v="46"/>
    <n v="460"/>
    <s v="312"/>
    <m/>
    <n v="141.01"/>
    <n v="0"/>
    <n v="141.01"/>
    <n v="0"/>
    <n v="0"/>
    <n v="0"/>
    <n v="71.83"/>
    <s v="72000"/>
    <s v="3120"/>
    <s v="01"/>
    <s v="Frais d'électricité"/>
    <n v="141.01"/>
    <m/>
    <m/>
    <m/>
    <m/>
    <m/>
    <x v="0"/>
    <x v="37"/>
    <x v="0"/>
    <x v="0"/>
    <x v="30"/>
    <x v="0"/>
    <x v="0"/>
    <x v="520"/>
    <x v="55"/>
    <x v="0"/>
    <x v="0"/>
    <x v="39"/>
    <x v="1"/>
    <x v="0"/>
    <x v="114"/>
    <m/>
    <m/>
    <m/>
  </r>
  <r>
    <n v="0"/>
    <s v="460.313"/>
    <s v="EGOUTS  ACHATS MARCH PROD ENTRETIEN"/>
    <s v="CMA"/>
    <s v="46"/>
    <n v="460"/>
    <s v="313"/>
    <m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53"/>
    <x v="0"/>
    <x v="0"/>
    <x v="521"/>
    <x v="1"/>
    <x v="0"/>
    <x v="0"/>
    <x v="9"/>
    <x v="2"/>
    <x v="0"/>
    <x v="17"/>
    <m/>
    <m/>
    <m/>
  </r>
  <r>
    <n v="0"/>
    <s v="460.314"/>
    <s v="EGOUTS  ENTRETIEN RESEAU"/>
    <s v="CMA"/>
    <s v="46"/>
    <n v="460"/>
    <s v="314"/>
    <m/>
    <n v="36072.57"/>
    <n v="0"/>
    <n v="36072.57"/>
    <n v="75000"/>
    <n v="0"/>
    <n v="75000"/>
    <n v="37969.24"/>
    <s v="72000"/>
    <s v="3143"/>
    <s v="00"/>
    <s v="Entretien autres travaux de genie civil"/>
    <n v="36072.57"/>
    <m/>
    <m/>
    <m/>
    <m/>
    <m/>
    <x v="0"/>
    <x v="37"/>
    <x v="0"/>
    <x v="0"/>
    <x v="25"/>
    <x v="0"/>
    <x v="0"/>
    <x v="522"/>
    <x v="55"/>
    <x v="0"/>
    <x v="0"/>
    <x v="94"/>
    <x v="0"/>
    <x v="0"/>
    <x v="262"/>
    <m/>
    <m/>
    <m/>
  </r>
  <r>
    <n v="0"/>
    <s v="460.318"/>
    <s v="EGOUTS  PREST SERVICES HONORAIRES EXPERTISES"/>
    <s v="CMA"/>
    <s v="46"/>
    <n v="460"/>
    <s v="318"/>
    <m/>
    <n v="26.55"/>
    <n v="0"/>
    <n v="26.55"/>
    <n v="30"/>
    <n v="0"/>
    <n v="30"/>
    <n v="26.9"/>
    <s v="72000"/>
    <s v="3134"/>
    <s v="00"/>
    <s v="Frais assurances"/>
    <n v="26.55"/>
    <m/>
    <m/>
    <m/>
    <m/>
    <m/>
    <x v="0"/>
    <x v="37"/>
    <x v="0"/>
    <x v="0"/>
    <x v="10"/>
    <x v="0"/>
    <x v="0"/>
    <x v="523"/>
    <x v="55"/>
    <x v="0"/>
    <x v="0"/>
    <x v="21"/>
    <x v="0"/>
    <x v="0"/>
    <x v="104"/>
    <m/>
    <m/>
    <m/>
  </r>
  <r>
    <n v="0"/>
    <s v="460.330"/>
    <s v="EGOUTS  AMORTISSEMENT CREANCES et DEBITEURS"/>
    <s v="CMA"/>
    <s v="46"/>
    <n v="460"/>
    <s v="330"/>
    <m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11"/>
    <x v="0"/>
    <x v="0"/>
    <x v="524"/>
    <x v="1"/>
    <x v="0"/>
    <x v="0"/>
    <x v="9"/>
    <x v="2"/>
    <x v="0"/>
    <x v="17"/>
    <m/>
    <m/>
    <m/>
  </r>
  <r>
    <n v="0"/>
    <s v="460.331"/>
    <s v="EGOUTS  Amortissement obligatoire Patr.Administratif"/>
    <s v="CMA"/>
    <s v="46"/>
    <n v="460"/>
    <s v="331"/>
    <m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31"/>
    <x v="0"/>
    <x v="0"/>
    <x v="525"/>
    <x v="1"/>
    <x v="0"/>
    <x v="0"/>
    <x v="9"/>
    <x v="2"/>
    <x v="0"/>
    <x v="17"/>
    <m/>
    <m/>
    <m/>
  </r>
  <r>
    <n v="0"/>
    <s v="460.332"/>
    <s v="EGOUTS  AMORTISSEMENT SUPPL P ADM"/>
    <s v="CMA"/>
    <s v="46"/>
    <n v="460"/>
    <s v="332"/>
    <m/>
    <n v="498873.96"/>
    <n v="0"/>
    <n v="498873.96"/>
    <n v="0"/>
    <n v="0"/>
    <n v="0"/>
    <n v="0"/>
    <s v="72000"/>
    <s v="3301"/>
    <s v="09"/>
    <s v="Amortissements non planifiés des immobilisations corporelles PA"/>
    <n v="498873.96"/>
    <m/>
    <m/>
    <s v="colleteurs"/>
    <m/>
    <m/>
    <x v="0"/>
    <x v="37"/>
    <x v="0"/>
    <x v="0"/>
    <x v="20"/>
    <x v="0"/>
    <x v="0"/>
    <x v="526"/>
    <x v="55"/>
    <x v="0"/>
    <x v="0"/>
    <x v="42"/>
    <x v="6"/>
    <x v="0"/>
    <x v="32"/>
    <m/>
    <m/>
    <m/>
  </r>
  <r>
    <n v="0"/>
    <s v="460.352"/>
    <s v="EGOUTS  Epuration eaux usées par APEC"/>
    <s v="CMA"/>
    <s v="46"/>
    <n v="460"/>
    <s v="352"/>
    <m/>
    <n v="231937.83"/>
    <n v="0"/>
    <n v="231937.83"/>
    <n v="395000"/>
    <n v="0"/>
    <n v="395000"/>
    <n v="0"/>
    <s v="72000"/>
    <s v="3612"/>
    <s v="00"/>
    <s v="Parts aux communes et assoc intercomm - APEC"/>
    <n v="231937.83"/>
    <m/>
    <m/>
    <s v="APEC-  POUR LEPURATION DES EAUX USEES"/>
    <m/>
    <m/>
    <x v="0"/>
    <x v="37"/>
    <x v="0"/>
    <x v="0"/>
    <x v="26"/>
    <x v="0"/>
    <x v="0"/>
    <x v="527"/>
    <x v="55"/>
    <x v="0"/>
    <x v="0"/>
    <x v="13"/>
    <x v="0"/>
    <x v="0"/>
    <x v="290"/>
    <m/>
    <m/>
    <m/>
  </r>
  <r>
    <n v="0"/>
    <s v="460.352.1"/>
    <s v="EGOUTS  Financement élimination composés organiques, micropolluants (dès 2020 soumis TVA)"/>
    <s v="CMA"/>
    <s v="46"/>
    <n v="460"/>
    <s v="352"/>
    <n v="1"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26"/>
    <x v="1"/>
    <x v="0"/>
    <x v="528"/>
    <x v="1"/>
    <x v="0"/>
    <x v="0"/>
    <x v="9"/>
    <x v="2"/>
    <x v="0"/>
    <x v="17"/>
    <m/>
    <m/>
    <m/>
  </r>
  <r>
    <n v="0"/>
    <s v="460.381"/>
    <s v="EGOUTS  ATTRIB FINANC SPECIAUX (9280.2)"/>
    <s v="CMA"/>
    <s v="46"/>
    <n v="460"/>
    <s v="381"/>
    <m/>
    <n v="80319.990000000005"/>
    <n v="0"/>
    <n v="80319.990000000005"/>
    <n v="0"/>
    <n v="0"/>
    <n v="0"/>
    <n v="0"/>
    <s v="72000"/>
    <s v="3510"/>
    <s v="00"/>
    <s v="Attributions aux fonds et financements spéciaux"/>
    <n v="80319.990000000005"/>
    <m/>
    <m/>
    <m/>
    <m/>
    <m/>
    <x v="0"/>
    <x v="37"/>
    <x v="0"/>
    <x v="0"/>
    <x v="27"/>
    <x v="0"/>
    <x v="0"/>
    <x v="529"/>
    <x v="55"/>
    <x v="0"/>
    <x v="0"/>
    <x v="99"/>
    <x v="0"/>
    <x v="0"/>
    <x v="287"/>
    <m/>
    <m/>
    <m/>
  </r>
  <r>
    <m/>
    <m/>
    <m/>
    <m/>
    <m/>
    <m/>
    <m/>
    <m/>
    <n v="0"/>
    <n v="0"/>
    <n v="0"/>
    <n v="0"/>
    <n v="0"/>
    <n v="0"/>
    <m/>
    <s v="72000"/>
    <s v="4510"/>
    <s v="00"/>
    <s v="Prélèvements aux fonds et financement spéciaux"/>
    <m/>
    <m/>
    <m/>
    <m/>
    <m/>
    <m/>
    <x v="0"/>
    <x v="1"/>
    <x v="0"/>
    <x v="0"/>
    <x v="4"/>
    <x v="0"/>
    <x v="0"/>
    <x v="4"/>
    <x v="55"/>
    <x v="0"/>
    <x v="0"/>
    <x v="97"/>
    <x v="0"/>
    <x v="0"/>
    <x v="278"/>
    <m/>
    <m/>
    <m/>
  </r>
  <r>
    <n v="0"/>
    <s v="460.381.1"/>
    <s v="EGOUTS  ATTRIB FINANC SPECIAUX PGEE (9280.4)"/>
    <s v="CMA"/>
    <s v="46"/>
    <n v="460"/>
    <s v="381"/>
    <n v="1"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27"/>
    <x v="1"/>
    <x v="0"/>
    <x v="530"/>
    <x v="1"/>
    <x v="0"/>
    <x v="0"/>
    <x v="9"/>
    <x v="2"/>
    <x v="0"/>
    <x v="17"/>
    <m/>
    <m/>
    <m/>
  </r>
  <r>
    <n v="0"/>
    <s v="460.390.1"/>
    <s v="EGOUTS  IMPUTATIONS INT SALAIRES"/>
    <s v="CMA"/>
    <s v="46"/>
    <n v="460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7"/>
    <x v="1"/>
    <x v="0"/>
    <x v="531"/>
    <x v="1"/>
    <x v="0"/>
    <x v="0"/>
    <x v="9"/>
    <x v="2"/>
    <x v="0"/>
    <x v="17"/>
    <m/>
    <m/>
    <m/>
  </r>
  <r>
    <n v="0"/>
    <s v="460.434"/>
    <s v="EGOUTS  TAXES EPURATION (TVA CHE 112.556.374 - 8.1 %)"/>
    <s v="CMA"/>
    <s v="46"/>
    <n v="460"/>
    <s v="434"/>
    <m/>
    <n v="0"/>
    <n v="-298104.90000000002"/>
    <n v="-298104.90000000002"/>
    <n v="0"/>
    <n v="-312500"/>
    <n v="-312500"/>
    <n v="-21.3"/>
    <s v="72000"/>
    <s v="4240"/>
    <s v="00"/>
    <s v="Taxes d'utilisation et prestations de service - épuration"/>
    <n v="-298104.90000000002"/>
    <m/>
    <m/>
    <s v="Taxe épuration avec déduction des sous-compteurs"/>
    <m/>
    <m/>
    <x v="0"/>
    <x v="37"/>
    <x v="0"/>
    <x v="0"/>
    <x v="50"/>
    <x v="0"/>
    <x v="0"/>
    <x v="532"/>
    <x v="55"/>
    <x v="0"/>
    <x v="0"/>
    <x v="37"/>
    <x v="0"/>
    <x v="0"/>
    <x v="291"/>
    <m/>
    <m/>
    <m/>
  </r>
  <r>
    <n v="0"/>
    <s v="460.434.1"/>
    <s v="EGOUTS  TAXES RACCORDEMENTS"/>
    <s v="CMA"/>
    <s v="46"/>
    <n v="460"/>
    <s v="434"/>
    <n v="1"/>
    <n v="0"/>
    <n v="-57143.199999999997"/>
    <n v="-57143.199999999997"/>
    <n v="0"/>
    <n v="0"/>
    <n v="0"/>
    <n v="-243"/>
    <s v="72000"/>
    <s v="4240"/>
    <s v="01"/>
    <s v="Taxes d'utilisation et prestations de service - raccordement"/>
    <n v="-57143.199999999997"/>
    <m/>
    <m/>
    <m/>
    <m/>
    <m/>
    <x v="0"/>
    <x v="37"/>
    <x v="0"/>
    <x v="0"/>
    <x v="50"/>
    <x v="1"/>
    <x v="0"/>
    <x v="533"/>
    <x v="55"/>
    <x v="0"/>
    <x v="0"/>
    <x v="37"/>
    <x v="1"/>
    <x v="0"/>
    <x v="292"/>
    <m/>
    <m/>
    <m/>
  </r>
  <r>
    <n v="0"/>
    <s v="460.434.3"/>
    <s v="EGOUTS  TAXES PERIODIQUES RESERVE PGEE"/>
    <s v="CMA"/>
    <s v="46"/>
    <n v="460"/>
    <s v="434"/>
    <n v="3"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50"/>
    <x v="3"/>
    <x v="0"/>
    <x v="534"/>
    <x v="1"/>
    <x v="0"/>
    <x v="0"/>
    <x v="9"/>
    <x v="2"/>
    <x v="0"/>
    <x v="17"/>
    <m/>
    <m/>
    <m/>
  </r>
  <r>
    <n v="0"/>
    <s v="460.434.4"/>
    <s v="EGOUTS TAXE MICROPOLLUANTS"/>
    <s v="CMA"/>
    <s v="46"/>
    <n v="460"/>
    <s v="434"/>
    <n v="4"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50"/>
    <x v="6"/>
    <x v="0"/>
    <x v="535"/>
    <x v="1"/>
    <x v="0"/>
    <x v="0"/>
    <x v="9"/>
    <x v="2"/>
    <x v="0"/>
    <x v="17"/>
    <m/>
    <m/>
    <m/>
  </r>
  <r>
    <n v="0"/>
    <s v="460.436"/>
    <s v="EGOUTS  PART DE TIERS"/>
    <s v="CMA"/>
    <s v="46"/>
    <n v="460"/>
    <s v="436"/>
    <m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13"/>
    <x v="0"/>
    <x v="0"/>
    <x v="536"/>
    <x v="1"/>
    <x v="0"/>
    <x v="0"/>
    <x v="9"/>
    <x v="2"/>
    <x v="0"/>
    <x v="17"/>
    <m/>
    <m/>
    <m/>
  </r>
  <r>
    <n v="0"/>
    <s v="460.452"/>
    <s v="EGOUTS  APEC RISTOURNE"/>
    <s v="CMA"/>
    <s v="46"/>
    <n v="460"/>
    <s v="452"/>
    <m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51"/>
    <x v="0"/>
    <x v="0"/>
    <x v="537"/>
    <x v="1"/>
    <x v="0"/>
    <x v="0"/>
    <x v="9"/>
    <x v="2"/>
    <x v="0"/>
    <x v="17"/>
    <m/>
    <m/>
    <m/>
  </r>
  <r>
    <n v="0"/>
    <s v="460.480"/>
    <s v="Prélèvement au fonds de réserve SP EGOUTS/EPURATION (9280.2)"/>
    <s v="CMA"/>
    <s v="46"/>
    <n v="460"/>
    <s v="480"/>
    <m/>
    <n v="0"/>
    <n v="0"/>
    <n v="0"/>
    <n v="0"/>
    <n v="0"/>
    <n v="0"/>
    <n v="0"/>
    <s v="-"/>
    <s v="-"/>
    <s v="-"/>
    <s v="-"/>
    <m/>
    <m/>
    <m/>
    <m/>
    <m/>
    <m/>
    <x v="0"/>
    <x v="37"/>
    <x v="0"/>
    <x v="0"/>
    <x v="14"/>
    <x v="0"/>
    <x v="0"/>
    <x v="538"/>
    <x v="1"/>
    <x v="0"/>
    <x v="0"/>
    <x v="9"/>
    <x v="2"/>
    <x v="0"/>
    <x v="17"/>
    <m/>
    <m/>
    <m/>
  </r>
  <r>
    <n v="0"/>
    <s v="460.481"/>
    <s v="EGOUTS  PRELEV FINANC SPECIAUX (9280.2)"/>
    <s v="CMA"/>
    <s v="46"/>
    <n v="460"/>
    <s v="481"/>
    <m/>
    <n v="0"/>
    <n v="-498873.96"/>
    <n v="-498873.96"/>
    <n v="0"/>
    <n v="-164865"/>
    <n v="-164865"/>
    <n v="0"/>
    <s v="72000"/>
    <s v="4510"/>
    <s v="00"/>
    <s v="Prélèvements aux fonds et financement spéciaux"/>
    <n v="-498873.96"/>
    <m/>
    <m/>
    <m/>
    <m/>
    <m/>
    <x v="0"/>
    <x v="37"/>
    <x v="0"/>
    <x v="0"/>
    <x v="29"/>
    <x v="0"/>
    <x v="0"/>
    <x v="539"/>
    <x v="55"/>
    <x v="0"/>
    <x v="0"/>
    <x v="97"/>
    <x v="0"/>
    <x v="0"/>
    <x v="278"/>
    <m/>
    <m/>
    <m/>
  </r>
  <r>
    <m/>
    <m/>
    <m/>
    <m/>
    <m/>
    <m/>
    <m/>
    <m/>
    <n v="0"/>
    <n v="0"/>
    <n v="0"/>
    <n v="0"/>
    <n v="0"/>
    <n v="0"/>
    <m/>
    <s v="72000"/>
    <s v="3510"/>
    <s v="00"/>
    <s v="Attributions aux fonds et financements spéciaux"/>
    <m/>
    <m/>
    <m/>
    <m/>
    <m/>
    <m/>
    <x v="0"/>
    <x v="1"/>
    <x v="0"/>
    <x v="0"/>
    <x v="4"/>
    <x v="0"/>
    <x v="0"/>
    <x v="4"/>
    <x v="55"/>
    <x v="0"/>
    <x v="0"/>
    <x v="99"/>
    <x v="0"/>
    <x v="0"/>
    <x v="287"/>
    <m/>
    <m/>
    <m/>
  </r>
  <r>
    <n v="0"/>
    <s v="470.314"/>
    <s v="COURS D'EAU  ENTRETIEN"/>
    <s v="ADA"/>
    <s v="47"/>
    <n v="470"/>
    <s v="314"/>
    <m/>
    <n v="0"/>
    <n v="0"/>
    <n v="0"/>
    <n v="0"/>
    <n v="0"/>
    <n v="0"/>
    <n v="0"/>
    <s v="-"/>
    <s v="-"/>
    <s v="-"/>
    <s v="-"/>
    <m/>
    <m/>
    <m/>
    <m/>
    <m/>
    <m/>
    <x v="0"/>
    <x v="38"/>
    <x v="0"/>
    <x v="0"/>
    <x v="25"/>
    <x v="0"/>
    <x v="0"/>
    <x v="540"/>
    <x v="1"/>
    <x v="0"/>
    <x v="0"/>
    <x v="9"/>
    <x v="2"/>
    <x v="0"/>
    <x v="17"/>
    <m/>
    <m/>
    <m/>
  </r>
  <r>
    <n v="0"/>
    <s v="470.331"/>
    <s v="COURS D'EAU  Amortissement obligatoire Patr.Administratif"/>
    <s v="ADA"/>
    <s v="47"/>
    <n v="470"/>
    <s v="331"/>
    <m/>
    <n v="0"/>
    <n v="0"/>
    <n v="0"/>
    <n v="0"/>
    <n v="0"/>
    <n v="0"/>
    <n v="0"/>
    <s v="-"/>
    <s v="-"/>
    <s v="-"/>
    <s v="-"/>
    <m/>
    <m/>
    <m/>
    <m/>
    <m/>
    <m/>
    <x v="0"/>
    <x v="38"/>
    <x v="0"/>
    <x v="0"/>
    <x v="31"/>
    <x v="0"/>
    <x v="0"/>
    <x v="541"/>
    <x v="1"/>
    <x v="0"/>
    <x v="0"/>
    <x v="9"/>
    <x v="2"/>
    <x v="0"/>
    <x v="17"/>
    <m/>
    <m/>
    <m/>
  </r>
  <r>
    <n v="0"/>
    <s v="470.436"/>
    <s v="COURS D'EAU  PART DE TIERS"/>
    <s v="ADA"/>
    <s v="47"/>
    <n v="470"/>
    <s v="436"/>
    <m/>
    <n v="0"/>
    <n v="0"/>
    <n v="0"/>
    <n v="0"/>
    <n v="0"/>
    <n v="0"/>
    <n v="0"/>
    <s v="-"/>
    <s v="-"/>
    <s v="-"/>
    <s v="-"/>
    <m/>
    <m/>
    <m/>
    <m/>
    <m/>
    <m/>
    <x v="0"/>
    <x v="38"/>
    <x v="0"/>
    <x v="0"/>
    <x v="13"/>
    <x v="0"/>
    <x v="0"/>
    <x v="542"/>
    <x v="1"/>
    <x v="0"/>
    <x v="0"/>
    <x v="9"/>
    <x v="2"/>
    <x v="0"/>
    <x v="17"/>
    <m/>
    <m/>
    <m/>
  </r>
  <r>
    <n v="0"/>
    <s v="470.451"/>
    <s v="COURS D'EAU  PART CANTON Subvention"/>
    <s v="ADA"/>
    <s v="47"/>
    <n v="470"/>
    <s v="451"/>
    <m/>
    <n v="0"/>
    <n v="0"/>
    <n v="0"/>
    <n v="0"/>
    <n v="0"/>
    <n v="0"/>
    <n v="0"/>
    <s v="-"/>
    <s v="-"/>
    <s v="-"/>
    <s v="-"/>
    <m/>
    <m/>
    <m/>
    <m/>
    <m/>
    <m/>
    <x v="0"/>
    <x v="38"/>
    <x v="0"/>
    <x v="0"/>
    <x v="32"/>
    <x v="0"/>
    <x v="0"/>
    <x v="543"/>
    <x v="1"/>
    <x v="0"/>
    <x v="0"/>
    <x v="9"/>
    <x v="2"/>
    <x v="0"/>
    <x v="17"/>
    <m/>
    <m/>
    <m/>
  </r>
  <r>
    <n v="0"/>
    <s v="470.480"/>
    <s v="COURS D'EAU  PREL FONDS RENOUV (9282.1)"/>
    <s v="ADA"/>
    <s v="47"/>
    <n v="470"/>
    <s v="480"/>
    <m/>
    <n v="0"/>
    <n v="0"/>
    <n v="0"/>
    <n v="0"/>
    <n v="0"/>
    <n v="0"/>
    <n v="0"/>
    <s v="-"/>
    <s v="-"/>
    <s v="-"/>
    <s v="-"/>
    <m/>
    <m/>
    <m/>
    <m/>
    <m/>
    <m/>
    <x v="0"/>
    <x v="38"/>
    <x v="0"/>
    <x v="0"/>
    <x v="14"/>
    <x v="0"/>
    <x v="0"/>
    <x v="544"/>
    <x v="1"/>
    <x v="0"/>
    <x v="0"/>
    <x v="9"/>
    <x v="2"/>
    <x v="0"/>
    <x v="17"/>
    <m/>
    <m/>
    <m/>
  </r>
  <r>
    <n v="0"/>
    <s v="500.352"/>
    <s v="ENSEIGNEMENT FRAIS AMDINISTRATIF PRIMAIRE et SECONDAIRE"/>
    <s v="EFA"/>
    <s v="50"/>
    <n v="500"/>
    <s v="352"/>
    <m/>
    <n v="164443.34"/>
    <n v="0"/>
    <n v="164443.34"/>
    <n v="194945"/>
    <n v="0"/>
    <n v="194945"/>
    <n v="0"/>
    <s v="21990"/>
    <s v="3612"/>
    <s v="02"/>
    <s v="Parts aux communes et assoc intercomm - AISGE - Coûts scolaires"/>
    <n v="164443.34"/>
    <m/>
    <m/>
    <m/>
    <m/>
    <m/>
    <x v="0"/>
    <x v="39"/>
    <x v="0"/>
    <x v="0"/>
    <x v="26"/>
    <x v="0"/>
    <x v="0"/>
    <x v="545"/>
    <x v="56"/>
    <x v="0"/>
    <x v="0"/>
    <x v="13"/>
    <x v="5"/>
    <x v="0"/>
    <x v="293"/>
    <m/>
    <m/>
    <m/>
  </r>
  <r>
    <n v="0"/>
    <s v="510.352"/>
    <s v="ENSEIGNEMENT PRIMAIRE  PART ESGE"/>
    <s v="EFA"/>
    <s v="51"/>
    <n v="510"/>
    <s v="352"/>
    <m/>
    <n v="675033.19"/>
    <n v="0"/>
    <n v="675033.19"/>
    <n v="894868"/>
    <n v="0"/>
    <n v="894868"/>
    <n v="0"/>
    <s v="21991"/>
    <s v="3612"/>
    <s v="00"/>
    <s v="Parts aux communes et assoc intercomm - AISGE - Loyers"/>
    <n v="608538.67000000004"/>
    <m/>
    <m/>
    <m/>
    <m/>
    <m/>
    <x v="0"/>
    <x v="40"/>
    <x v="0"/>
    <x v="0"/>
    <x v="26"/>
    <x v="0"/>
    <x v="0"/>
    <x v="546"/>
    <x v="57"/>
    <x v="0"/>
    <x v="0"/>
    <x v="13"/>
    <x v="0"/>
    <x v="0"/>
    <x v="294"/>
    <m/>
    <m/>
    <m/>
  </r>
  <r>
    <m/>
    <s v="510.352"/>
    <s v="ENSEIGNEMENT PRIMAIRE  PART ESGE"/>
    <s v="EFA"/>
    <s v="51"/>
    <n v="510"/>
    <s v="352"/>
    <m/>
    <n v="0"/>
    <n v="0"/>
    <n v="0"/>
    <n v="0"/>
    <n v="0"/>
    <n v="0"/>
    <m/>
    <s v="21991"/>
    <s v="3612"/>
    <s v="02"/>
    <s v="Parts aux communes et assoc intercomm - AISGE - Coûts scolaires"/>
    <n v="66494.53"/>
    <m/>
    <m/>
    <m/>
    <m/>
    <m/>
    <x v="0"/>
    <x v="40"/>
    <x v="0"/>
    <x v="0"/>
    <x v="26"/>
    <x v="0"/>
    <x v="0"/>
    <x v="546"/>
    <x v="57"/>
    <x v="0"/>
    <x v="0"/>
    <x v="13"/>
    <x v="5"/>
    <x v="0"/>
    <x v="293"/>
    <m/>
    <m/>
    <m/>
  </r>
  <r>
    <n v="0"/>
    <s v="510.366"/>
    <s v="ENSEIGNEMENT PRIMAIRE Transports scolaires"/>
    <s v="EFA"/>
    <s v="51"/>
    <n v="510"/>
    <s v="366"/>
    <m/>
    <n v="139196.22"/>
    <n v="0"/>
    <n v="139196.22"/>
    <n v="175795"/>
    <n v="0"/>
    <n v="175795"/>
    <n v="0"/>
    <s v="21991"/>
    <s v="3612"/>
    <s v="01"/>
    <s v="Parts aux communes et assoc intercomm - AISGE - Transports"/>
    <n v="139196.22"/>
    <m/>
    <m/>
    <m/>
    <m/>
    <m/>
    <x v="0"/>
    <x v="40"/>
    <x v="0"/>
    <x v="0"/>
    <x v="57"/>
    <x v="0"/>
    <x v="0"/>
    <x v="547"/>
    <x v="57"/>
    <x v="0"/>
    <x v="0"/>
    <x v="13"/>
    <x v="1"/>
    <x v="0"/>
    <x v="295"/>
    <m/>
    <m/>
    <m/>
  </r>
  <r>
    <n v="0"/>
    <s v="520.318"/>
    <s v="ENSEIGNEMENT SECONDAIRE  Prestations / Acomptes"/>
    <s v="EFA"/>
    <s v="52"/>
    <n v="520"/>
    <s v="318"/>
    <m/>
    <n v="0"/>
    <n v="0"/>
    <n v="0"/>
    <n v="0"/>
    <n v="0"/>
    <n v="0"/>
    <n v="700560"/>
    <s v="-"/>
    <s v="-"/>
    <s v="-"/>
    <s v="-"/>
    <m/>
    <m/>
    <m/>
    <s v="toujour à zéro en fin d'année"/>
    <m/>
    <m/>
    <x v="0"/>
    <x v="41"/>
    <x v="0"/>
    <x v="0"/>
    <x v="10"/>
    <x v="0"/>
    <x v="0"/>
    <x v="548"/>
    <x v="1"/>
    <x v="0"/>
    <x v="0"/>
    <x v="9"/>
    <x v="2"/>
    <x v="0"/>
    <x v="17"/>
    <m/>
    <m/>
    <m/>
  </r>
  <r>
    <n v="0"/>
    <s v="520.352"/>
    <s v="ENSEIGNEMENT SECONDAIRE  PART AISGE"/>
    <s v="EFA"/>
    <s v="52"/>
    <n v="520"/>
    <s v="352"/>
    <m/>
    <n v="266253.19"/>
    <n v="0"/>
    <n v="266253.19"/>
    <n v="259868"/>
    <n v="0"/>
    <n v="259868"/>
    <n v="0"/>
    <s v="21992"/>
    <s v="3612"/>
    <s v="00"/>
    <s v="Parts aux communes et assoc intercomm - AISGE - Loyers"/>
    <n v="208643.75"/>
    <m/>
    <m/>
    <m/>
    <m/>
    <m/>
    <x v="0"/>
    <x v="41"/>
    <x v="0"/>
    <x v="0"/>
    <x v="26"/>
    <x v="0"/>
    <x v="0"/>
    <x v="549"/>
    <x v="58"/>
    <x v="0"/>
    <x v="0"/>
    <x v="13"/>
    <x v="0"/>
    <x v="0"/>
    <x v="294"/>
    <m/>
    <m/>
    <m/>
  </r>
  <r>
    <m/>
    <s v="520.352"/>
    <s v="ENSEIGNEMENT SECONDAIRE  PART AISGE"/>
    <s v="EFA"/>
    <s v="52"/>
    <n v="520"/>
    <s v="352"/>
    <m/>
    <n v="0"/>
    <n v="0"/>
    <n v="0"/>
    <n v="0"/>
    <n v="0"/>
    <n v="0"/>
    <m/>
    <s v="21992"/>
    <s v="3612"/>
    <s v="02"/>
    <s v="Parts aux communes et assoc intercomm - AISGE - Coûts scolaires"/>
    <n v="57609.440000000002"/>
    <m/>
    <m/>
    <m/>
    <m/>
    <m/>
    <x v="0"/>
    <x v="41"/>
    <x v="0"/>
    <x v="0"/>
    <x v="26"/>
    <x v="0"/>
    <x v="0"/>
    <x v="549"/>
    <x v="58"/>
    <x v="0"/>
    <x v="0"/>
    <x v="13"/>
    <x v="5"/>
    <x v="0"/>
    <x v="293"/>
    <m/>
    <m/>
    <m/>
  </r>
  <r>
    <n v="0"/>
    <s v="520.366"/>
    <s v="ENSEIGNEMENT SECONDAIRE  Transports scolaires"/>
    <s v="EFA"/>
    <s v="52"/>
    <n v="520"/>
    <s v="366"/>
    <m/>
    <n v="35449.4"/>
    <n v="0"/>
    <n v="35449.4"/>
    <n v="30704"/>
    <n v="0"/>
    <n v="30704"/>
    <n v="0"/>
    <s v="21992"/>
    <s v="3612"/>
    <s v="01"/>
    <s v="Parts aux communes et assoc intercomm - AISGE - Transports"/>
    <n v="35449.4"/>
    <m/>
    <m/>
    <m/>
    <m/>
    <m/>
    <x v="0"/>
    <x v="41"/>
    <x v="0"/>
    <x v="0"/>
    <x v="57"/>
    <x v="0"/>
    <x v="0"/>
    <x v="550"/>
    <x v="58"/>
    <x v="0"/>
    <x v="0"/>
    <x v="13"/>
    <x v="1"/>
    <x v="0"/>
    <x v="295"/>
    <m/>
    <m/>
    <m/>
  </r>
  <r>
    <n v="0"/>
    <s v="530.351"/>
    <s v="ENSEIGNEMENT SPECIALISE  PART AU CANTON"/>
    <s v="EFA"/>
    <s v="53"/>
    <n v="530"/>
    <s v="351"/>
    <m/>
    <n v="33479.67"/>
    <n v="0"/>
    <n v="33479.67"/>
    <n v="36512"/>
    <n v="0"/>
    <n v="36512"/>
    <n v="0"/>
    <s v="21993"/>
    <s v="3612"/>
    <s v="02"/>
    <s v="Parts aux communes et assoc intercomm - AISGE - Coûts scolaires"/>
    <n v="33479.67"/>
    <m/>
    <m/>
    <m/>
    <m/>
    <m/>
    <x v="0"/>
    <x v="42"/>
    <x v="0"/>
    <x v="0"/>
    <x v="33"/>
    <x v="0"/>
    <x v="0"/>
    <x v="551"/>
    <x v="59"/>
    <x v="0"/>
    <x v="0"/>
    <x v="13"/>
    <x v="5"/>
    <x v="0"/>
    <x v="293"/>
    <m/>
    <m/>
    <m/>
  </r>
  <r>
    <n v="0"/>
    <s v="530.451"/>
    <s v="ENSEIGNEMENT SPECIALISE  RB DU CANTON"/>
    <s v="EFA"/>
    <s v="53"/>
    <n v="530"/>
    <s v="451"/>
    <m/>
    <n v="0"/>
    <n v="0"/>
    <n v="0"/>
    <n v="0"/>
    <n v="0"/>
    <n v="0"/>
    <n v="0"/>
    <s v="-"/>
    <s v="-"/>
    <s v="-"/>
    <s v="-"/>
    <m/>
    <m/>
    <m/>
    <m/>
    <m/>
    <m/>
    <x v="0"/>
    <x v="42"/>
    <x v="0"/>
    <x v="0"/>
    <x v="32"/>
    <x v="0"/>
    <x v="0"/>
    <x v="552"/>
    <x v="1"/>
    <x v="0"/>
    <x v="0"/>
    <x v="9"/>
    <x v="2"/>
    <x v="0"/>
    <x v="17"/>
    <m/>
    <m/>
    <m/>
  </r>
  <r>
    <n v="0"/>
    <s v="540.352"/>
    <s v="ORIENTATION PROFESSIONNELLE"/>
    <s v="EFA"/>
    <s v="54"/>
    <n v="540"/>
    <s v="352"/>
    <m/>
    <n v="2901"/>
    <n v="0"/>
    <n v="2901"/>
    <n v="2870.2"/>
    <n v="0"/>
    <n v="2870.2"/>
    <n v="0"/>
    <s v="29900"/>
    <s v="3612"/>
    <s v="00"/>
    <s v="Parts aux communes et assoc intercomm - Ville de Nyon - orientation"/>
    <n v="2901"/>
    <m/>
    <m/>
    <s v="Ville de Nyon Office d'orientation scolaire et professsionnelle frais fonctionnement "/>
    <m/>
    <m/>
    <x v="0"/>
    <x v="43"/>
    <x v="0"/>
    <x v="0"/>
    <x v="26"/>
    <x v="0"/>
    <x v="0"/>
    <x v="553"/>
    <x v="60"/>
    <x v="0"/>
    <x v="0"/>
    <x v="13"/>
    <x v="0"/>
    <x v="0"/>
    <x v="296"/>
    <m/>
    <m/>
    <m/>
  </r>
  <r>
    <n v="0"/>
    <s v="550.352"/>
    <s v="Centre de Jeunes AISGE"/>
    <s v="EFA"/>
    <s v="55"/>
    <n v="550"/>
    <s v="352"/>
    <m/>
    <n v="66236.63"/>
    <n v="0"/>
    <n v="66236.63"/>
    <n v="93577"/>
    <n v="0"/>
    <n v="93577"/>
    <n v="0"/>
    <s v="21994"/>
    <s v="3612"/>
    <s v="02"/>
    <s v="Parts aux communes et assoc intercomm - AISGE - Coûts scolaires"/>
    <n v="66236.63"/>
    <m/>
    <m/>
    <m/>
    <m/>
    <m/>
    <x v="0"/>
    <x v="44"/>
    <x v="0"/>
    <x v="0"/>
    <x v="26"/>
    <x v="0"/>
    <x v="0"/>
    <x v="554"/>
    <x v="61"/>
    <x v="0"/>
    <x v="0"/>
    <x v="13"/>
    <x v="5"/>
    <x v="0"/>
    <x v="293"/>
    <m/>
    <m/>
    <m/>
  </r>
  <r>
    <n v="0"/>
    <s v="560.352"/>
    <s v="SERVICE MEDICAL  AISGE + DENTAIRE"/>
    <s v="EFA"/>
    <s v="56"/>
    <n v="560"/>
    <s v="352"/>
    <m/>
    <n v="9078.19"/>
    <n v="0"/>
    <n v="9078.19"/>
    <n v="9556"/>
    <n v="0"/>
    <n v="9556"/>
    <n v="0"/>
    <s v="43300"/>
    <s v="3612"/>
    <s v="02"/>
    <s v="Parts aux communes et assoc intercomm - AISGE - Coûts scolaires"/>
    <n v="1030.19"/>
    <m/>
    <m/>
    <m/>
    <m/>
    <m/>
    <x v="0"/>
    <x v="45"/>
    <x v="0"/>
    <x v="0"/>
    <x v="26"/>
    <x v="0"/>
    <x v="0"/>
    <x v="555"/>
    <x v="62"/>
    <x v="0"/>
    <x v="0"/>
    <x v="13"/>
    <x v="5"/>
    <x v="0"/>
    <x v="293"/>
    <m/>
    <m/>
    <m/>
  </r>
  <r>
    <m/>
    <s v="560.352"/>
    <s v="SERVICE MEDICAL  AISGE + DENTAIRE"/>
    <s v="EFA"/>
    <s v="56"/>
    <n v="560"/>
    <s v="352"/>
    <m/>
    <n v="0"/>
    <n v="0"/>
    <n v="0"/>
    <n v="0"/>
    <n v="0"/>
    <n v="0"/>
    <m/>
    <s v="43300"/>
    <s v="3130"/>
    <s v="05"/>
    <s v="Prestations de services tiers - clinique dentaire"/>
    <n v="8048"/>
    <m/>
    <m/>
    <m/>
    <m/>
    <m/>
    <x v="0"/>
    <x v="45"/>
    <x v="0"/>
    <x v="0"/>
    <x v="26"/>
    <x v="0"/>
    <x v="0"/>
    <x v="555"/>
    <x v="62"/>
    <x v="0"/>
    <x v="0"/>
    <x v="10"/>
    <x v="7"/>
    <x v="0"/>
    <x v="297"/>
    <m/>
    <m/>
    <m/>
  </r>
  <r>
    <n v="0"/>
    <s v="570.352"/>
    <s v="CAMPS Scolaire AISGE"/>
    <s v="EFA"/>
    <s v="57"/>
    <n v="570"/>
    <s v="352"/>
    <m/>
    <n v="28583.02"/>
    <n v="0"/>
    <n v="28583.02"/>
    <n v="27603"/>
    <n v="0"/>
    <n v="27603"/>
    <n v="0"/>
    <s v="21995"/>
    <s v="3612"/>
    <s v="02"/>
    <s v="Parts aux communes et assoc intercomm - AISGE - Coûts scolaires"/>
    <n v="28583.02"/>
    <m/>
    <m/>
    <m/>
    <m/>
    <m/>
    <x v="0"/>
    <x v="46"/>
    <x v="0"/>
    <x v="0"/>
    <x v="26"/>
    <x v="0"/>
    <x v="0"/>
    <x v="556"/>
    <x v="63"/>
    <x v="0"/>
    <x v="0"/>
    <x v="13"/>
    <x v="5"/>
    <x v="0"/>
    <x v="293"/>
    <m/>
    <m/>
    <m/>
  </r>
  <r>
    <n v="0"/>
    <s v="580.318"/>
    <s v="EGLISE  CULTES  PREST SERVICES, ORGUE, SONO"/>
    <s v="EFA"/>
    <s v="58"/>
    <n v="580"/>
    <s v="318"/>
    <m/>
    <n v="0"/>
    <n v="0"/>
    <n v="0"/>
    <n v="0"/>
    <n v="0"/>
    <n v="0"/>
    <n v="0"/>
    <s v="-"/>
    <s v="-"/>
    <s v="-"/>
    <s v="-"/>
    <m/>
    <m/>
    <m/>
    <m/>
    <m/>
    <m/>
    <x v="0"/>
    <x v="47"/>
    <x v="0"/>
    <x v="0"/>
    <x v="10"/>
    <x v="0"/>
    <x v="0"/>
    <x v="557"/>
    <x v="1"/>
    <x v="0"/>
    <x v="0"/>
    <x v="9"/>
    <x v="2"/>
    <x v="0"/>
    <x v="17"/>
    <m/>
    <m/>
    <m/>
  </r>
  <r>
    <n v="0"/>
    <s v="580.331"/>
    <s v="EGLISE  AMORTISSSEMENT P ADMIN"/>
    <s v="EFA"/>
    <s v="58"/>
    <n v="580"/>
    <s v="331"/>
    <m/>
    <n v="0"/>
    <n v="0"/>
    <n v="0"/>
    <n v="0"/>
    <n v="0"/>
    <n v="0"/>
    <n v="0"/>
    <s v="-"/>
    <s v="-"/>
    <s v="-"/>
    <s v="-"/>
    <m/>
    <m/>
    <m/>
    <m/>
    <m/>
    <m/>
    <x v="0"/>
    <x v="47"/>
    <x v="0"/>
    <x v="0"/>
    <x v="31"/>
    <x v="0"/>
    <x v="0"/>
    <x v="558"/>
    <x v="1"/>
    <x v="0"/>
    <x v="0"/>
    <x v="9"/>
    <x v="2"/>
    <x v="0"/>
    <x v="17"/>
    <m/>
    <m/>
    <m/>
  </r>
  <r>
    <n v="0"/>
    <s v="580.332"/>
    <s v="EGLISE  AMORTISSSEMENT P ADM SUPPL"/>
    <s v="EFA"/>
    <s v="58"/>
    <n v="580"/>
    <s v="332"/>
    <m/>
    <n v="0"/>
    <n v="0"/>
    <n v="0"/>
    <n v="0"/>
    <n v="0"/>
    <n v="0"/>
    <n v="0"/>
    <s v="-"/>
    <s v="-"/>
    <s v="-"/>
    <s v="-"/>
    <m/>
    <m/>
    <m/>
    <m/>
    <m/>
    <m/>
    <x v="0"/>
    <x v="47"/>
    <x v="0"/>
    <x v="0"/>
    <x v="20"/>
    <x v="0"/>
    <x v="0"/>
    <x v="559"/>
    <x v="1"/>
    <x v="0"/>
    <x v="0"/>
    <x v="9"/>
    <x v="2"/>
    <x v="0"/>
    <x v="17"/>
    <m/>
    <m/>
    <m/>
  </r>
  <r>
    <n v="0"/>
    <s v="580.352"/>
    <s v="CULTES PART AUTRE PAROISSE"/>
    <s v="EFA"/>
    <s v="58"/>
    <n v="580"/>
    <s v="352"/>
    <m/>
    <n v="11608.05"/>
    <n v="0"/>
    <n v="11608.05"/>
    <n v="12236"/>
    <n v="0"/>
    <n v="12236"/>
    <n v="395.8"/>
    <s v="35000"/>
    <s v="3612"/>
    <s v="00"/>
    <s v="Parts aux communes et assoc intercomm - Parts aux communes et assoc intercomm"/>
    <n v="11608.05"/>
    <m/>
    <m/>
    <m/>
    <m/>
    <m/>
    <x v="0"/>
    <x v="47"/>
    <x v="0"/>
    <x v="0"/>
    <x v="26"/>
    <x v="0"/>
    <x v="0"/>
    <x v="560"/>
    <x v="33"/>
    <x v="0"/>
    <x v="0"/>
    <x v="13"/>
    <x v="0"/>
    <x v="0"/>
    <x v="298"/>
    <m/>
    <m/>
    <m/>
  </r>
  <r>
    <n v="0"/>
    <s v="600.318"/>
    <s v="POLICE  PREST SERVICES"/>
    <s v="ADA"/>
    <s v="60"/>
    <n v="600"/>
    <s v="318"/>
    <m/>
    <n v="0"/>
    <n v="0"/>
    <n v="0"/>
    <n v="0"/>
    <n v="0"/>
    <n v="0"/>
    <n v="0"/>
    <s v="-"/>
    <s v="-"/>
    <s v="-"/>
    <s v="-"/>
    <m/>
    <m/>
    <m/>
    <m/>
    <m/>
    <m/>
    <x v="0"/>
    <x v="48"/>
    <x v="0"/>
    <x v="0"/>
    <x v="10"/>
    <x v="0"/>
    <x v="0"/>
    <x v="561"/>
    <x v="1"/>
    <x v="0"/>
    <x v="0"/>
    <x v="9"/>
    <x v="2"/>
    <x v="0"/>
    <x v="17"/>
    <m/>
    <m/>
    <m/>
  </r>
  <r>
    <n v="0"/>
    <s v="600.351"/>
    <s v="POLICE  PART AU CANTON  FRAIS POLICE CANTONALE"/>
    <s v="ADA"/>
    <s v="60"/>
    <n v="600"/>
    <s v="351"/>
    <m/>
    <n v="326477"/>
    <n v="0"/>
    <n v="326477"/>
    <n v="324000"/>
    <n v="0"/>
    <n v="324000"/>
    <n v="162009"/>
    <s v="11100"/>
    <s v="3611"/>
    <s v="00"/>
    <s v="Péréquation - Parts aux Cantons (Réforme)"/>
    <n v="326477"/>
    <n v="335562"/>
    <m/>
    <s v="pas de la péréquation - ar fait entre les communes"/>
    <m/>
    <m/>
    <x v="0"/>
    <x v="48"/>
    <x v="0"/>
    <x v="0"/>
    <x v="33"/>
    <x v="0"/>
    <x v="0"/>
    <x v="562"/>
    <x v="10"/>
    <x v="0"/>
    <x v="0"/>
    <x v="96"/>
    <x v="0"/>
    <x v="0"/>
    <x v="299"/>
    <m/>
    <m/>
    <m/>
  </r>
  <r>
    <m/>
    <s v="600.351"/>
    <s v="POLICE  PART AU CANTON  FRAIS POLICE CANTONALE"/>
    <s v="ADA"/>
    <s v="60"/>
    <n v="600"/>
    <s v="351"/>
    <m/>
    <m/>
    <m/>
    <n v="0"/>
    <m/>
    <m/>
    <n v="0"/>
    <m/>
    <s v="11100"/>
    <s v="3611"/>
    <s v="01"/>
    <s v="Péréquation - Parts aux Cantons (Réforme) N-1"/>
    <m/>
    <m/>
    <m/>
    <m/>
    <m/>
    <m/>
    <x v="0"/>
    <x v="48"/>
    <x v="0"/>
    <x v="0"/>
    <x v="33"/>
    <x v="0"/>
    <x v="0"/>
    <x v="562"/>
    <x v="10"/>
    <x v="0"/>
    <x v="0"/>
    <x v="96"/>
    <x v="1"/>
    <x v="0"/>
    <x v="97"/>
    <m/>
    <m/>
    <m/>
  </r>
  <r>
    <m/>
    <s v="600.351"/>
    <s v="POLICE  PART AU CANTON  FRAIS POLICE CANTONALE"/>
    <s v="ADA"/>
    <s v="60"/>
    <n v="600"/>
    <s v="351"/>
    <m/>
    <m/>
    <m/>
    <n v="0"/>
    <m/>
    <m/>
    <n v="0"/>
    <m/>
    <s v="11100"/>
    <s v="4611"/>
    <s v="00"/>
    <s v="Péréquation - Parts aux Cantons (Réforme)"/>
    <m/>
    <m/>
    <m/>
    <m/>
    <m/>
    <m/>
    <x v="0"/>
    <x v="48"/>
    <x v="0"/>
    <x v="0"/>
    <x v="33"/>
    <x v="0"/>
    <x v="0"/>
    <x v="562"/>
    <x v="10"/>
    <x v="0"/>
    <x v="0"/>
    <x v="28"/>
    <x v="0"/>
    <x v="0"/>
    <x v="299"/>
    <m/>
    <m/>
    <m/>
  </r>
  <r>
    <m/>
    <s v="600.351"/>
    <s v="POLICE  PART AU CANTON  FRAIS POLICE CANTONALE"/>
    <s v="ADA"/>
    <s v="60"/>
    <n v="600"/>
    <s v="351"/>
    <m/>
    <m/>
    <m/>
    <n v="0"/>
    <m/>
    <m/>
    <n v="0"/>
    <m/>
    <s v="11100"/>
    <s v="4611"/>
    <s v="01"/>
    <s v="Péréquation - Parts aux Cantons (Réforme) N-1"/>
    <m/>
    <m/>
    <m/>
    <m/>
    <m/>
    <m/>
    <x v="0"/>
    <x v="48"/>
    <x v="0"/>
    <x v="0"/>
    <x v="33"/>
    <x v="0"/>
    <x v="0"/>
    <x v="562"/>
    <x v="10"/>
    <x v="0"/>
    <x v="0"/>
    <x v="28"/>
    <x v="1"/>
    <x v="0"/>
    <x v="97"/>
    <m/>
    <m/>
    <m/>
  </r>
  <r>
    <n v="0"/>
    <s v="600.351.1"/>
    <s v="POLICE  PART AU CANTON SOLDE ANNEE PRECEDENTE"/>
    <s v="ADA"/>
    <s v="60"/>
    <n v="600"/>
    <s v="351"/>
    <n v="1"/>
    <n v="0"/>
    <n v="0"/>
    <n v="0"/>
    <n v="0"/>
    <n v="0"/>
    <n v="0"/>
    <n v="0"/>
    <s v="-"/>
    <s v="-"/>
    <s v="-"/>
    <s v="-"/>
    <m/>
    <m/>
    <m/>
    <m/>
    <m/>
    <m/>
    <x v="0"/>
    <x v="48"/>
    <x v="0"/>
    <x v="0"/>
    <x v="33"/>
    <x v="1"/>
    <x v="0"/>
    <x v="563"/>
    <x v="1"/>
    <x v="0"/>
    <x v="0"/>
    <x v="9"/>
    <x v="2"/>
    <x v="0"/>
    <x v="17"/>
    <m/>
    <m/>
    <m/>
  </r>
  <r>
    <n v="0"/>
    <s v="600.431"/>
    <s v="POLICE  EMOLUMENTS"/>
    <s v="ADA"/>
    <s v="60"/>
    <n v="600"/>
    <s v="431"/>
    <m/>
    <n v="0"/>
    <n v="0"/>
    <n v="0"/>
    <n v="0"/>
    <n v="0"/>
    <n v="0"/>
    <n v="0"/>
    <s v="-"/>
    <s v="-"/>
    <s v="-"/>
    <s v="-"/>
    <m/>
    <m/>
    <m/>
    <m/>
    <m/>
    <m/>
    <x v="0"/>
    <x v="48"/>
    <x v="0"/>
    <x v="0"/>
    <x v="23"/>
    <x v="0"/>
    <x v="0"/>
    <x v="564"/>
    <x v="1"/>
    <x v="0"/>
    <x v="0"/>
    <x v="9"/>
    <x v="2"/>
    <x v="0"/>
    <x v="17"/>
    <m/>
    <m/>
    <m/>
  </r>
  <r>
    <n v="0"/>
    <s v="600.437"/>
    <s v="POLICE  AMENDES"/>
    <s v="ADA"/>
    <s v="60"/>
    <n v="600"/>
    <s v="437"/>
    <m/>
    <n v="0"/>
    <n v="-200"/>
    <n v="-200"/>
    <n v="0"/>
    <n v="0"/>
    <n v="0"/>
    <n v="0"/>
    <s v="11100"/>
    <s v="4270"/>
    <s v="00"/>
    <s v="Amendes (OP)"/>
    <n v="-200"/>
    <m/>
    <m/>
    <s v="ordonnance pénale (amende faite par la commune)"/>
    <m/>
    <m/>
    <x v="0"/>
    <x v="48"/>
    <x v="0"/>
    <x v="0"/>
    <x v="56"/>
    <x v="0"/>
    <x v="0"/>
    <x v="565"/>
    <x v="10"/>
    <x v="0"/>
    <x v="0"/>
    <x v="100"/>
    <x v="0"/>
    <x v="0"/>
    <x v="300"/>
    <m/>
    <m/>
    <m/>
  </r>
  <r>
    <n v="0"/>
    <s v="600.451"/>
    <s v="POLICE  REMB DU CANTON ANNEE PRECEDENTE"/>
    <s v="ADA"/>
    <s v="60"/>
    <n v="600"/>
    <s v="451"/>
    <m/>
    <n v="0"/>
    <n v="0"/>
    <n v="0"/>
    <n v="0"/>
    <n v="0"/>
    <n v="0"/>
    <n v="0"/>
    <s v="-"/>
    <s v="-"/>
    <s v="-"/>
    <s v="-"/>
    <m/>
    <m/>
    <m/>
    <m/>
    <m/>
    <m/>
    <x v="0"/>
    <x v="48"/>
    <x v="0"/>
    <x v="0"/>
    <x v="32"/>
    <x v="0"/>
    <x v="0"/>
    <x v="566"/>
    <x v="1"/>
    <x v="0"/>
    <x v="0"/>
    <x v="9"/>
    <x v="2"/>
    <x v="0"/>
    <x v="17"/>
    <m/>
    <m/>
    <m/>
  </r>
  <r>
    <n v="0"/>
    <s v="620.301"/>
    <s v="CONTRÔLE HABITANTS SALAIRES"/>
    <s v="ADA"/>
    <s v="62"/>
    <n v="620"/>
    <s v="301"/>
    <m/>
    <n v="51802.400000000001"/>
    <n v="0"/>
    <n v="51802.400000000001"/>
    <n v="47000"/>
    <n v="0"/>
    <n v="47000"/>
    <n v="28172.9"/>
    <s v="02210"/>
    <s v="3910"/>
    <s v="00"/>
    <s v="Imputations internes  - Contrôle des habitants"/>
    <n v="51802.400000000001"/>
    <m/>
    <m/>
    <s v="Imputation intene ANB, FR"/>
    <m/>
    <m/>
    <x v="0"/>
    <x v="49"/>
    <x v="0"/>
    <x v="0"/>
    <x v="1"/>
    <x v="0"/>
    <x v="0"/>
    <x v="567"/>
    <x v="7"/>
    <x v="0"/>
    <x v="0"/>
    <x v="19"/>
    <x v="0"/>
    <x v="0"/>
    <x v="24"/>
    <m/>
    <m/>
    <m/>
  </r>
  <r>
    <n v="0"/>
    <s v="620.303"/>
    <s v="CONTRÔLE HABITANTS COTISATIONS AVS AC AF"/>
    <s v="ADA"/>
    <s v="62"/>
    <n v="620"/>
    <s v="303"/>
    <m/>
    <n v="4885.5"/>
    <n v="0"/>
    <n v="4885.5"/>
    <n v="4500"/>
    <n v="0"/>
    <n v="4500"/>
    <n v="2664.2"/>
    <s v="02210"/>
    <s v="3910"/>
    <s v="00"/>
    <s v="Imputations internes  - Contrôle des habitants"/>
    <n v="4885.5"/>
    <m/>
    <m/>
    <m/>
    <m/>
    <m/>
    <x v="0"/>
    <x v="49"/>
    <x v="0"/>
    <x v="0"/>
    <x v="2"/>
    <x v="0"/>
    <x v="0"/>
    <x v="568"/>
    <x v="7"/>
    <x v="0"/>
    <x v="0"/>
    <x v="19"/>
    <x v="0"/>
    <x v="0"/>
    <x v="24"/>
    <m/>
    <m/>
    <m/>
  </r>
  <r>
    <n v="0"/>
    <s v="620.304"/>
    <s v="CONTROLE HABITANTS CAISSE PREVOYANCE LPP"/>
    <s v="ADA"/>
    <s v="62"/>
    <n v="620"/>
    <s v="304"/>
    <m/>
    <n v="5304.8"/>
    <n v="0"/>
    <n v="5304.8"/>
    <n v="6000"/>
    <n v="0"/>
    <n v="6000"/>
    <n v="4111.95"/>
    <s v="02210"/>
    <s v="3910"/>
    <s v="00"/>
    <s v="Imputations internes  - Contrôle des habitants"/>
    <n v="5304.8"/>
    <m/>
    <m/>
    <m/>
    <m/>
    <m/>
    <x v="0"/>
    <x v="49"/>
    <x v="0"/>
    <x v="0"/>
    <x v="8"/>
    <x v="0"/>
    <x v="0"/>
    <x v="569"/>
    <x v="7"/>
    <x v="0"/>
    <x v="0"/>
    <x v="19"/>
    <x v="0"/>
    <x v="0"/>
    <x v="24"/>
    <m/>
    <m/>
    <m/>
  </r>
  <r>
    <n v="0"/>
    <s v="620.305"/>
    <s v="CONTRÔLE HABITANTS ASS ACCIDENTS et MALADIE"/>
    <s v="ADA"/>
    <s v="62"/>
    <n v="620"/>
    <s v="305"/>
    <m/>
    <n v="1206.3"/>
    <n v="0"/>
    <n v="1206.3"/>
    <n v="1100"/>
    <n v="0"/>
    <n v="1100"/>
    <n v="675.85"/>
    <s v="02210"/>
    <s v="3910"/>
    <s v="00"/>
    <s v="Imputations internes  - Contrôle des habitants"/>
    <n v="1206.3"/>
    <m/>
    <m/>
    <m/>
    <m/>
    <m/>
    <x v="0"/>
    <x v="49"/>
    <x v="0"/>
    <x v="0"/>
    <x v="3"/>
    <x v="0"/>
    <x v="0"/>
    <x v="570"/>
    <x v="7"/>
    <x v="0"/>
    <x v="0"/>
    <x v="19"/>
    <x v="0"/>
    <x v="0"/>
    <x v="24"/>
    <m/>
    <m/>
    <m/>
  </r>
  <r>
    <n v="0"/>
    <s v="620.306"/>
    <s v="CDH _ Frais du personnel"/>
    <s v="ADA"/>
    <s v="62"/>
    <n v="620"/>
    <s v="306"/>
    <m/>
    <n v="32.25"/>
    <n v="0"/>
    <n v="32.25"/>
    <n v="0"/>
    <n v="0"/>
    <n v="0"/>
    <n v="66"/>
    <s v="02210"/>
    <s v="3910"/>
    <s v="00"/>
    <s v="Imputations internes  - Contrôle des habitants"/>
    <n v="32.25"/>
    <m/>
    <m/>
    <m/>
    <m/>
    <m/>
    <x v="0"/>
    <x v="49"/>
    <x v="0"/>
    <x v="0"/>
    <x v="5"/>
    <x v="0"/>
    <x v="0"/>
    <x v="571"/>
    <x v="7"/>
    <x v="0"/>
    <x v="0"/>
    <x v="19"/>
    <x v="0"/>
    <x v="0"/>
    <x v="24"/>
    <m/>
    <m/>
    <m/>
  </r>
  <r>
    <m/>
    <s v="620.306"/>
    <s v="CDH _ Frais du personnel"/>
    <s v="ADA"/>
    <m/>
    <n v="620"/>
    <n v="306"/>
    <m/>
    <n v="0"/>
    <n v="0"/>
    <n v="0"/>
    <n v="0"/>
    <n v="0"/>
    <n v="0"/>
    <m/>
    <s v="02210"/>
    <s v="3090"/>
    <s v="00"/>
    <s v="Formation et perfectionnement"/>
    <m/>
    <m/>
    <m/>
    <m/>
    <m/>
    <m/>
    <x v="0"/>
    <x v="49"/>
    <x v="0"/>
    <x v="0"/>
    <x v="17"/>
    <x v="0"/>
    <x v="0"/>
    <x v="571"/>
    <x v="7"/>
    <x v="0"/>
    <x v="0"/>
    <x v="11"/>
    <x v="0"/>
    <x v="0"/>
    <x v="14"/>
    <m/>
    <m/>
    <m/>
  </r>
  <r>
    <m/>
    <s v="620.306"/>
    <s v="CDH _ Frais du personnel"/>
    <s v="ADA"/>
    <m/>
    <n v="620"/>
    <n v="306"/>
    <m/>
    <n v="0"/>
    <n v="0"/>
    <n v="0"/>
    <n v="0"/>
    <n v="0"/>
    <n v="0"/>
    <m/>
    <s v="02210"/>
    <s v="3091"/>
    <s v="00"/>
    <s v="Recrutement"/>
    <m/>
    <m/>
    <m/>
    <m/>
    <m/>
    <m/>
    <x v="0"/>
    <x v="49"/>
    <x v="0"/>
    <x v="0"/>
    <x v="17"/>
    <x v="0"/>
    <x v="0"/>
    <x v="571"/>
    <x v="7"/>
    <x v="0"/>
    <x v="0"/>
    <x v="17"/>
    <x v="0"/>
    <x v="0"/>
    <x v="21"/>
    <m/>
    <m/>
    <m/>
  </r>
  <r>
    <m/>
    <s v="620.306"/>
    <s v="CDH _ Frais du personnel"/>
    <s v="ADA"/>
    <m/>
    <n v="620"/>
    <n v="306"/>
    <m/>
    <n v="0"/>
    <n v="0"/>
    <n v="0"/>
    <n v="0"/>
    <n v="0"/>
    <n v="0"/>
    <m/>
    <s v="02210"/>
    <s v="3099"/>
    <s v="00"/>
    <s v="Autres charges du personnel"/>
    <m/>
    <m/>
    <m/>
    <s v="KDO, fleurs"/>
    <m/>
    <m/>
    <x v="0"/>
    <x v="49"/>
    <x v="0"/>
    <x v="0"/>
    <x v="17"/>
    <x v="0"/>
    <x v="0"/>
    <x v="571"/>
    <x v="7"/>
    <x v="0"/>
    <x v="0"/>
    <x v="5"/>
    <x v="0"/>
    <x v="0"/>
    <x v="6"/>
    <m/>
    <m/>
    <m/>
  </r>
  <r>
    <m/>
    <s v="110.319"/>
    <s v="Cotisations à inst. Privées"/>
    <s v="ADA"/>
    <s v="11"/>
    <n v="110"/>
    <s v="319"/>
    <m/>
    <m/>
    <m/>
    <m/>
    <m/>
    <m/>
    <m/>
    <m/>
    <s v="02210"/>
    <s v="3130"/>
    <s v="04"/>
    <s v="Prestations de services tiers - cotisations"/>
    <m/>
    <m/>
    <m/>
    <s v="AVDCH - ASSOCIATION VAUDOISE DES CONTROLES DES HA "/>
    <m/>
    <m/>
    <x v="0"/>
    <x v="3"/>
    <x v="0"/>
    <x v="0"/>
    <x v="19"/>
    <x v="0"/>
    <x v="0"/>
    <x v="33"/>
    <x v="7"/>
    <x v="0"/>
    <x v="0"/>
    <x v="10"/>
    <x v="3"/>
    <x v="0"/>
    <x v="13"/>
    <m/>
    <m/>
    <m/>
  </r>
  <r>
    <n v="0"/>
    <s v="620.318"/>
    <s v="CONTRÔLE HABITANTS  PREST SERVICES"/>
    <s v="ADA"/>
    <s v="62"/>
    <n v="620"/>
    <s v="318"/>
    <m/>
    <n v="11538.35"/>
    <n v="0"/>
    <n v="11538.35"/>
    <n v="16000"/>
    <n v="0"/>
    <n v="16000"/>
    <n v="6557.65"/>
    <s v="02210"/>
    <s v="3601"/>
    <s v="00"/>
    <s v="Parts des revenus destinés au canton - SPOP"/>
    <n v="11538.35"/>
    <m/>
    <s v="OUI"/>
    <s v="SPOP permis B, C"/>
    <m/>
    <m/>
    <x v="0"/>
    <x v="49"/>
    <x v="0"/>
    <x v="0"/>
    <x v="10"/>
    <x v="0"/>
    <x v="0"/>
    <x v="572"/>
    <x v="7"/>
    <x v="0"/>
    <x v="0"/>
    <x v="52"/>
    <x v="0"/>
    <x v="0"/>
    <x v="301"/>
    <m/>
    <m/>
    <m/>
  </r>
  <r>
    <m/>
    <s v="620.318"/>
    <s v="CONTRÔLE HABITANTS  PREST SERVICES"/>
    <s v="ADA"/>
    <s v="62"/>
    <n v="620"/>
    <s v="318"/>
    <m/>
    <n v="0"/>
    <n v="0"/>
    <n v="0"/>
    <n v="0"/>
    <n v="0"/>
    <n v="0"/>
    <m/>
    <s v="02200"/>
    <s v="3132"/>
    <s v="00"/>
    <s v="Honoraires conseils externes, spécialistes - naturalisations"/>
    <m/>
    <m/>
    <m/>
    <s v="Naturalisations (au greffe)"/>
    <m/>
    <m/>
    <x v="0"/>
    <x v="49"/>
    <x v="0"/>
    <x v="0"/>
    <x v="10"/>
    <x v="0"/>
    <x v="0"/>
    <x v="572"/>
    <x v="4"/>
    <x v="0"/>
    <x v="0"/>
    <x v="12"/>
    <x v="0"/>
    <x v="0"/>
    <x v="302"/>
    <m/>
    <m/>
    <m/>
  </r>
  <r>
    <n v="0"/>
    <s v="620.390.1"/>
    <s v="CONTRÔLE HABITANTS  IMPUTATIONS INT SALAIRES"/>
    <s v="ADA"/>
    <s v="62"/>
    <n v="620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49"/>
    <x v="0"/>
    <x v="0"/>
    <x v="7"/>
    <x v="1"/>
    <x v="0"/>
    <x v="573"/>
    <x v="1"/>
    <x v="0"/>
    <x v="0"/>
    <x v="9"/>
    <x v="2"/>
    <x v="0"/>
    <x v="17"/>
    <m/>
    <m/>
    <m/>
  </r>
  <r>
    <n v="0"/>
    <s v="620.431"/>
    <s v="CONTRÔLE HABITANTS  ACTES MOEURS+ATT DOMICILE+PERMIS HABIT.+ NATURALISATION"/>
    <s v="ADA"/>
    <s v="62"/>
    <n v="620"/>
    <s v="431"/>
    <m/>
    <n v="0"/>
    <n v="-21648"/>
    <n v="-21648"/>
    <n v="0"/>
    <n v="-29000"/>
    <n v="-29000"/>
    <n v="-12451"/>
    <s v="02210"/>
    <s v="4210"/>
    <s v="00"/>
    <s v="Emoluments pour actes administratifs - permis SPOP"/>
    <n v="-21648"/>
    <m/>
    <s v="OUI"/>
    <s v="SPOP permis B, C"/>
    <m/>
    <m/>
    <x v="0"/>
    <x v="49"/>
    <x v="0"/>
    <x v="0"/>
    <x v="23"/>
    <x v="0"/>
    <x v="0"/>
    <x v="574"/>
    <x v="7"/>
    <x v="0"/>
    <x v="0"/>
    <x v="26"/>
    <x v="0"/>
    <x v="0"/>
    <x v="303"/>
    <m/>
    <m/>
    <m/>
  </r>
  <r>
    <m/>
    <s v="620.431"/>
    <s v="CONTRÔLE HABITANTS  ACTES MOEURS+ATT DOMICILE+PERMIS HABIT.+ NATURALISATION"/>
    <s v="ADA"/>
    <s v="62"/>
    <n v="620"/>
    <s v="431"/>
    <m/>
    <m/>
    <m/>
    <n v="0"/>
    <m/>
    <m/>
    <n v="0"/>
    <m/>
    <s v="02200"/>
    <s v="4210"/>
    <s v="00"/>
    <s v="Emoluments pour actes administratifs - naturalisations"/>
    <m/>
    <m/>
    <m/>
    <m/>
    <m/>
    <m/>
    <x v="0"/>
    <x v="49"/>
    <x v="0"/>
    <x v="0"/>
    <x v="23"/>
    <x v="0"/>
    <x v="0"/>
    <x v="574"/>
    <x v="4"/>
    <x v="0"/>
    <x v="0"/>
    <x v="26"/>
    <x v="0"/>
    <x v="0"/>
    <x v="304"/>
    <m/>
    <m/>
    <m/>
  </r>
  <r>
    <n v="0"/>
    <s v="620.441"/>
    <s v="CONTRÔLE HABITANTS  PART TAXE CANT SEJOUR"/>
    <s v="ADA"/>
    <s v="62"/>
    <n v="620"/>
    <s v="441"/>
    <m/>
    <n v="0"/>
    <n v="0"/>
    <n v="0"/>
    <n v="0"/>
    <n v="0"/>
    <n v="0"/>
    <n v="0"/>
    <s v="-"/>
    <s v="-"/>
    <s v="-"/>
    <s v="-"/>
    <m/>
    <m/>
    <m/>
    <m/>
    <m/>
    <m/>
    <x v="0"/>
    <x v="49"/>
    <x v="0"/>
    <x v="0"/>
    <x v="43"/>
    <x v="0"/>
    <x v="0"/>
    <x v="575"/>
    <x v="1"/>
    <x v="0"/>
    <x v="0"/>
    <x v="9"/>
    <x v="2"/>
    <x v="0"/>
    <x v="17"/>
    <m/>
    <m/>
    <m/>
  </r>
  <r>
    <n v="0"/>
    <s v="650.317"/>
    <s v="SERVICE FEU  RECEPTION et MANIFESTATION"/>
    <s v="PCO"/>
    <s v="65"/>
    <n v="650"/>
    <s v="317"/>
    <m/>
    <n v="4250.45"/>
    <n v="0"/>
    <n v="4250.45"/>
    <n v="7500"/>
    <n v="0"/>
    <n v="7500"/>
    <n v="135.44999999999999"/>
    <s v="-"/>
    <s v="-"/>
    <s v="-"/>
    <s v="Autres actifs de régularisation, refacturation SDIS Bilan"/>
    <n v="4250.45"/>
    <n v="0"/>
    <m/>
    <s v="1049.02"/>
    <m/>
    <m/>
    <x v="0"/>
    <x v="50"/>
    <x v="0"/>
    <x v="0"/>
    <x v="9"/>
    <x v="0"/>
    <x v="0"/>
    <x v="576"/>
    <x v="1"/>
    <x v="0"/>
    <x v="0"/>
    <x v="9"/>
    <x v="2"/>
    <x v="0"/>
    <x v="305"/>
    <m/>
    <m/>
    <m/>
  </r>
  <r>
    <n v="0"/>
    <s v="650.352"/>
    <s v="SERVICE FEU  FRAIS GROUP SERVICE FEU"/>
    <s v="PCO"/>
    <s v="65"/>
    <n v="650"/>
    <s v="352"/>
    <m/>
    <n v="86196.9"/>
    <n v="0"/>
    <n v="86196.9"/>
    <n v="87500"/>
    <n v="0"/>
    <n v="87500"/>
    <n v="43748.2"/>
    <s v="15000"/>
    <s v="3612"/>
    <s v="00"/>
    <s v="Parts aux communes et assoc intercomm - SDIS"/>
    <n v="86196.9"/>
    <m/>
    <m/>
    <m/>
    <m/>
    <m/>
    <x v="0"/>
    <x v="50"/>
    <x v="0"/>
    <x v="0"/>
    <x v="26"/>
    <x v="0"/>
    <x v="0"/>
    <x v="577"/>
    <x v="46"/>
    <x v="0"/>
    <x v="0"/>
    <x v="13"/>
    <x v="0"/>
    <x v="0"/>
    <x v="306"/>
    <m/>
    <m/>
    <m/>
  </r>
  <r>
    <n v="0"/>
    <s v="650.436"/>
    <s v="SERVICE FEU  PART DE TIERS"/>
    <s v="PCO"/>
    <s v="65"/>
    <n v="650"/>
    <s v="436"/>
    <m/>
    <n v="0"/>
    <n v="0"/>
    <n v="0"/>
    <n v="0"/>
    <n v="0"/>
    <n v="0"/>
    <n v="0"/>
    <s v="-"/>
    <s v="-"/>
    <s v="-"/>
    <s v="-"/>
    <m/>
    <m/>
    <m/>
    <m/>
    <m/>
    <m/>
    <x v="0"/>
    <x v="50"/>
    <x v="0"/>
    <x v="0"/>
    <x v="13"/>
    <x v="0"/>
    <x v="0"/>
    <x v="578"/>
    <x v="1"/>
    <x v="0"/>
    <x v="0"/>
    <x v="9"/>
    <x v="2"/>
    <x v="0"/>
    <x v="17"/>
    <m/>
    <m/>
    <m/>
  </r>
  <r>
    <n v="0"/>
    <s v="650.452"/>
    <s v="SERVICE FEU  PART DES 3 COMMUNES"/>
    <s v="PCO"/>
    <s v="65"/>
    <n v="650"/>
    <s v="452"/>
    <m/>
    <n v="0"/>
    <n v="-4250.45"/>
    <n v="-4250.45"/>
    <n v="0"/>
    <n v="0"/>
    <n v="0"/>
    <n v="0"/>
    <s v="-"/>
    <s v="-"/>
    <s v="-"/>
    <s v="Autres actifs de régularisation, refacturation SDIS Bilan"/>
    <n v="-4250.45"/>
    <n v="0"/>
    <m/>
    <m/>
    <m/>
    <m/>
    <x v="0"/>
    <x v="50"/>
    <x v="0"/>
    <x v="0"/>
    <x v="51"/>
    <x v="0"/>
    <x v="0"/>
    <x v="579"/>
    <x v="1"/>
    <x v="0"/>
    <x v="0"/>
    <x v="9"/>
    <x v="2"/>
    <x v="0"/>
    <x v="305"/>
    <m/>
    <m/>
    <m/>
  </r>
  <r>
    <n v="0"/>
    <s v="660.352"/>
    <s v="PROTECTION CIVILE  PART ORPC DISTRICT NYON"/>
    <s v="ADA"/>
    <s v="66"/>
    <n v="660"/>
    <s v="352"/>
    <m/>
    <n v="39055.550000000003"/>
    <n v="0"/>
    <n v="39055.550000000003"/>
    <n v="46500"/>
    <n v="0"/>
    <n v="46500"/>
    <n v="22844.7"/>
    <s v="16200"/>
    <s v="3612"/>
    <s v="00"/>
    <s v="Parts aux communes et assoc intercomm - ORPC"/>
    <n v="39055.550000000003"/>
    <m/>
    <m/>
    <m/>
    <m/>
    <m/>
    <x v="0"/>
    <x v="51"/>
    <x v="0"/>
    <x v="0"/>
    <x v="26"/>
    <x v="0"/>
    <x v="0"/>
    <x v="580"/>
    <x v="37"/>
    <x v="0"/>
    <x v="0"/>
    <x v="13"/>
    <x v="0"/>
    <x v="0"/>
    <x v="307"/>
    <m/>
    <m/>
    <m/>
  </r>
  <r>
    <n v="0"/>
    <s v="660.380"/>
    <s v="PROTECTION CIVILE  ATTRIB FONDS RESERVE (9282.2)"/>
    <s v="ADA"/>
    <s v="66"/>
    <n v="660"/>
    <s v="380"/>
    <m/>
    <n v="0"/>
    <n v="0"/>
    <n v="0"/>
    <n v="0"/>
    <n v="0"/>
    <n v="0"/>
    <n v="0"/>
    <s v="-"/>
    <s v="-"/>
    <s v="-"/>
    <s v="-"/>
    <m/>
    <m/>
    <m/>
    <m/>
    <m/>
    <m/>
    <x v="0"/>
    <x v="51"/>
    <x v="0"/>
    <x v="0"/>
    <x v="22"/>
    <x v="0"/>
    <x v="0"/>
    <x v="581"/>
    <x v="1"/>
    <x v="0"/>
    <x v="0"/>
    <x v="9"/>
    <x v="2"/>
    <x v="0"/>
    <x v="17"/>
    <m/>
    <m/>
    <m/>
  </r>
  <r>
    <n v="0"/>
    <s v="660.465"/>
    <s v="PROTECTION CIVILE  DISPENSES ABRIS PC"/>
    <s v="ADA"/>
    <s v="66"/>
    <n v="660"/>
    <s v="465"/>
    <m/>
    <n v="0"/>
    <n v="0"/>
    <n v="0"/>
    <n v="0"/>
    <n v="0"/>
    <n v="0"/>
    <n v="0"/>
    <s v="-"/>
    <s v="-"/>
    <s v="-"/>
    <s v="-"/>
    <m/>
    <m/>
    <m/>
    <m/>
    <m/>
    <m/>
    <x v="0"/>
    <x v="51"/>
    <x v="0"/>
    <x v="0"/>
    <x v="52"/>
    <x v="0"/>
    <x v="0"/>
    <x v="582"/>
    <x v="1"/>
    <x v="0"/>
    <x v="0"/>
    <x v="9"/>
    <x v="2"/>
    <x v="0"/>
    <x v="17"/>
    <m/>
    <m/>
    <m/>
  </r>
  <r>
    <n v="0"/>
    <s v="660.480"/>
    <s v="PROTECTION CIVILE  PREL FONDS RESERVE (9282.2)"/>
    <s v="ADA"/>
    <s v="66"/>
    <n v="660"/>
    <s v="480"/>
    <m/>
    <n v="0"/>
    <n v="0"/>
    <n v="0"/>
    <n v="0"/>
    <n v="0"/>
    <n v="0"/>
    <n v="0"/>
    <s v="-"/>
    <s v="-"/>
    <s v="-"/>
    <s v="-"/>
    <m/>
    <m/>
    <m/>
    <m/>
    <m/>
    <m/>
    <x v="0"/>
    <x v="51"/>
    <x v="0"/>
    <x v="0"/>
    <x v="14"/>
    <x v="0"/>
    <x v="0"/>
    <x v="583"/>
    <x v="1"/>
    <x v="0"/>
    <x v="0"/>
    <x v="9"/>
    <x v="2"/>
    <x v="0"/>
    <x v="17"/>
    <m/>
    <m/>
    <m/>
  </r>
  <r>
    <n v="0"/>
    <s v="710.351"/>
    <s v="SERVICE SOCIAL  FONDATION SOCLE COMMUNE"/>
    <s v="EFA"/>
    <s v="71"/>
    <n v="710"/>
    <s v="351"/>
    <m/>
    <n v="0"/>
    <n v="0"/>
    <n v="0"/>
    <n v="0"/>
    <n v="0"/>
    <n v="0"/>
    <n v="0"/>
    <s v="-"/>
    <s v="-"/>
    <s v="-"/>
    <s v="-"/>
    <m/>
    <m/>
    <m/>
    <m/>
    <m/>
    <m/>
    <x v="0"/>
    <x v="52"/>
    <x v="0"/>
    <x v="0"/>
    <x v="33"/>
    <x v="0"/>
    <x v="0"/>
    <x v="584"/>
    <x v="1"/>
    <x v="0"/>
    <x v="0"/>
    <x v="9"/>
    <x v="2"/>
    <x v="0"/>
    <x v="17"/>
    <m/>
    <m/>
    <m/>
  </r>
  <r>
    <n v="0"/>
    <s v="710.352"/>
    <s v="SERVICE SOCIAL  CENTRE REGIONAL (CSR)"/>
    <s v="EFA"/>
    <s v="71"/>
    <n v="710"/>
    <s v="352"/>
    <m/>
    <n v="0"/>
    <n v="0"/>
    <n v="0"/>
    <n v="0"/>
    <n v="0"/>
    <n v="0"/>
    <n v="0"/>
    <s v="-"/>
    <s v="-"/>
    <s v="-"/>
    <s v="-"/>
    <m/>
    <m/>
    <m/>
    <m/>
    <m/>
    <m/>
    <x v="0"/>
    <x v="52"/>
    <x v="0"/>
    <x v="0"/>
    <x v="26"/>
    <x v="0"/>
    <x v="0"/>
    <x v="585"/>
    <x v="1"/>
    <x v="0"/>
    <x v="0"/>
    <x v="9"/>
    <x v="2"/>
    <x v="0"/>
    <x v="17"/>
    <m/>
    <m/>
    <m/>
  </r>
  <r>
    <n v="0"/>
    <s v="710.365"/>
    <s v="SERVICE SOCIAL  Aides, Subvention à institutions privées"/>
    <s v="EFA"/>
    <s v="71"/>
    <n v="710"/>
    <s v="365"/>
    <m/>
    <n v="4018"/>
    <n v="0"/>
    <n v="4018"/>
    <n v="3500"/>
    <n v="0"/>
    <n v="3500"/>
    <n v="0"/>
    <s v="54400"/>
    <s v="3632"/>
    <s v="00"/>
    <s v="Subventions accordées aux communes et associations - Trav. Social"/>
    <n v="4018"/>
    <m/>
    <m/>
    <s v="FONDATION DE LA COTE POUR L'AIDE ET LE…"/>
    <m/>
    <m/>
    <x v="0"/>
    <x v="52"/>
    <x v="0"/>
    <x v="0"/>
    <x v="21"/>
    <x v="0"/>
    <x v="0"/>
    <x v="586"/>
    <x v="64"/>
    <x v="0"/>
    <x v="0"/>
    <x v="24"/>
    <x v="0"/>
    <x v="0"/>
    <x v="308"/>
    <m/>
    <m/>
    <m/>
  </r>
  <r>
    <n v="0"/>
    <s v="710.365.1"/>
    <s v="SERVICE SOCIAL  AIDE PETITE ENFANCE"/>
    <s v="EFA"/>
    <s v="71"/>
    <n v="710"/>
    <s v="365"/>
    <n v="1"/>
    <n v="506546.3"/>
    <n v="0"/>
    <n v="506546.3"/>
    <n v="443793"/>
    <n v="0"/>
    <n v="443793"/>
    <n v="308203.65000000002"/>
    <s v="54500"/>
    <s v="3612"/>
    <s v="00"/>
    <s v="Parts aux communes et assoc intercomm - Crèches"/>
    <n v="253273.15"/>
    <m/>
    <m/>
    <s v="Non scolarisés = Crèche"/>
    <s v="AFJ- RAT 50% / 50%"/>
    <s v="Dans préavis du budget : 50% de chaque, sera plus précis en 2027"/>
    <x v="0"/>
    <x v="52"/>
    <x v="0"/>
    <x v="0"/>
    <x v="21"/>
    <x v="1"/>
    <x v="0"/>
    <x v="587"/>
    <x v="65"/>
    <x v="0"/>
    <x v="0"/>
    <x v="13"/>
    <x v="0"/>
    <x v="0"/>
    <x v="309"/>
    <m/>
    <m/>
    <m/>
  </r>
  <r>
    <m/>
    <s v="710.365.1"/>
    <s v="SERVICE SOCIAL  AIDE PETITE ENFANCE"/>
    <s v="EFA"/>
    <s v="71"/>
    <n v="710"/>
    <s v="365"/>
    <n v="1"/>
    <n v="0"/>
    <n v="0"/>
    <n v="0"/>
    <n v="0"/>
    <n v="0"/>
    <n v="0"/>
    <m/>
    <s v="21800"/>
    <s v="3612"/>
    <s v="00"/>
    <s v="Parts aux communes et assoc intercomm - UAPE"/>
    <n v="253273.15"/>
    <m/>
    <m/>
    <s v="Scolarisés = UAPE"/>
    <s v="AFJ- RAT 50% / 50%"/>
    <s v="Dans préavis du budget : 50% de chaque, sera plus précis en 2027"/>
    <x v="0"/>
    <x v="52"/>
    <x v="0"/>
    <x v="0"/>
    <x v="21"/>
    <x v="1"/>
    <x v="0"/>
    <x v="587"/>
    <x v="66"/>
    <x v="0"/>
    <x v="0"/>
    <x v="13"/>
    <x v="0"/>
    <x v="0"/>
    <x v="310"/>
    <m/>
    <m/>
    <m/>
  </r>
  <r>
    <n v="0"/>
    <s v="710.366"/>
    <s v="SERVICE SOCIAL  AIDE INDIVIDUELLE"/>
    <s v="EFA"/>
    <s v="71"/>
    <n v="710"/>
    <s v="366"/>
    <m/>
    <n v="4475.34"/>
    <n v="0"/>
    <n v="4475.34"/>
    <n v="5000"/>
    <n v="0"/>
    <n v="5000"/>
    <n v="4475.34"/>
    <s v="54500"/>
    <s v="3637"/>
    <s v="00"/>
    <s v="Subventions accordées aux ménages privés - Petroplast"/>
    <n v="4475.34"/>
    <m/>
    <m/>
    <s v="PETROPLAST AG, rouleaux de sacs taxés de 35L"/>
    <m/>
    <m/>
    <x v="0"/>
    <x v="52"/>
    <x v="0"/>
    <x v="0"/>
    <x v="57"/>
    <x v="0"/>
    <x v="0"/>
    <x v="588"/>
    <x v="65"/>
    <x v="0"/>
    <x v="0"/>
    <x v="25"/>
    <x v="0"/>
    <x v="0"/>
    <x v="311"/>
    <m/>
    <m/>
    <m/>
  </r>
  <r>
    <n v="0"/>
    <s v="710.390"/>
    <s v="SERVICE SOCIAL IMPUTATIONS INTERNES"/>
    <s v="EFA"/>
    <s v="71"/>
    <n v="710"/>
    <s v="390"/>
    <m/>
    <n v="0"/>
    <n v="0"/>
    <n v="0"/>
    <n v="0"/>
    <n v="0"/>
    <n v="0"/>
    <n v="0"/>
    <s v="-"/>
    <s v="-"/>
    <s v="-"/>
    <s v="-"/>
    <m/>
    <m/>
    <m/>
    <m/>
    <m/>
    <m/>
    <x v="0"/>
    <x v="52"/>
    <x v="0"/>
    <x v="0"/>
    <x v="7"/>
    <x v="0"/>
    <x v="0"/>
    <x v="589"/>
    <x v="1"/>
    <x v="0"/>
    <x v="0"/>
    <x v="9"/>
    <x v="2"/>
    <x v="0"/>
    <x v="17"/>
    <m/>
    <m/>
    <m/>
  </r>
  <r>
    <n v="0"/>
    <s v="720.351"/>
    <s v="PREVOYANCE Cohésion Sociale (ex-FactureSociale) PART AU CANTON"/>
    <s v="EFA"/>
    <s v="72"/>
    <n v="720"/>
    <s v="351"/>
    <m/>
    <n v="2016376"/>
    <n v="0"/>
    <n v="2016376"/>
    <n v="1979716"/>
    <n v="0"/>
    <n v="1979716"/>
    <n v="989858"/>
    <s v="93001"/>
    <s v="3621"/>
    <s v="00"/>
    <s v="Péréquations financière  cohésion sociale"/>
    <n v="2016376"/>
    <n v="2064564"/>
    <m/>
    <m/>
    <m/>
    <m/>
    <x v="0"/>
    <x v="53"/>
    <x v="0"/>
    <x v="0"/>
    <x v="33"/>
    <x v="0"/>
    <x v="0"/>
    <x v="590"/>
    <x v="67"/>
    <x v="0"/>
    <x v="0"/>
    <x v="44"/>
    <x v="0"/>
    <x v="0"/>
    <x v="312"/>
    <m/>
    <m/>
    <m/>
  </r>
  <r>
    <m/>
    <s v="720.351"/>
    <s v="PREVOYANCE Cohésion Sociale (ex-FactureSociale) PART AU CANTON"/>
    <s v="EFA"/>
    <s v="72"/>
    <n v="720"/>
    <s v="351"/>
    <m/>
    <n v="0"/>
    <n v="0"/>
    <n v="0"/>
    <n v="0"/>
    <n v="0"/>
    <n v="0"/>
    <m/>
    <s v="93001"/>
    <s v="3621"/>
    <s v="01"/>
    <s v="Péréquations financière  cohésion sociale N-1"/>
    <m/>
    <m/>
    <m/>
    <m/>
    <m/>
    <m/>
    <x v="0"/>
    <x v="53"/>
    <x v="0"/>
    <x v="0"/>
    <x v="33"/>
    <x v="0"/>
    <x v="0"/>
    <x v="590"/>
    <x v="67"/>
    <x v="0"/>
    <x v="0"/>
    <x v="44"/>
    <x v="1"/>
    <x v="0"/>
    <x v="313"/>
    <m/>
    <m/>
    <m/>
  </r>
  <r>
    <m/>
    <s v="720.351"/>
    <s v="PREVOYANCE Cohésion Sociale (ex-FactureSociale) PART AU CANTON"/>
    <s v="EFA"/>
    <s v="72"/>
    <n v="720"/>
    <s v="351"/>
    <m/>
    <n v="0"/>
    <n v="0"/>
    <n v="0"/>
    <n v="0"/>
    <n v="0"/>
    <n v="0"/>
    <m/>
    <s v="93001"/>
    <s v="4621"/>
    <s v="00"/>
    <s v="Péréquations financière  cohésion sociale"/>
    <m/>
    <m/>
    <m/>
    <m/>
    <m/>
    <m/>
    <x v="0"/>
    <x v="53"/>
    <x v="0"/>
    <x v="0"/>
    <x v="33"/>
    <x v="0"/>
    <x v="0"/>
    <x v="590"/>
    <x v="67"/>
    <x v="0"/>
    <x v="0"/>
    <x v="101"/>
    <x v="0"/>
    <x v="0"/>
    <x v="312"/>
    <m/>
    <m/>
    <m/>
  </r>
  <r>
    <m/>
    <s v="720.351"/>
    <s v="PREVOYANCE Cohésion Sociale (ex-FactureSociale) PART AU CANTON"/>
    <s v="EFA"/>
    <s v="72"/>
    <n v="720"/>
    <s v="351"/>
    <m/>
    <n v="0"/>
    <n v="0"/>
    <n v="0"/>
    <n v="0"/>
    <n v="0"/>
    <n v="0"/>
    <m/>
    <s v="93001"/>
    <s v="4621"/>
    <s v="01"/>
    <s v="Péréquations financière  cohésion sociale N-1"/>
    <m/>
    <m/>
    <m/>
    <m/>
    <m/>
    <m/>
    <x v="0"/>
    <x v="53"/>
    <x v="0"/>
    <x v="0"/>
    <x v="33"/>
    <x v="0"/>
    <x v="0"/>
    <x v="590"/>
    <x v="67"/>
    <x v="0"/>
    <x v="0"/>
    <x v="101"/>
    <x v="1"/>
    <x v="0"/>
    <x v="313"/>
    <m/>
    <m/>
    <m/>
  </r>
  <r>
    <n v="0"/>
    <s v="720.351.1"/>
    <s v="PREVOYANCE Cohésion Sociale (ex-FactureSociale) PART AU CANTON SOLDE ANNEE PRECEDENTE"/>
    <s v="EFA"/>
    <s v="72"/>
    <n v="720"/>
    <s v="351"/>
    <n v="1"/>
    <n v="0"/>
    <n v="0"/>
    <n v="0"/>
    <n v="0"/>
    <n v="0"/>
    <n v="0"/>
    <n v="0"/>
    <s v="-"/>
    <s v="-"/>
    <s v="-"/>
    <s v="-"/>
    <m/>
    <m/>
    <m/>
    <m/>
    <m/>
    <m/>
    <x v="0"/>
    <x v="53"/>
    <x v="0"/>
    <x v="0"/>
    <x v="33"/>
    <x v="1"/>
    <x v="0"/>
    <x v="591"/>
    <x v="1"/>
    <x v="0"/>
    <x v="0"/>
    <x v="9"/>
    <x v="2"/>
    <x v="0"/>
    <x v="17"/>
    <m/>
    <m/>
    <m/>
  </r>
  <r>
    <n v="0"/>
    <s v="720.352"/>
    <s v="PREVOYANCE SOCIALE  ARAS REG AGENCES"/>
    <s v="EFA"/>
    <s v="72"/>
    <n v="720"/>
    <s v="352"/>
    <m/>
    <n v="4728.2"/>
    <n v="0"/>
    <n v="4728.2"/>
    <n v="5000"/>
    <n v="0"/>
    <n v="5000"/>
    <n v="3018"/>
    <s v="57900"/>
    <s v="3612"/>
    <s v="00"/>
    <s v="Parts aux communes et assoc intercomm - ARAS"/>
    <n v="4728.2"/>
    <m/>
    <m/>
    <s v="ARAS ASS REGIONALE POUR L'ACTION SOCIALE DISTRICT DE NYON"/>
    <m/>
    <m/>
    <x v="0"/>
    <x v="53"/>
    <x v="0"/>
    <x v="0"/>
    <x v="26"/>
    <x v="0"/>
    <x v="0"/>
    <x v="592"/>
    <x v="68"/>
    <x v="0"/>
    <x v="0"/>
    <x v="13"/>
    <x v="0"/>
    <x v="0"/>
    <x v="314"/>
    <m/>
    <m/>
    <m/>
  </r>
  <r>
    <n v="0"/>
    <s v="720.451"/>
    <s v="PREVOYANCE Cohésion Sociale (ex-FactureSociale)  PART AU CANTON ANNEE PRECEDENTE"/>
    <s v="EFA"/>
    <s v="72"/>
    <n v="720"/>
    <s v="451"/>
    <m/>
    <n v="0"/>
    <n v="-50.5"/>
    <n v="-50.5"/>
    <n v="0"/>
    <n v="0"/>
    <n v="0"/>
    <n v="0"/>
    <s v="-"/>
    <s v="-"/>
    <s v="-"/>
    <s v="-"/>
    <n v="-50.5"/>
    <m/>
    <m/>
    <m/>
    <m/>
    <m/>
    <x v="0"/>
    <x v="53"/>
    <x v="0"/>
    <x v="0"/>
    <x v="32"/>
    <x v="0"/>
    <x v="0"/>
    <x v="593"/>
    <x v="1"/>
    <x v="0"/>
    <x v="0"/>
    <x v="9"/>
    <x v="2"/>
    <x v="0"/>
    <x v="17"/>
    <m/>
    <m/>
    <m/>
  </r>
  <r>
    <n v="0"/>
    <s v="720.452"/>
    <s v="PREVOYANCE SOCIALE  RB ARAS REG AG"/>
    <s v="EFA"/>
    <s v="72"/>
    <n v="720"/>
    <s v="452"/>
    <m/>
    <n v="0"/>
    <n v="0"/>
    <n v="0"/>
    <n v="0"/>
    <n v="0"/>
    <n v="0"/>
    <n v="0"/>
    <s v="-"/>
    <s v="-"/>
    <s v="-"/>
    <s v="-"/>
    <m/>
    <m/>
    <m/>
    <m/>
    <m/>
    <m/>
    <x v="0"/>
    <x v="53"/>
    <x v="0"/>
    <x v="0"/>
    <x v="51"/>
    <x v="0"/>
    <x v="0"/>
    <x v="594"/>
    <x v="1"/>
    <x v="0"/>
    <x v="0"/>
    <x v="9"/>
    <x v="2"/>
    <x v="0"/>
    <x v="17"/>
    <m/>
    <m/>
    <m/>
  </r>
  <r>
    <n v="0"/>
    <s v="810.301"/>
    <s v="SERVICE EAUX  SALAIRES"/>
    <s v="GFA"/>
    <s v="81"/>
    <n v="810"/>
    <s v="301"/>
    <m/>
    <n v="31015.65"/>
    <n v="0"/>
    <n v="31015.65"/>
    <n v="28200"/>
    <n v="0"/>
    <n v="28200"/>
    <n v="14566.1"/>
    <s v="61500"/>
    <s v="3010"/>
    <s v="00"/>
    <s v="Salaire du personnel administratif"/>
    <n v="31015.65"/>
    <n v="0"/>
    <s v="Regroupement en 61500 et 73000"/>
    <m/>
    <m/>
    <m/>
    <x v="0"/>
    <x v="54"/>
    <x v="0"/>
    <x v="0"/>
    <x v="1"/>
    <x v="0"/>
    <x v="0"/>
    <x v="595"/>
    <x v="15"/>
    <x v="0"/>
    <x v="0"/>
    <x v="15"/>
    <x v="0"/>
    <x v="0"/>
    <x v="19"/>
    <m/>
    <m/>
    <m/>
  </r>
  <r>
    <m/>
    <s v="810.301"/>
    <s v="SERVICE EAUX  SALAIRES"/>
    <s v="GFA"/>
    <s v="81"/>
    <n v="810"/>
    <s v="301"/>
    <m/>
    <m/>
    <m/>
    <m/>
    <m/>
    <m/>
    <n v="0"/>
    <m/>
    <s v="61500"/>
    <s v="3010"/>
    <s v="99"/>
    <s v="Remboursements IJM"/>
    <m/>
    <m/>
    <m/>
    <m/>
    <m/>
    <m/>
    <x v="0"/>
    <x v="54"/>
    <x v="0"/>
    <x v="0"/>
    <x v="1"/>
    <x v="0"/>
    <x v="0"/>
    <x v="595"/>
    <x v="15"/>
    <x v="0"/>
    <x v="0"/>
    <x v="15"/>
    <x v="4"/>
    <x v="0"/>
    <x v="20"/>
    <m/>
    <m/>
    <m/>
  </r>
  <r>
    <n v="0"/>
    <s v="810.303"/>
    <s v="SERVICE EAUX  COTISATIONS AVS AC AF"/>
    <s v="GFA"/>
    <s v="81"/>
    <n v="810"/>
    <s v="303"/>
    <m/>
    <n v="2605"/>
    <n v="0"/>
    <n v="2605"/>
    <n v="2700"/>
    <n v="0"/>
    <n v="2700"/>
    <n v="1349.75"/>
    <s v="61500"/>
    <s v="3050"/>
    <s v="00"/>
    <s v="Cotisations AVS, AI, APG, AC, frais adm"/>
    <n v="2605"/>
    <m/>
    <m/>
    <m/>
    <m/>
    <m/>
    <x v="0"/>
    <x v="54"/>
    <x v="0"/>
    <x v="0"/>
    <x v="2"/>
    <x v="0"/>
    <x v="0"/>
    <x v="596"/>
    <x v="15"/>
    <x v="0"/>
    <x v="0"/>
    <x v="1"/>
    <x v="0"/>
    <x v="0"/>
    <x v="2"/>
    <m/>
    <m/>
    <m/>
  </r>
  <r>
    <m/>
    <s v="810.303"/>
    <s v="SERVICE EAUX  COTISATIONS AVS AC AF"/>
    <s v="GFA"/>
    <s v="81"/>
    <n v="810"/>
    <s v="303"/>
    <m/>
    <m/>
    <m/>
    <m/>
    <m/>
    <m/>
    <n v="0"/>
    <m/>
    <s v="61500"/>
    <s v="3054"/>
    <s v="00"/>
    <s v="Cotisations CAF"/>
    <m/>
    <m/>
    <m/>
    <m/>
    <m/>
    <m/>
    <x v="0"/>
    <x v="54"/>
    <x v="0"/>
    <x v="0"/>
    <x v="2"/>
    <x v="0"/>
    <x v="0"/>
    <x v="596"/>
    <x v="15"/>
    <x v="0"/>
    <x v="0"/>
    <x v="2"/>
    <x v="0"/>
    <x v="0"/>
    <x v="3"/>
    <m/>
    <m/>
    <m/>
  </r>
  <r>
    <n v="0"/>
    <s v="810.304"/>
    <s v="SERVICE EAUX  CAISSE PREVOYANCE LPP"/>
    <s v="GFA"/>
    <s v="81"/>
    <n v="810"/>
    <s v="304"/>
    <m/>
    <n v="1981.45"/>
    <n v="0"/>
    <n v="1981.45"/>
    <n v="2405"/>
    <n v="0"/>
    <n v="2405"/>
    <n v="1470.4"/>
    <s v="61500"/>
    <s v="3052"/>
    <s v="00"/>
    <s v="Cotisations patronales aux caisses de pensions"/>
    <n v="1981.45"/>
    <m/>
    <m/>
    <m/>
    <m/>
    <m/>
    <x v="0"/>
    <x v="54"/>
    <x v="0"/>
    <x v="0"/>
    <x v="8"/>
    <x v="0"/>
    <x v="0"/>
    <x v="597"/>
    <x v="15"/>
    <x v="0"/>
    <x v="0"/>
    <x v="4"/>
    <x v="0"/>
    <x v="0"/>
    <x v="5"/>
    <m/>
    <m/>
    <m/>
  </r>
  <r>
    <n v="0"/>
    <s v="810.305"/>
    <s v="SERVICE EAUX  ASS ACCIDENTS et MALADIE"/>
    <s v="GFA"/>
    <s v="81"/>
    <n v="810"/>
    <s v="305"/>
    <m/>
    <n v="798.4"/>
    <n v="0"/>
    <n v="798.4"/>
    <n v="785"/>
    <n v="0"/>
    <n v="785"/>
    <n v="423.5"/>
    <s v="61500"/>
    <s v="3053"/>
    <s v="00"/>
    <s v="Cotisations patronales aux assurance-accidents"/>
    <n v="798.4"/>
    <m/>
    <m/>
    <m/>
    <m/>
    <m/>
    <x v="0"/>
    <x v="54"/>
    <x v="0"/>
    <x v="0"/>
    <x v="3"/>
    <x v="0"/>
    <x v="0"/>
    <x v="598"/>
    <x v="15"/>
    <x v="0"/>
    <x v="0"/>
    <x v="3"/>
    <x v="0"/>
    <x v="0"/>
    <x v="4"/>
    <m/>
    <m/>
    <m/>
  </r>
  <r>
    <n v="0"/>
    <s v="810.306"/>
    <s v="SERVICE EAUX  INDEMNISATION ET REMBOURSEMENT"/>
    <s v="GFA"/>
    <s v="81"/>
    <n v="810"/>
    <s v="306"/>
    <m/>
    <n v="0"/>
    <n v="0"/>
    <n v="0"/>
    <n v="3000"/>
    <n v="0"/>
    <n v="3000"/>
    <n v="18.899999999999999"/>
    <s v="61500"/>
    <s v="3010"/>
    <s v="00"/>
    <s v="Salaire du personnel administratif"/>
    <n v="0"/>
    <m/>
    <m/>
    <s v="anciennement piquets -&gt; dans salaires depuis 1.1.2025"/>
    <m/>
    <m/>
    <x v="0"/>
    <x v="54"/>
    <x v="0"/>
    <x v="0"/>
    <x v="5"/>
    <x v="0"/>
    <x v="0"/>
    <x v="599"/>
    <x v="15"/>
    <x v="0"/>
    <x v="0"/>
    <x v="15"/>
    <x v="0"/>
    <x v="0"/>
    <x v="19"/>
    <m/>
    <m/>
    <m/>
  </r>
  <r>
    <m/>
    <s v="810.306"/>
    <s v="SERVICE EAUX  INDEMNISATION ET REMBOURSEMENT"/>
    <s v="GFA"/>
    <m/>
    <n v="810"/>
    <n v="306"/>
    <m/>
    <m/>
    <m/>
    <m/>
    <m/>
    <m/>
    <n v="0"/>
    <m/>
    <s v="61500"/>
    <s v="3091"/>
    <s v="00"/>
    <s v="Recrutement"/>
    <m/>
    <m/>
    <m/>
    <m/>
    <m/>
    <m/>
    <x v="0"/>
    <x v="54"/>
    <x v="0"/>
    <x v="0"/>
    <x v="17"/>
    <x v="0"/>
    <x v="0"/>
    <x v="599"/>
    <x v="15"/>
    <x v="0"/>
    <x v="0"/>
    <x v="17"/>
    <x v="0"/>
    <x v="0"/>
    <x v="21"/>
    <m/>
    <m/>
    <m/>
  </r>
  <r>
    <m/>
    <s v="810.306"/>
    <s v="SERVICE EAUX  INDEMNISATION ET REMBOURSEMENT"/>
    <s v="GFA"/>
    <m/>
    <n v="810"/>
    <n v="306"/>
    <m/>
    <m/>
    <m/>
    <m/>
    <m/>
    <m/>
    <n v="0"/>
    <m/>
    <s v="61500"/>
    <s v="3099"/>
    <s v="00"/>
    <s v="Autres charges du personnel"/>
    <m/>
    <m/>
    <m/>
    <m/>
    <m/>
    <m/>
    <x v="0"/>
    <x v="54"/>
    <x v="0"/>
    <x v="0"/>
    <x v="17"/>
    <x v="0"/>
    <x v="0"/>
    <x v="599"/>
    <x v="15"/>
    <x v="0"/>
    <x v="0"/>
    <x v="5"/>
    <x v="0"/>
    <x v="0"/>
    <x v="6"/>
    <m/>
    <m/>
    <m/>
  </r>
  <r>
    <m/>
    <s v="810.306"/>
    <s v="SERVICE EAUX  INDEMNISATION ET REMBOURSEMENT"/>
    <s v="GFA"/>
    <m/>
    <n v="810"/>
    <n v="306"/>
    <m/>
    <m/>
    <m/>
    <m/>
    <m/>
    <m/>
    <n v="0"/>
    <m/>
    <s v="61500"/>
    <s v="3049"/>
    <s v="00"/>
    <s v="Autres indemnités forfaitaires - natels"/>
    <m/>
    <m/>
    <m/>
    <m/>
    <m/>
    <m/>
    <x v="0"/>
    <x v="54"/>
    <x v="0"/>
    <x v="0"/>
    <x v="17"/>
    <x v="0"/>
    <x v="0"/>
    <x v="599"/>
    <x v="15"/>
    <x v="0"/>
    <x v="0"/>
    <x v="6"/>
    <x v="0"/>
    <x v="0"/>
    <x v="7"/>
    <m/>
    <m/>
    <m/>
  </r>
  <r>
    <m/>
    <s v="810.306"/>
    <s v="SERVICE EAUX  INDEMNISATION ET REMBOURSEMENT"/>
    <s v="GFA"/>
    <m/>
    <n v="810"/>
    <n v="306"/>
    <m/>
    <m/>
    <m/>
    <m/>
    <m/>
    <m/>
    <n v="0"/>
    <m/>
    <s v="61500"/>
    <s v="3170"/>
    <s v="00"/>
    <s v="Remboursements de frais effectifs km"/>
    <m/>
    <m/>
    <m/>
    <m/>
    <m/>
    <m/>
    <x v="0"/>
    <x v="54"/>
    <x v="0"/>
    <x v="0"/>
    <x v="17"/>
    <x v="0"/>
    <x v="0"/>
    <x v="599"/>
    <x v="15"/>
    <x v="0"/>
    <x v="0"/>
    <x v="7"/>
    <x v="0"/>
    <x v="0"/>
    <x v="8"/>
    <m/>
    <m/>
    <m/>
  </r>
  <r>
    <n v="0"/>
    <s v="810.309"/>
    <s v="SERVICE EAUX  COURS ET FORMATION"/>
    <s v="GFA"/>
    <s v="81"/>
    <n v="810"/>
    <s v="309"/>
    <m/>
    <n v="0"/>
    <n v="0"/>
    <n v="0"/>
    <n v="0"/>
    <n v="0"/>
    <n v="0"/>
    <n v="0"/>
    <s v="61500"/>
    <s v="3090"/>
    <s v="00"/>
    <s v="Formation et perfectionnement"/>
    <m/>
    <m/>
    <m/>
    <m/>
    <m/>
    <m/>
    <x v="0"/>
    <x v="54"/>
    <x v="0"/>
    <x v="0"/>
    <x v="16"/>
    <x v="0"/>
    <x v="0"/>
    <x v="600"/>
    <x v="15"/>
    <x v="0"/>
    <x v="0"/>
    <x v="11"/>
    <x v="0"/>
    <x v="0"/>
    <x v="14"/>
    <m/>
    <m/>
    <m/>
  </r>
  <r>
    <n v="0"/>
    <s v="810.311"/>
    <s v="SERVICE EAUX  ACHATS MACH et MAT COMPTEURS"/>
    <s v="GFA"/>
    <s v="81"/>
    <n v="810"/>
    <s v="311"/>
    <m/>
    <n v="4842"/>
    <n v="0"/>
    <n v="4842"/>
    <n v="4200"/>
    <n v="0"/>
    <n v="4200"/>
    <n v="7841.2"/>
    <s v="71000"/>
    <s v="3101"/>
    <s v="00"/>
    <s v="Matériel d'exploitation, petites fournitures - compteurs"/>
    <n v="4842"/>
    <m/>
    <m/>
    <s v="GWF compteurs"/>
    <m/>
    <m/>
    <x v="0"/>
    <x v="54"/>
    <x v="0"/>
    <x v="0"/>
    <x v="6"/>
    <x v="0"/>
    <x v="0"/>
    <x v="601"/>
    <x v="69"/>
    <x v="0"/>
    <x v="0"/>
    <x v="30"/>
    <x v="0"/>
    <x v="0"/>
    <x v="315"/>
    <m/>
    <m/>
    <m/>
  </r>
  <r>
    <n v="0"/>
    <s v="810.312"/>
    <s v="SERVICE EAUX  ACHATS  ELECTRICITE"/>
    <s v="GFA"/>
    <s v="81"/>
    <n v="810"/>
    <s v="312"/>
    <m/>
    <n v="10301.6"/>
    <n v="0"/>
    <n v="10301.6"/>
    <n v="13000"/>
    <n v="0"/>
    <n v="13000"/>
    <n v="9335.15"/>
    <s v="71000"/>
    <s v="3120"/>
    <s v="01"/>
    <s v="Frais d'électricité PA"/>
    <n v="10301.6"/>
    <m/>
    <m/>
    <m/>
    <m/>
    <m/>
    <x v="0"/>
    <x v="54"/>
    <x v="0"/>
    <x v="0"/>
    <x v="30"/>
    <x v="0"/>
    <x v="0"/>
    <x v="602"/>
    <x v="69"/>
    <x v="0"/>
    <x v="0"/>
    <x v="39"/>
    <x v="1"/>
    <x v="0"/>
    <x v="316"/>
    <m/>
    <m/>
    <m/>
  </r>
  <r>
    <n v="0"/>
    <s v="810.312.1"/>
    <s v="SERVICE EAUX  ACHATS EAU CDG"/>
    <s v="GFA"/>
    <s v="81"/>
    <n v="810"/>
    <s v="312"/>
    <n v="1"/>
    <n v="72794.7"/>
    <n v="0"/>
    <n v="72794.7"/>
    <n v="90000"/>
    <n v="0"/>
    <n v="90000"/>
    <n v="12296.6"/>
    <s v="71000"/>
    <s v="3120"/>
    <s v="02"/>
    <s v="Frais d'eau PA"/>
    <n v="72794.7"/>
    <m/>
    <m/>
    <m/>
    <m/>
    <m/>
    <x v="0"/>
    <x v="54"/>
    <x v="0"/>
    <x v="0"/>
    <x v="30"/>
    <x v="1"/>
    <x v="0"/>
    <x v="603"/>
    <x v="69"/>
    <x v="0"/>
    <x v="0"/>
    <x v="39"/>
    <x v="5"/>
    <x v="0"/>
    <x v="317"/>
    <m/>
    <m/>
    <m/>
  </r>
  <r>
    <n v="0"/>
    <s v="810.314"/>
    <s v="SERVICE EAUX  ENTRETIEN STATIONS"/>
    <s v="GFA"/>
    <s v="81"/>
    <n v="810"/>
    <s v="314"/>
    <m/>
    <n v="13756.15"/>
    <n v="0"/>
    <n v="13756.15"/>
    <n v="14000"/>
    <n v="0"/>
    <n v="14000"/>
    <n v="2885.35"/>
    <s v="71000"/>
    <s v="3143"/>
    <s v="00"/>
    <s v="Entretien autres travaux de genie civil"/>
    <n v="13756.15"/>
    <m/>
    <m/>
    <m/>
    <m/>
    <m/>
    <x v="0"/>
    <x v="54"/>
    <x v="0"/>
    <x v="0"/>
    <x v="25"/>
    <x v="0"/>
    <x v="0"/>
    <x v="604"/>
    <x v="69"/>
    <x v="0"/>
    <x v="0"/>
    <x v="94"/>
    <x v="0"/>
    <x v="0"/>
    <x v="262"/>
    <m/>
    <m/>
    <m/>
  </r>
  <r>
    <n v="0"/>
    <s v="810.314.1"/>
    <s v="SERVICE EAUX  ENTRETIEN RESEAU"/>
    <s v="GFA"/>
    <s v="81"/>
    <n v="810"/>
    <s v="314"/>
    <n v="1"/>
    <n v="84222.9"/>
    <n v="0"/>
    <n v="84222.9"/>
    <n v="50000"/>
    <n v="0"/>
    <n v="50000"/>
    <n v="2976.55"/>
    <s v="71000"/>
    <s v="3143"/>
    <s v="00"/>
    <s v="Entretien autres travaux de genie civil"/>
    <n v="84222.9"/>
    <m/>
    <m/>
    <m/>
    <m/>
    <m/>
    <x v="0"/>
    <x v="54"/>
    <x v="0"/>
    <x v="0"/>
    <x v="25"/>
    <x v="1"/>
    <x v="0"/>
    <x v="605"/>
    <x v="69"/>
    <x v="0"/>
    <x v="0"/>
    <x v="94"/>
    <x v="0"/>
    <x v="0"/>
    <x v="262"/>
    <m/>
    <m/>
    <m/>
  </r>
  <r>
    <n v="0"/>
    <s v="810.314.2"/>
    <s v="SERVICE EAUX  CONTRAT ENTRETIEN STATIONS"/>
    <s v="GFA"/>
    <s v="81"/>
    <n v="810"/>
    <s v="314"/>
    <n v="2"/>
    <n v="0"/>
    <n v="0"/>
    <n v="0"/>
    <n v="0"/>
    <n v="0"/>
    <n v="0"/>
    <n v="663.75"/>
    <s v="71000"/>
    <s v="3143"/>
    <s v="00"/>
    <s v="Entretien autres travaux de genie civil"/>
    <m/>
    <m/>
    <m/>
    <m/>
    <m/>
    <m/>
    <x v="0"/>
    <x v="54"/>
    <x v="0"/>
    <x v="0"/>
    <x v="25"/>
    <x v="2"/>
    <x v="0"/>
    <x v="606"/>
    <x v="69"/>
    <x v="0"/>
    <x v="0"/>
    <x v="94"/>
    <x v="0"/>
    <x v="0"/>
    <x v="262"/>
    <m/>
    <m/>
    <m/>
  </r>
  <r>
    <n v="0"/>
    <s v="810.318"/>
    <s v="SERVICE EAUX  PREST SERVICES ANALYSES EAU ASS et TEL"/>
    <s v="GFA"/>
    <s v="81"/>
    <n v="810"/>
    <s v="318"/>
    <m/>
    <n v="4427"/>
    <n v="0"/>
    <n v="4427"/>
    <n v="16200"/>
    <n v="0"/>
    <n v="16200"/>
    <n v="845.25"/>
    <s v="71000"/>
    <s v="3132"/>
    <s v="00"/>
    <s v="Honoraires conseils externes, spécialistes (avocats, archivistes, …)"/>
    <n v="4427"/>
    <m/>
    <m/>
    <m/>
    <m/>
    <m/>
    <x v="0"/>
    <x v="54"/>
    <x v="0"/>
    <x v="0"/>
    <x v="10"/>
    <x v="0"/>
    <x v="0"/>
    <x v="607"/>
    <x v="69"/>
    <x v="0"/>
    <x v="0"/>
    <x v="12"/>
    <x v="0"/>
    <x v="0"/>
    <x v="15"/>
    <m/>
    <m/>
    <m/>
  </r>
  <r>
    <n v="0"/>
    <s v="810.319"/>
    <s v="SERVICE EAUX  FRAIS DIVERS TAXES TVA (au forfait 0.1 %)"/>
    <s v="GFA"/>
    <s v="81"/>
    <n v="810"/>
    <s v="319"/>
    <m/>
    <n v="415.42"/>
    <n v="0"/>
    <n v="415.42"/>
    <n v="2500"/>
    <n v="0"/>
    <n v="2500"/>
    <n v="0"/>
    <s v="71000"/>
    <s v="3137"/>
    <s v="02"/>
    <s v="Impôts, taxes - TVA Pmt"/>
    <n v="415.42"/>
    <m/>
    <m/>
    <s v="0.1% de tous les revenus"/>
    <m/>
    <m/>
    <x v="0"/>
    <x v="54"/>
    <x v="0"/>
    <x v="0"/>
    <x v="19"/>
    <x v="0"/>
    <x v="0"/>
    <x v="608"/>
    <x v="69"/>
    <x v="0"/>
    <x v="0"/>
    <x v="47"/>
    <x v="5"/>
    <x v="0"/>
    <x v="318"/>
    <m/>
    <m/>
    <m/>
  </r>
  <r>
    <n v="0"/>
    <s v="810.331"/>
    <s v="SERVICE EAUX  Amortissements Obligatoire : PatrimAdmin - Instal. SI"/>
    <s v="GFA"/>
    <s v="81"/>
    <n v="810"/>
    <s v="331"/>
    <m/>
    <n v="0"/>
    <n v="0"/>
    <n v="0"/>
    <n v="0"/>
    <n v="0"/>
    <n v="0"/>
    <n v="0"/>
    <s v="-"/>
    <s v="-"/>
    <s v="-"/>
    <s v="-"/>
    <m/>
    <m/>
    <m/>
    <m/>
    <m/>
    <m/>
    <x v="0"/>
    <x v="54"/>
    <x v="0"/>
    <x v="0"/>
    <x v="31"/>
    <x v="0"/>
    <x v="0"/>
    <x v="609"/>
    <x v="1"/>
    <x v="0"/>
    <x v="0"/>
    <x v="9"/>
    <x v="2"/>
    <x v="0"/>
    <x v="17"/>
    <m/>
    <m/>
    <m/>
  </r>
  <r>
    <n v="0"/>
    <s v="810.332"/>
    <s v="SERVICE EAUX  AMORT SUPPL P ADM"/>
    <s v="GFA"/>
    <s v="81"/>
    <n v="810"/>
    <s v="332"/>
    <m/>
    <n v="855598.12"/>
    <n v="0"/>
    <n v="855598.12"/>
    <n v="0"/>
    <n v="0"/>
    <n v="0"/>
    <n v="0"/>
    <s v="71000"/>
    <s v="3301"/>
    <s v="09"/>
    <s v="Amortissements non planifiés des immobilisations corporelles PA"/>
    <n v="855598.12"/>
    <m/>
    <m/>
    <s v="conduites eau / forages"/>
    <m/>
    <m/>
    <x v="0"/>
    <x v="54"/>
    <x v="0"/>
    <x v="0"/>
    <x v="20"/>
    <x v="0"/>
    <x v="0"/>
    <x v="610"/>
    <x v="69"/>
    <x v="0"/>
    <x v="0"/>
    <x v="42"/>
    <x v="6"/>
    <x v="0"/>
    <x v="32"/>
    <m/>
    <m/>
    <m/>
  </r>
  <r>
    <n v="0"/>
    <s v="810.352"/>
    <s v="SERVICE EAUX  PART SAPAN"/>
    <s v="GFA"/>
    <s v="81"/>
    <n v="810"/>
    <s v="352"/>
    <m/>
    <n v="25657.599999999999"/>
    <n v="0"/>
    <n v="25657.599999999999"/>
    <n v="25000"/>
    <n v="0"/>
    <n v="25000"/>
    <n v="6389.4"/>
    <s v="71000"/>
    <s v="3101"/>
    <s v="01"/>
    <s v="Matériel d'exploitation, petites fournitures - SAPAN"/>
    <n v="25657.599999999999"/>
    <m/>
    <m/>
    <m/>
    <m/>
    <m/>
    <x v="0"/>
    <x v="54"/>
    <x v="0"/>
    <x v="0"/>
    <x v="26"/>
    <x v="0"/>
    <x v="0"/>
    <x v="611"/>
    <x v="69"/>
    <x v="0"/>
    <x v="0"/>
    <x v="30"/>
    <x v="1"/>
    <x v="0"/>
    <x v="319"/>
    <m/>
    <m/>
    <m/>
  </r>
  <r>
    <n v="0"/>
    <s v="810.352.1"/>
    <s v="SERVICE EAUX  FRAIS EXPLOITATION MONTANT"/>
    <s v="GFA"/>
    <s v="81"/>
    <n v="810"/>
    <s v="352"/>
    <n v="1"/>
    <n v="65275"/>
    <n v="0"/>
    <n v="65275"/>
    <n v="62000"/>
    <n v="0"/>
    <n v="62000"/>
    <n v="0"/>
    <s v="71000"/>
    <s v="3612"/>
    <s v="00"/>
    <s v="Parts aux communes et assoc intercomm - Ville de Gland"/>
    <n v="65275"/>
    <m/>
    <m/>
    <s v="Eau DICI"/>
    <m/>
    <m/>
    <x v="0"/>
    <x v="54"/>
    <x v="0"/>
    <x v="0"/>
    <x v="26"/>
    <x v="1"/>
    <x v="0"/>
    <x v="612"/>
    <x v="69"/>
    <x v="0"/>
    <x v="0"/>
    <x v="13"/>
    <x v="0"/>
    <x v="0"/>
    <x v="320"/>
    <m/>
    <m/>
    <m/>
  </r>
  <r>
    <n v="0"/>
    <s v="810.381"/>
    <s v="SERVICE EAUX  ATTRIB FINANC SPECIAUX (9280.3)"/>
    <s v="GFA"/>
    <s v="81"/>
    <n v="810"/>
    <s v="381"/>
    <m/>
    <n v="97321.43"/>
    <n v="0"/>
    <n v="97321.43"/>
    <n v="0"/>
    <n v="0"/>
    <n v="0"/>
    <n v="0"/>
    <s v="71000"/>
    <s v="3510"/>
    <s v="00"/>
    <s v="Attributions aux fonds et financements spéciaux"/>
    <n v="97321.43"/>
    <m/>
    <m/>
    <m/>
    <m/>
    <m/>
    <x v="0"/>
    <x v="54"/>
    <x v="0"/>
    <x v="0"/>
    <x v="27"/>
    <x v="0"/>
    <x v="0"/>
    <x v="613"/>
    <x v="69"/>
    <x v="0"/>
    <x v="0"/>
    <x v="99"/>
    <x v="0"/>
    <x v="0"/>
    <x v="287"/>
    <m/>
    <m/>
    <m/>
  </r>
  <r>
    <n v="0"/>
    <s v="810.390.1"/>
    <s v="SERVICE EAUX  IMPUTATIONS INT SALAIRES"/>
    <s v="GFA"/>
    <s v="81"/>
    <n v="810"/>
    <s v="390"/>
    <n v="1"/>
    <n v="0"/>
    <n v="0"/>
    <n v="0"/>
    <n v="0"/>
    <n v="0"/>
    <n v="0"/>
    <n v="0"/>
    <s v="-"/>
    <s v="-"/>
    <s v="-"/>
    <s v="-"/>
    <m/>
    <m/>
    <m/>
    <m/>
    <m/>
    <m/>
    <x v="0"/>
    <x v="54"/>
    <x v="0"/>
    <x v="0"/>
    <x v="7"/>
    <x v="1"/>
    <x v="0"/>
    <x v="614"/>
    <x v="1"/>
    <x v="0"/>
    <x v="0"/>
    <x v="9"/>
    <x v="2"/>
    <x v="0"/>
    <x v="17"/>
    <m/>
    <m/>
    <m/>
  </r>
  <r>
    <n v="0"/>
    <s v="810.427"/>
    <s v="SERVICE EAUX  ABONNEMENTS"/>
    <s v="GFA"/>
    <s v="81"/>
    <n v="810"/>
    <s v="427"/>
    <m/>
    <n v="0"/>
    <n v="-19469"/>
    <n v="-19469"/>
    <n v="0"/>
    <n v="-20000"/>
    <n v="-20000"/>
    <n v="-60"/>
    <s v="71000"/>
    <s v="4240"/>
    <s v="00"/>
    <s v="Taxes d'utilisation et prestations de service - abonnement"/>
    <n v="-19469"/>
    <m/>
    <m/>
    <m/>
    <m/>
    <m/>
    <x v="0"/>
    <x v="54"/>
    <x v="0"/>
    <x v="0"/>
    <x v="49"/>
    <x v="0"/>
    <x v="0"/>
    <x v="615"/>
    <x v="69"/>
    <x v="0"/>
    <x v="0"/>
    <x v="37"/>
    <x v="0"/>
    <x v="0"/>
    <x v="321"/>
    <m/>
    <m/>
    <m/>
  </r>
  <r>
    <n v="0"/>
    <s v="810.430"/>
    <s v="SERVICE EAUX  TVA N0 CH-112.667.312 (au forfait 2.5 %)"/>
    <s v="GFA"/>
    <s v="81"/>
    <n v="810"/>
    <s v="430"/>
    <m/>
    <n v="0"/>
    <n v="-11068.25"/>
    <n v="-11068.25"/>
    <n v="0"/>
    <n v="-7300"/>
    <n v="-7300"/>
    <n v="-65.05"/>
    <s v="71000"/>
    <s v="4290"/>
    <s v="02"/>
    <s v="Impôts, taxes - TVA"/>
    <n v="-11068.25"/>
    <m/>
    <m/>
    <s v="Debit ici puis crédit vers 71000 4240 .01/.02"/>
    <m/>
    <m/>
    <x v="0"/>
    <x v="54"/>
    <x v="0"/>
    <x v="0"/>
    <x v="55"/>
    <x v="0"/>
    <x v="0"/>
    <x v="616"/>
    <x v="69"/>
    <x v="0"/>
    <x v="0"/>
    <x v="102"/>
    <x v="5"/>
    <x v="0"/>
    <x v="322"/>
    <m/>
    <m/>
    <m/>
  </r>
  <r>
    <n v="0"/>
    <s v="810.434"/>
    <s v="SERVICE EAUX  TAXES RACCORDEMENT EAU"/>
    <s v="GFA"/>
    <s v="81"/>
    <n v="810"/>
    <s v="434"/>
    <m/>
    <n v="0"/>
    <n v="-129119.7"/>
    <n v="-129119.7"/>
    <n v="0"/>
    <n v="0"/>
    <n v="0"/>
    <n v="-135"/>
    <s v="71000"/>
    <s v="4240"/>
    <s v="01"/>
    <s v="Taxes d'utilisation et prestations de service - raccordement"/>
    <n v="-129119.7"/>
    <m/>
    <m/>
    <s v="Incl TVA si possible (avec détails sur la facture)"/>
    <m/>
    <m/>
    <x v="0"/>
    <x v="54"/>
    <x v="0"/>
    <x v="0"/>
    <x v="50"/>
    <x v="0"/>
    <x v="0"/>
    <x v="617"/>
    <x v="69"/>
    <x v="0"/>
    <x v="0"/>
    <x v="37"/>
    <x v="1"/>
    <x v="0"/>
    <x v="292"/>
    <m/>
    <m/>
    <m/>
  </r>
  <r>
    <n v="0"/>
    <s v="810.435"/>
    <s v="SERVICE EAUX  VENTE EAU (TVA CHE 112.667.312 / 0.1 %)"/>
    <s v="GFA"/>
    <s v="81"/>
    <n v="810"/>
    <s v="435"/>
    <m/>
    <n v="0"/>
    <n v="-176339.1"/>
    <n v="-176339.1"/>
    <n v="0"/>
    <n v="-160000"/>
    <n v="-160000"/>
    <n v="-2019"/>
    <s v="71000"/>
    <s v="4240"/>
    <s v="02"/>
    <s v="Taxes d'utilisation et prestations de service - vente eau"/>
    <n v="-176339.1"/>
    <m/>
    <m/>
    <s v="Incl TVA si possible (avec détails sur la facture)"/>
    <m/>
    <m/>
    <x v="0"/>
    <x v="54"/>
    <x v="0"/>
    <x v="0"/>
    <x v="12"/>
    <x v="0"/>
    <x v="0"/>
    <x v="618"/>
    <x v="69"/>
    <x v="0"/>
    <x v="0"/>
    <x v="37"/>
    <x v="5"/>
    <x v="0"/>
    <x v="323"/>
    <m/>
    <m/>
    <m/>
  </r>
  <r>
    <n v="0"/>
    <s v="810.435.1"/>
    <s v="SERVICE EAUX  VENTE EAU CDG (TVA CHE 112.667.312 0.1 %)"/>
    <s v="GFA"/>
    <s v="81"/>
    <n v="810"/>
    <s v="435"/>
    <n v="1"/>
    <n v="0"/>
    <n v="-70830"/>
    <n v="-70830"/>
    <n v="0"/>
    <n v="-90000"/>
    <n v="-90000"/>
    <n v="0"/>
    <s v="71000"/>
    <s v="4240"/>
    <s v="03"/>
    <s v="Taxes d'utilisation et prestations de service - vente eau CDG"/>
    <n v="-70830"/>
    <m/>
    <m/>
    <s v="Incl TVA si possible (avec détails sur la facture)"/>
    <m/>
    <m/>
    <x v="0"/>
    <x v="54"/>
    <x v="0"/>
    <x v="0"/>
    <x v="12"/>
    <x v="1"/>
    <x v="0"/>
    <x v="619"/>
    <x v="69"/>
    <x v="0"/>
    <x v="0"/>
    <x v="37"/>
    <x v="9"/>
    <x v="0"/>
    <x v="324"/>
    <m/>
    <m/>
    <m/>
  </r>
  <r>
    <n v="0"/>
    <s v="810.436"/>
    <s v="SERVICE EAUX   PART DE TIERS ASS."/>
    <s v="GFA"/>
    <s v="81"/>
    <n v="810"/>
    <s v="436"/>
    <m/>
    <n v="0"/>
    <n v="-5345.25"/>
    <n v="-5345.25"/>
    <n v="0"/>
    <n v="0"/>
    <n v="0"/>
    <n v="0"/>
    <s v="71000"/>
    <s v="4260"/>
    <s v="00"/>
    <s v="Remboursements et participation de tiers"/>
    <n v="-5345.25"/>
    <m/>
    <m/>
    <s v="Participation fuite clinique de Genolier"/>
    <m/>
    <m/>
    <x v="0"/>
    <x v="54"/>
    <x v="0"/>
    <x v="0"/>
    <x v="13"/>
    <x v="0"/>
    <x v="0"/>
    <x v="620"/>
    <x v="69"/>
    <x v="0"/>
    <x v="0"/>
    <x v="46"/>
    <x v="0"/>
    <x v="0"/>
    <x v="325"/>
    <m/>
    <m/>
    <m/>
  </r>
  <r>
    <n v="0"/>
    <s v="810.452"/>
    <s v="SERVICE EAUX  PARTICIPATION DE COMMUNES, ASSOC. + REMBOURSEMENT"/>
    <s v="GFA"/>
    <s v="81"/>
    <n v="810"/>
    <s v="452"/>
    <m/>
    <n v="0"/>
    <n v="0"/>
    <n v="0"/>
    <n v="0"/>
    <n v="0"/>
    <n v="0"/>
    <n v="0"/>
    <s v="-"/>
    <s v="-"/>
    <s v="-"/>
    <s v="-"/>
    <m/>
    <m/>
    <m/>
    <m/>
    <m/>
    <m/>
    <x v="0"/>
    <x v="54"/>
    <x v="0"/>
    <x v="0"/>
    <x v="51"/>
    <x v="0"/>
    <x v="0"/>
    <x v="621"/>
    <x v="1"/>
    <x v="0"/>
    <x v="0"/>
    <x v="9"/>
    <x v="2"/>
    <x v="0"/>
    <x v="17"/>
    <m/>
    <m/>
    <m/>
  </r>
  <r>
    <n v="0"/>
    <s v="810.465"/>
    <s v="SERVICE EAUX  SUBSIDES ECA"/>
    <s v="GFA"/>
    <s v="81"/>
    <n v="810"/>
    <s v="465"/>
    <m/>
    <n v="0"/>
    <n v="-3243"/>
    <n v="-3243"/>
    <n v="0"/>
    <n v="0"/>
    <n v="0"/>
    <n v="0"/>
    <s v="71000"/>
    <s v="4260"/>
    <s v="00"/>
    <s v="Remboursements et participation de tiers"/>
    <n v="-3243"/>
    <m/>
    <m/>
    <s v="Remb ECA BH"/>
    <m/>
    <m/>
    <x v="0"/>
    <x v="54"/>
    <x v="0"/>
    <x v="0"/>
    <x v="52"/>
    <x v="0"/>
    <x v="0"/>
    <x v="622"/>
    <x v="69"/>
    <x v="0"/>
    <x v="0"/>
    <x v="46"/>
    <x v="0"/>
    <x v="0"/>
    <x v="325"/>
    <m/>
    <m/>
    <m/>
  </r>
  <r>
    <n v="0"/>
    <s v="810.480"/>
    <s v="Prélèvement au fonds de réserve SP ALIMENTATION EAU (9280.3)"/>
    <s v="GFA"/>
    <s v="81"/>
    <n v="810"/>
    <s v="480"/>
    <m/>
    <n v="0"/>
    <n v="0"/>
    <n v="0"/>
    <n v="0"/>
    <n v="0"/>
    <n v="0"/>
    <n v="0"/>
    <s v="-"/>
    <s v="-"/>
    <s v="-"/>
    <s v="-"/>
    <m/>
    <m/>
    <m/>
    <m/>
    <m/>
    <m/>
    <x v="0"/>
    <x v="54"/>
    <x v="0"/>
    <x v="0"/>
    <x v="14"/>
    <x v="0"/>
    <x v="0"/>
    <x v="623"/>
    <x v="1"/>
    <x v="0"/>
    <x v="0"/>
    <x v="9"/>
    <x v="2"/>
    <x v="0"/>
    <x v="17"/>
    <m/>
    <m/>
    <m/>
  </r>
  <r>
    <n v="0"/>
    <s v="810.481"/>
    <s v="SERVICE EAUX  PREL FINANC SPECIAUX (9280.3)"/>
    <s v="GFA"/>
    <s v="81"/>
    <n v="810"/>
    <s v="481"/>
    <m/>
    <n v="0"/>
    <n v="-855598.12"/>
    <n v="-855598.12"/>
    <n v="0"/>
    <n v="-36690"/>
    <n v="-36690"/>
    <n v="0"/>
    <s v="71000"/>
    <s v="4510"/>
    <s v="00"/>
    <s v="Prélèvements aux fonds et financement spéciaux"/>
    <n v="-855598.12"/>
    <m/>
    <m/>
    <m/>
    <m/>
    <m/>
    <x v="0"/>
    <x v="54"/>
    <x v="0"/>
    <x v="0"/>
    <x v="29"/>
    <x v="0"/>
    <x v="0"/>
    <x v="624"/>
    <x v="69"/>
    <x v="0"/>
    <x v="0"/>
    <x v="97"/>
    <x v="0"/>
    <x v="0"/>
    <x v="278"/>
    <m/>
    <m/>
    <m/>
  </r>
  <r>
    <m/>
    <m/>
    <m/>
    <m/>
    <m/>
    <m/>
    <m/>
    <m/>
    <n v="0"/>
    <n v="0"/>
    <n v="0"/>
    <n v="0"/>
    <n v="0"/>
    <n v="0"/>
    <m/>
    <s v="71000"/>
    <s v="3510"/>
    <s v="00"/>
    <s v="Attributions aux fonds et financements spéciaux"/>
    <m/>
    <m/>
    <m/>
    <m/>
    <m/>
    <m/>
    <x v="0"/>
    <x v="1"/>
    <x v="0"/>
    <x v="0"/>
    <x v="4"/>
    <x v="0"/>
    <x v="0"/>
    <x v="4"/>
    <x v="69"/>
    <x v="0"/>
    <x v="0"/>
    <x v="99"/>
    <x v="0"/>
    <x v="0"/>
    <x v="287"/>
    <m/>
    <m/>
    <m/>
  </r>
  <r>
    <m/>
    <m/>
    <m/>
    <m/>
    <m/>
    <m/>
    <m/>
    <m/>
    <m/>
    <m/>
    <n v="0"/>
    <m/>
    <m/>
    <m/>
    <m/>
    <s v="82000"/>
    <s v="3612"/>
    <s v="55"/>
    <s v="Parts aux communes et assoc intercomm - ACP Plaquettes"/>
    <m/>
    <m/>
    <m/>
    <s v="Soumis TVA"/>
    <m/>
    <m/>
    <x v="0"/>
    <x v="1"/>
    <x v="0"/>
    <x v="0"/>
    <x v="4"/>
    <x v="0"/>
    <x v="0"/>
    <x v="4"/>
    <x v="12"/>
    <x v="0"/>
    <x v="0"/>
    <x v="13"/>
    <x v="13"/>
    <x v="0"/>
    <x v="326"/>
    <m/>
    <m/>
    <m/>
  </r>
  <r>
    <m/>
    <m/>
    <m/>
    <m/>
    <m/>
    <m/>
    <m/>
    <m/>
    <m/>
    <m/>
    <n v="0"/>
    <m/>
    <m/>
    <m/>
    <m/>
    <s v="82000"/>
    <s v="4250"/>
    <s v="55"/>
    <s v="Recettes sur ventes - ACP Plaquettes"/>
    <m/>
    <m/>
    <m/>
    <s v="Soumis TVA"/>
    <m/>
    <m/>
    <x v="0"/>
    <x v="1"/>
    <x v="0"/>
    <x v="0"/>
    <x v="4"/>
    <x v="0"/>
    <x v="0"/>
    <x v="4"/>
    <x v="12"/>
    <x v="0"/>
    <x v="0"/>
    <x v="27"/>
    <x v="13"/>
    <x v="0"/>
    <x v="32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6EC82-11B2-4B57-BFF2-100EC35ADC76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A3:R266" firstHeaderRow="0" firstDataRow="1" firstDataCol="15"/>
  <pivotFields count="4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31"/>
        <item x="32"/>
        <item x="33"/>
        <item x="34"/>
        <item x="36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4"/>
        <item x="17"/>
        <item x="0"/>
        <item x="1"/>
        <item x="2"/>
        <item x="8"/>
        <item x="3"/>
        <item x="5"/>
        <item x="16"/>
        <item x="18"/>
        <item x="6"/>
        <item x="30"/>
        <item x="53"/>
        <item x="25"/>
        <item x="24"/>
        <item x="54"/>
        <item x="9"/>
        <item x="10"/>
        <item x="19"/>
        <item x="44"/>
        <item x="45"/>
        <item x="34"/>
        <item x="11"/>
        <item x="31"/>
        <item x="20"/>
        <item x="33"/>
        <item x="26"/>
        <item x="21"/>
        <item x="57"/>
        <item x="22"/>
        <item x="27"/>
        <item x="7"/>
        <item x="35"/>
        <item x="36"/>
        <item x="37"/>
        <item x="38"/>
        <item x="39"/>
        <item x="28"/>
        <item x="40"/>
        <item x="41"/>
        <item x="42"/>
        <item x="46"/>
        <item x="47"/>
        <item x="48"/>
        <item x="49"/>
        <item x="55"/>
        <item x="23"/>
        <item x="50"/>
        <item x="12"/>
        <item x="13"/>
        <item x="56"/>
        <item x="43"/>
        <item x="32"/>
        <item x="51"/>
        <item x="52"/>
        <item x="14"/>
        <item x="29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6"/>
        <item x="7"/>
        <item x="8"/>
        <item x="9"/>
        <item x="10"/>
        <item x="1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5">
        <item x="4"/>
        <item x="272"/>
        <item x="271"/>
        <item x="273"/>
        <item x="270"/>
        <item x="281"/>
        <item x="278"/>
        <item x="275"/>
        <item x="276"/>
        <item x="284"/>
        <item x="274"/>
        <item x="277"/>
        <item x="282"/>
        <item x="287"/>
        <item x="283"/>
        <item x="285"/>
        <item x="279"/>
        <item x="29"/>
        <item x="59"/>
        <item x="74"/>
        <item x="45"/>
        <item x="26"/>
        <item x="25"/>
        <item x="24"/>
        <item x="27"/>
        <item x="23"/>
        <item x="64"/>
        <item x="36"/>
        <item x="124"/>
        <item x="85"/>
        <item x="212"/>
        <item x="408"/>
        <item x="172"/>
        <item x="142"/>
        <item x="173"/>
        <item x="280"/>
        <item x="62"/>
        <item x="34"/>
        <item x="63"/>
        <item x="418"/>
        <item x="146"/>
        <item x="121"/>
        <item x="152"/>
        <item x="151"/>
        <item x="227"/>
        <item x="226"/>
        <item x="228"/>
        <item x="225"/>
        <item x="235"/>
        <item x="233"/>
        <item x="230"/>
        <item x="231"/>
        <item x="232"/>
        <item x="229"/>
        <item x="238"/>
        <item x="234"/>
        <item x="237"/>
        <item x="236"/>
        <item x="239"/>
        <item x="57"/>
        <item x="32"/>
        <item x="12"/>
        <item x="149"/>
        <item x="148"/>
        <item x="127"/>
        <item x="128"/>
        <item x="126"/>
        <item x="90"/>
        <item x="52"/>
        <item x="37"/>
        <item x="51"/>
        <item x="47"/>
        <item x="77"/>
        <item x="499"/>
        <item x="250"/>
        <item x="242"/>
        <item x="241"/>
        <item x="243"/>
        <item x="240"/>
        <item x="251"/>
        <item x="248"/>
        <item x="245"/>
        <item x="244"/>
        <item x="247"/>
        <item x="253"/>
        <item x="246"/>
        <item x="252"/>
        <item x="249"/>
        <item x="254"/>
        <item x="39"/>
        <item x="17"/>
        <item x="202"/>
        <item x="201"/>
        <item x="203"/>
        <item x="200"/>
        <item x="213"/>
        <item x="214"/>
        <item x="198"/>
        <item x="216"/>
        <item x="215"/>
        <item x="217"/>
        <item x="197"/>
        <item x="195"/>
        <item x="210"/>
        <item x="205"/>
        <item x="196"/>
        <item x="206"/>
        <item x="221"/>
        <item x="209"/>
        <item x="204"/>
        <item x="218"/>
        <item x="220"/>
        <item x="219"/>
        <item x="222"/>
        <item x="224"/>
        <item x="211"/>
        <item x="199"/>
        <item x="307"/>
        <item x="308"/>
        <item x="306"/>
        <item x="314"/>
        <item x="304"/>
        <item x="315"/>
        <item x="303"/>
        <item x="312"/>
        <item x="310"/>
        <item x="302"/>
        <item x="311"/>
        <item x="309"/>
        <item x="316"/>
        <item x="317"/>
        <item x="313"/>
        <item x="301"/>
        <item x="305"/>
        <item x="290"/>
        <item x="289"/>
        <item x="291"/>
        <item x="288"/>
        <item x="298"/>
        <item x="296"/>
        <item x="293"/>
        <item x="294"/>
        <item x="299"/>
        <item x="295"/>
        <item x="292"/>
        <item x="297"/>
        <item x="300"/>
        <item x="56"/>
        <item x="556"/>
        <item x="503"/>
        <item x="393"/>
        <item x="388"/>
        <item x="385"/>
        <item x="380"/>
        <item x="376"/>
        <item x="378"/>
        <item x="377"/>
        <item x="379"/>
        <item x="374"/>
        <item x="373"/>
        <item x="375"/>
        <item x="389"/>
        <item x="392"/>
        <item x="390"/>
        <item x="384"/>
        <item x="381"/>
        <item x="383"/>
        <item x="382"/>
        <item x="386"/>
        <item x="387"/>
        <item x="391"/>
        <item x="571"/>
        <item x="554"/>
        <item x="255"/>
        <item x="3"/>
        <item x="0"/>
        <item x="2"/>
        <item x="5"/>
        <item x="7"/>
        <item x="1"/>
        <item x="6"/>
        <item x="574"/>
        <item x="573"/>
        <item x="575"/>
        <item x="572"/>
        <item x="570"/>
        <item x="569"/>
        <item x="568"/>
        <item x="567"/>
        <item x="33"/>
        <item x="10"/>
        <item x="541"/>
        <item x="540"/>
        <item x="543"/>
        <item x="542"/>
        <item x="544"/>
        <item x="28"/>
        <item x="560"/>
        <item x="482"/>
        <item x="485"/>
        <item x="88"/>
        <item x="86"/>
        <item x="35"/>
        <item x="258"/>
        <item x="257"/>
        <item x="259"/>
        <item x="256"/>
        <item x="266"/>
        <item x="264"/>
        <item x="261"/>
        <item x="262"/>
        <item x="268"/>
        <item x="260"/>
        <item x="263"/>
        <item x="267"/>
        <item x="269"/>
        <item x="265"/>
        <item x="60"/>
        <item x="559"/>
        <item x="558"/>
        <item x="557"/>
        <item x="519"/>
        <item x="520"/>
        <item x="521"/>
        <item x="524"/>
        <item x="525"/>
        <item x="526"/>
        <item x="537"/>
        <item x="529"/>
        <item x="530"/>
        <item x="522"/>
        <item x="527"/>
        <item x="528"/>
        <item x="531"/>
        <item x="536"/>
        <item x="539"/>
        <item x="523"/>
        <item x="532"/>
        <item x="534"/>
        <item x="533"/>
        <item x="517"/>
        <item x="516"/>
        <item x="515"/>
        <item x="518"/>
        <item x="514"/>
        <item x="535"/>
        <item x="403"/>
        <item x="545"/>
        <item x="546"/>
        <item x="547"/>
        <item x="549"/>
        <item x="548"/>
        <item x="550"/>
        <item x="551"/>
        <item x="552"/>
        <item x="61"/>
        <item x="75"/>
        <item x="46"/>
        <item x="147"/>
        <item x="176"/>
        <item x="169"/>
        <item x="171"/>
        <item x="174"/>
        <item x="175"/>
        <item x="178"/>
        <item x="170"/>
        <item x="177"/>
        <item x="179"/>
        <item x="73"/>
        <item x="44"/>
        <item x="108"/>
        <item x="81"/>
        <item x="84"/>
        <item x="30"/>
        <item x="58"/>
        <item x="13"/>
        <item x="131"/>
        <item x="150"/>
        <item x="407"/>
        <item x="409"/>
        <item x="405"/>
        <item x="402"/>
        <item x="411"/>
        <item x="404"/>
        <item x="410"/>
        <item x="406"/>
        <item x="93"/>
        <item x="97"/>
        <item x="98"/>
        <item x="106"/>
        <item x="102"/>
        <item x="100"/>
        <item x="95"/>
        <item x="94"/>
        <item x="92"/>
        <item x="96"/>
        <item x="99"/>
        <item x="91"/>
        <item x="101"/>
        <item x="105"/>
        <item x="22"/>
        <item x="43"/>
        <item x="141"/>
        <item x="18"/>
        <item x="38"/>
        <item x="82"/>
        <item x="65"/>
        <item x="119"/>
        <item x="87"/>
        <item x="109"/>
        <item x="110"/>
        <item x="114"/>
        <item x="115"/>
        <item x="116"/>
        <item x="111"/>
        <item x="117"/>
        <item x="118"/>
        <item x="113"/>
        <item x="112"/>
        <item x="401"/>
        <item x="397"/>
        <item x="396"/>
        <item x="398"/>
        <item x="394"/>
        <item x="395"/>
        <item x="400"/>
        <item x="399"/>
        <item x="325"/>
        <item x="324"/>
        <item x="326"/>
        <item x="323"/>
        <item x="332"/>
        <item x="333"/>
        <item x="321"/>
        <item x="334"/>
        <item x="320"/>
        <item x="330"/>
        <item x="328"/>
        <item x="319"/>
        <item x="327"/>
        <item x="329"/>
        <item x="335"/>
        <item x="336"/>
        <item x="338"/>
        <item x="337"/>
        <item x="339"/>
        <item x="340"/>
        <item x="331"/>
        <item x="322"/>
        <item x="318"/>
        <item x="76"/>
        <item x="104"/>
        <item x="502"/>
        <item x="508"/>
        <item x="488"/>
        <item x="501"/>
        <item x="474"/>
        <item x="484"/>
        <item x="483"/>
        <item x="493"/>
        <item x="492"/>
        <item x="489"/>
        <item x="487"/>
        <item x="478"/>
        <item x="496"/>
        <item x="491"/>
        <item x="500"/>
        <item x="481"/>
        <item x="511"/>
        <item x="476"/>
        <item x="475"/>
        <item x="477"/>
        <item x="512"/>
        <item x="480"/>
        <item x="479"/>
        <item x="494"/>
        <item x="490"/>
        <item x="510"/>
        <item x="497"/>
        <item x="495"/>
        <item x="513"/>
        <item x="507"/>
        <item x="505"/>
        <item x="486"/>
        <item x="504"/>
        <item x="498"/>
        <item x="506"/>
        <item x="553"/>
        <item x="463"/>
        <item x="464"/>
        <item x="467"/>
        <item x="466"/>
        <item x="468"/>
        <item x="472"/>
        <item x="465"/>
        <item x="469"/>
        <item x="470"/>
        <item x="473"/>
        <item x="461"/>
        <item x="460"/>
        <item x="459"/>
        <item x="458"/>
        <item x="471"/>
        <item x="462"/>
        <item x="89"/>
        <item x="78"/>
        <item x="66"/>
        <item x="71"/>
        <item x="70"/>
        <item x="20"/>
        <item x="72"/>
        <item x="103"/>
        <item x="180"/>
        <item x="181"/>
        <item x="185"/>
        <item x="186"/>
        <item x="184"/>
        <item x="187"/>
        <item x="182"/>
        <item x="188"/>
        <item x="190"/>
        <item x="183"/>
        <item x="191"/>
        <item x="192"/>
        <item x="194"/>
        <item x="193"/>
        <item x="189"/>
        <item x="343"/>
        <item x="342"/>
        <item x="344"/>
        <item x="341"/>
        <item x="350"/>
        <item x="351"/>
        <item x="349"/>
        <item x="352"/>
        <item x="346"/>
        <item x="348"/>
        <item x="345"/>
        <item x="347"/>
        <item x="353"/>
        <item x="354"/>
        <item x="355"/>
        <item x="356"/>
        <item x="122"/>
        <item x="123"/>
        <item x="137"/>
        <item x="139"/>
        <item x="120"/>
        <item x="143"/>
        <item x="565"/>
        <item x="564"/>
        <item x="562"/>
        <item x="563"/>
        <item x="561"/>
        <item x="566"/>
        <item x="107"/>
        <item x="54"/>
        <item x="68"/>
        <item x="286"/>
        <item x="79"/>
        <item x="42"/>
        <item x="140"/>
        <item x="623"/>
        <item x="538"/>
        <item x="48"/>
        <item x="21"/>
        <item x="412"/>
        <item x="509"/>
        <item x="69"/>
        <item x="15"/>
        <item x="16"/>
        <item x="593"/>
        <item x="590"/>
        <item x="591"/>
        <item x="11"/>
        <item x="592"/>
        <item x="594"/>
        <item x="581"/>
        <item x="582"/>
        <item x="580"/>
        <item x="583"/>
        <item x="14"/>
        <item x="135"/>
        <item x="420"/>
        <item x="83"/>
        <item x="41"/>
        <item x="136"/>
        <item x="8"/>
        <item x="130"/>
        <item x="133"/>
        <item x="132"/>
        <item x="129"/>
        <item x="439"/>
        <item x="447"/>
        <item x="448"/>
        <item x="432"/>
        <item x="434"/>
        <item x="435"/>
        <item x="433"/>
        <item x="451"/>
        <item x="449"/>
        <item x="457"/>
        <item x="450"/>
        <item x="452"/>
        <item x="454"/>
        <item x="456"/>
        <item x="455"/>
        <item x="431"/>
        <item x="428"/>
        <item x="429"/>
        <item x="430"/>
        <item x="440"/>
        <item x="444"/>
        <item x="443"/>
        <item x="441"/>
        <item x="442"/>
        <item x="438"/>
        <item x="445"/>
        <item x="425"/>
        <item x="424"/>
        <item x="446"/>
        <item x="423"/>
        <item x="427"/>
        <item x="436"/>
        <item x="437"/>
        <item x="426"/>
        <item x="422"/>
        <item x="453"/>
        <item x="9"/>
        <item x="80"/>
        <item x="55"/>
        <item x="620"/>
        <item x="615"/>
        <item x="602"/>
        <item x="603"/>
        <item x="601"/>
        <item x="610"/>
        <item x="609"/>
        <item x="598"/>
        <item x="613"/>
        <item x="597"/>
        <item x="606"/>
        <item x="596"/>
        <item x="600"/>
        <item x="605"/>
        <item x="604"/>
        <item x="608"/>
        <item x="612"/>
        <item x="614"/>
        <item x="599"/>
        <item x="611"/>
        <item x="621"/>
        <item x="624"/>
        <item x="607"/>
        <item x="595"/>
        <item x="622"/>
        <item x="617"/>
        <item x="616"/>
        <item x="618"/>
        <item x="619"/>
        <item x="577"/>
        <item x="578"/>
        <item x="579"/>
        <item x="576"/>
        <item x="555"/>
        <item x="588"/>
        <item x="587"/>
        <item x="586"/>
        <item x="585"/>
        <item x="584"/>
        <item x="589"/>
        <item x="414"/>
        <item x="413"/>
        <item x="415"/>
        <item x="138"/>
        <item x="366"/>
        <item x="368"/>
        <item x="361"/>
        <item x="364"/>
        <item x="370"/>
        <item x="360"/>
        <item x="363"/>
        <item x="369"/>
        <item x="371"/>
        <item x="365"/>
        <item x="358"/>
        <item x="359"/>
        <item x="357"/>
        <item x="362"/>
        <item x="367"/>
        <item x="372"/>
        <item x="207"/>
        <item x="208"/>
        <item x="223"/>
        <item x="125"/>
        <item x="67"/>
        <item x="134"/>
        <item x="53"/>
        <item x="50"/>
        <item x="31"/>
        <item x="153"/>
        <item x="159"/>
        <item x="160"/>
        <item x="154"/>
        <item x="165"/>
        <item x="158"/>
        <item x="163"/>
        <item x="162"/>
        <item x="157"/>
        <item x="164"/>
        <item x="161"/>
        <item x="168"/>
        <item x="155"/>
        <item x="166"/>
        <item x="167"/>
        <item x="156"/>
        <item x="144"/>
        <item x="145"/>
        <item x="49"/>
        <item x="417"/>
        <item x="419"/>
        <item x="416"/>
        <item x="421"/>
        <item x="1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0">
        <item x="29"/>
        <item x="27"/>
        <item x="30"/>
        <item x="47"/>
        <item x="1"/>
        <item x="0"/>
        <item x="2"/>
        <item x="6"/>
        <item x="4"/>
        <item x="5"/>
        <item x="7"/>
        <item x="28"/>
        <item x="31"/>
        <item x="40"/>
        <item x="35"/>
        <item x="42"/>
        <item x="44"/>
        <item x="10"/>
        <item x="25"/>
        <item x="46"/>
        <item x="19"/>
        <item x="37"/>
        <item x="66"/>
        <item x="56"/>
        <item x="57"/>
        <item x="58"/>
        <item x="59"/>
        <item x="61"/>
        <item x="63"/>
        <item x="60"/>
        <item x="3"/>
        <item x="18"/>
        <item x="16"/>
        <item x="17"/>
        <item x="50"/>
        <item x="33"/>
        <item x="62"/>
        <item x="64"/>
        <item x="65"/>
        <item x="68"/>
        <item x="11"/>
        <item x="15"/>
        <item x="34"/>
        <item x="20"/>
        <item x="69"/>
        <item x="55"/>
        <item x="53"/>
        <item x="54"/>
        <item x="52"/>
        <item x="51"/>
        <item x="8"/>
        <item x="49"/>
        <item x="12"/>
        <item x="14"/>
        <item x="23"/>
        <item x="26"/>
        <item x="67"/>
        <item x="24"/>
        <item x="22"/>
        <item x="32"/>
        <item x="38"/>
        <item x="36"/>
        <item x="39"/>
        <item x="41"/>
        <item x="43"/>
        <item x="45"/>
        <item x="48"/>
        <item x="9"/>
        <item x="13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3">
        <item x="16"/>
        <item x="91"/>
        <item x="9"/>
        <item x="0"/>
        <item x="15"/>
        <item x="6"/>
        <item x="1"/>
        <item x="4"/>
        <item x="3"/>
        <item x="2"/>
        <item x="11"/>
        <item x="17"/>
        <item x="5"/>
        <item x="30"/>
        <item x="31"/>
        <item x="82"/>
        <item x="38"/>
        <item x="8"/>
        <item x="39"/>
        <item x="10"/>
        <item x="12"/>
        <item x="21"/>
        <item x="47"/>
        <item x="40"/>
        <item x="93"/>
        <item x="94"/>
        <item x="83"/>
        <item x="78"/>
        <item x="33"/>
        <item x="95"/>
        <item x="45"/>
        <item x="98"/>
        <item x="32"/>
        <item x="34"/>
        <item x="7"/>
        <item x="53"/>
        <item x="50"/>
        <item x="41"/>
        <item x="42"/>
        <item x="49"/>
        <item x="68"/>
        <item x="69"/>
        <item x="20"/>
        <item x="80"/>
        <item x="75"/>
        <item x="81"/>
        <item x="51"/>
        <item x="99"/>
        <item x="36"/>
        <item x="52"/>
        <item x="96"/>
        <item x="13"/>
        <item x="44"/>
        <item x="70"/>
        <item x="24"/>
        <item x="23"/>
        <item x="25"/>
        <item x="19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26"/>
        <item x="37"/>
        <item x="27"/>
        <item x="46"/>
        <item x="100"/>
        <item x="102"/>
        <item x="14"/>
        <item x="74"/>
        <item x="66"/>
        <item x="77"/>
        <item x="72"/>
        <item x="73"/>
        <item x="76"/>
        <item x="87"/>
        <item x="89"/>
        <item x="86"/>
        <item x="92"/>
        <item x="88"/>
        <item x="97"/>
        <item x="67"/>
        <item x="28"/>
        <item x="35"/>
        <item x="101"/>
        <item x="71"/>
        <item x="43"/>
        <item x="79"/>
        <item x="29"/>
        <item x="18"/>
        <item x="48"/>
        <item x="22"/>
        <item x="84"/>
        <item x="85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2"/>
        <item h="1" x="0"/>
        <item h="1" x="1"/>
        <item h="1" x="5"/>
        <item h="1" x="9"/>
        <item h="1" x="3"/>
        <item h="1" x="7"/>
        <item h="1" x="10"/>
        <item h="1" x="6"/>
        <item h="1" x="11"/>
        <item h="1" x="12"/>
        <item h="1" x="13"/>
        <item h="1" x="4"/>
        <item h="1" x="8"/>
        <item h="1"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8">
        <item x="10"/>
        <item x="17"/>
        <item x="72"/>
        <item x="300"/>
        <item x="32"/>
        <item x="54"/>
        <item x="48"/>
        <item x="287"/>
        <item x="305"/>
        <item x="6"/>
        <item x="61"/>
        <item x="7"/>
        <item x="89"/>
        <item x="45"/>
        <item x="18"/>
        <item x="94"/>
        <item x="135"/>
        <item x="63"/>
        <item x="0"/>
        <item x="288"/>
        <item x="274"/>
        <item x="2"/>
        <item x="3"/>
        <item x="4"/>
        <item x="5"/>
        <item x="256"/>
        <item x="47"/>
        <item x="55"/>
        <item x="201"/>
        <item x="133"/>
        <item x="62"/>
        <item x="239"/>
        <item x="67"/>
        <item x="93"/>
        <item x="80"/>
        <item x="304"/>
        <item x="36"/>
        <item x="303"/>
        <item x="262"/>
        <item x="271"/>
        <item x="266"/>
        <item x="267"/>
        <item x="44"/>
        <item x="126"/>
        <item x="280"/>
        <item x="102"/>
        <item x="60"/>
        <item x="263"/>
        <item x="264"/>
        <item x="260"/>
        <item x="258"/>
        <item x="53"/>
        <item x="14"/>
        <item x="104"/>
        <item x="31"/>
        <item x="28"/>
        <item x="115"/>
        <item x="113"/>
        <item x="317"/>
        <item x="114"/>
        <item x="52"/>
        <item x="51"/>
        <item x="316"/>
        <item x="259"/>
        <item x="283"/>
        <item x="302"/>
        <item x="15"/>
        <item x="272"/>
        <item x="252"/>
        <item x="74"/>
        <item x="76"/>
        <item x="79"/>
        <item x="83"/>
        <item x="75"/>
        <item x="81"/>
        <item x="73"/>
        <item x="77"/>
        <item x="71"/>
        <item x="82"/>
        <item x="87"/>
        <item x="86"/>
        <item x="78"/>
        <item x="322"/>
        <item x="318"/>
        <item x="42"/>
        <item x="22"/>
        <item x="24"/>
        <item x="23"/>
        <item x="25"/>
        <item x="26"/>
        <item x="276"/>
        <item x="66"/>
        <item x="85"/>
        <item x="95"/>
        <item x="88"/>
        <item x="92"/>
        <item x="281"/>
        <item x="202"/>
        <item x="129"/>
        <item x="130"/>
        <item x="213"/>
        <item x="131"/>
        <item x="50"/>
        <item x="265"/>
        <item x="40"/>
        <item x="315"/>
        <item x="261"/>
        <item x="319"/>
        <item x="9"/>
        <item x="112"/>
        <item x="269"/>
        <item x="268"/>
        <item x="16"/>
        <item x="326"/>
        <item x="293"/>
        <item x="294"/>
        <item x="295"/>
        <item x="255"/>
        <item x="290"/>
        <item x="314"/>
        <item x="309"/>
        <item x="253"/>
        <item x="105"/>
        <item x="103"/>
        <item x="277"/>
        <item x="307"/>
        <item x="298"/>
        <item x="251"/>
        <item x="254"/>
        <item x="306"/>
        <item x="46"/>
        <item x="310"/>
        <item x="320"/>
        <item x="273"/>
        <item x="296"/>
        <item x="301"/>
        <item x="84"/>
        <item x="299"/>
        <item x="97"/>
        <item x="90"/>
        <item x="91"/>
        <item x="58"/>
        <item x="312"/>
        <item x="313"/>
        <item x="282"/>
        <item x="39"/>
        <item x="278"/>
        <item x="41"/>
        <item x="57"/>
        <item x="297"/>
        <item x="13"/>
        <item x="27"/>
        <item x="12"/>
        <item x="289"/>
        <item x="29"/>
        <item x="30"/>
        <item x="43"/>
        <item x="37"/>
        <item x="327"/>
        <item x="59"/>
        <item x="21"/>
        <item x="70"/>
        <item x="8"/>
        <item x="325"/>
        <item x="270"/>
        <item x="286"/>
        <item x="279"/>
        <item x="64"/>
        <item x="20"/>
        <item x="68"/>
        <item x="69"/>
        <item x="11"/>
        <item x="1"/>
        <item x="19"/>
        <item x="257"/>
        <item x="38"/>
        <item x="56"/>
        <item x="107"/>
        <item x="33"/>
        <item x="34"/>
        <item x="106"/>
        <item x="308"/>
        <item x="35"/>
        <item x="311"/>
        <item x="96"/>
        <item x="49"/>
        <item x="321"/>
        <item x="285"/>
        <item x="291"/>
        <item x="284"/>
        <item x="292"/>
        <item x="323"/>
        <item x="324"/>
        <item x="65"/>
        <item x="275"/>
        <item x="98"/>
        <item x="99"/>
        <item x="100"/>
        <item x="101"/>
        <item x="108"/>
        <item x="109"/>
        <item x="110"/>
        <item x="111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32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5">
    <field x="25"/>
    <field x="26"/>
    <field x="27"/>
    <field x="28"/>
    <field x="29"/>
    <field x="30"/>
    <field x="31"/>
    <field x="32"/>
    <field x="33"/>
    <field x="34"/>
    <field x="35"/>
    <field x="36"/>
    <field x="37"/>
    <field x="38"/>
    <field x="39"/>
  </rowFields>
  <rowItems count="263">
    <i>
      <x/>
      <x v="1"/>
      <x/>
      <x/>
      <x v="31"/>
      <x v="1"/>
      <x/>
      <x v="178"/>
      <x v="4"/>
      <x/>
      <x/>
      <x v="2"/>
      <x/>
      <x/>
      <x/>
    </i>
    <i r="1">
      <x v="2"/>
      <x/>
      <x/>
      <x v="2"/>
      <x/>
      <x/>
      <x v="487"/>
      <x v="4"/>
      <x/>
      <x/>
      <x v="2"/>
      <x/>
      <x/>
      <x/>
    </i>
    <i r="4">
      <x v="17"/>
      <x v="1"/>
      <x/>
      <x v="470"/>
      <x v="4"/>
      <x/>
      <x/>
      <x v="2"/>
      <x/>
      <x/>
      <x v="1"/>
    </i>
    <i r="4">
      <x v="22"/>
      <x/>
      <x/>
      <x v="90"/>
      <x v="4"/>
      <x/>
      <x/>
      <x v="2"/>
      <x/>
      <x/>
      <x v="1"/>
    </i>
    <i r="4">
      <x v="31"/>
      <x v="1"/>
      <x/>
      <x v="303"/>
      <x v="4"/>
      <x/>
      <x/>
      <x v="2"/>
      <x/>
      <x/>
      <x v="1"/>
    </i>
    <i r="4">
      <x v="49"/>
      <x/>
      <x/>
      <x v="409"/>
      <x v="4"/>
      <x/>
      <x/>
      <x v="2"/>
      <x/>
      <x/>
      <x v="1"/>
    </i>
    <i r="4">
      <x v="55"/>
      <x/>
      <x/>
      <x v="465"/>
      <x v="4"/>
      <x/>
      <x/>
      <x v="2"/>
      <x/>
      <x/>
      <x v="1"/>
    </i>
    <i r="4">
      <x v="57"/>
      <x/>
      <x/>
      <x v="300"/>
      <x v="4"/>
      <x/>
      <x/>
      <x v="2"/>
      <x/>
      <x/>
      <x v="1"/>
    </i>
    <i r="1">
      <x v="3"/>
      <x/>
      <x/>
      <x v="9"/>
      <x/>
      <x/>
      <x v="17"/>
      <x v="4"/>
      <x/>
      <x/>
      <x v="2"/>
      <x/>
      <x/>
      <x v="1"/>
    </i>
    <i r="4">
      <x v="29"/>
      <x/>
      <x/>
      <x v="69"/>
      <x v="4"/>
      <x/>
      <x/>
      <x v="2"/>
      <x/>
      <x/>
      <x/>
    </i>
    <i r="4">
      <x v="31"/>
      <x v="1"/>
      <x/>
      <x v="304"/>
      <x v="4"/>
      <x/>
      <x/>
      <x v="2"/>
      <x/>
      <x/>
      <x/>
    </i>
    <i r="4">
      <x v="57"/>
      <x/>
      <x/>
      <x v="301"/>
      <x v="4"/>
      <x/>
      <x/>
      <x v="2"/>
      <x/>
      <x/>
      <x/>
    </i>
    <i r="1">
      <x v="4"/>
      <x/>
      <x/>
      <x v="29"/>
      <x/>
      <x/>
      <x v="71"/>
      <x v="4"/>
      <x/>
      <x/>
      <x v="2"/>
      <x/>
      <x/>
      <x/>
    </i>
    <i r="4">
      <x v="55"/>
      <x/>
      <x/>
      <x v="464"/>
      <x v="4"/>
      <x/>
      <x/>
      <x v="2"/>
      <x/>
      <x/>
      <x/>
    </i>
    <i r="1">
      <x v="5"/>
      <x/>
      <x/>
      <x v="13"/>
      <x/>
      <x/>
      <x v="618"/>
      <x v="4"/>
      <x/>
      <x/>
      <x v="2"/>
      <x/>
      <x/>
      <x/>
    </i>
    <i r="4">
      <x v="29"/>
      <x/>
      <x/>
      <x v="70"/>
      <x v="4"/>
      <x/>
      <x/>
      <x v="2"/>
      <x/>
      <x/>
      <x/>
    </i>
    <i r="4">
      <x v="56"/>
      <x/>
      <x/>
      <x v="456"/>
      <x v="4"/>
      <x/>
      <x/>
      <x v="2"/>
      <x/>
      <x/>
      <x/>
    </i>
    <i r="1">
      <x v="6"/>
      <x/>
      <x/>
      <x v="31"/>
      <x v="1"/>
      <x/>
      <x v="306"/>
      <x v="4"/>
      <x/>
      <x/>
      <x v="2"/>
      <x/>
      <x/>
      <x/>
    </i>
    <i r="1">
      <x v="7"/>
      <x/>
      <x/>
      <x v="25"/>
      <x v="1"/>
      <x/>
      <x v="407"/>
      <x v="4"/>
      <x/>
      <x/>
      <x v="2"/>
      <x/>
      <x/>
      <x/>
    </i>
    <i r="1">
      <x v="8"/>
      <x/>
      <x/>
      <x v="9"/>
      <x/>
      <x/>
      <x v="268"/>
      <x v="4"/>
      <x/>
      <x/>
      <x v="2"/>
      <x/>
      <x/>
      <x/>
    </i>
    <i r="4">
      <x v="14"/>
      <x/>
      <x/>
      <x v="256"/>
      <x v="4"/>
      <x/>
      <x/>
      <x v="2"/>
      <x/>
      <x/>
      <x v="1"/>
    </i>
    <i r="4">
      <x v="29"/>
      <x/>
      <x/>
      <x v="72"/>
      <x v="4"/>
      <x/>
      <x/>
      <x v="2"/>
      <x/>
      <x/>
      <x v="1"/>
    </i>
    <i r="4">
      <x v="49"/>
      <x/>
      <x/>
      <x v="405"/>
      <x v="4"/>
      <x/>
      <x/>
      <x v="2"/>
      <x/>
      <x/>
      <x v="1"/>
    </i>
    <i r="4">
      <x v="52"/>
      <x/>
      <x/>
      <x v="595"/>
      <x v="4"/>
      <x/>
      <x/>
      <x v="2"/>
      <x/>
      <x/>
      <x v="1"/>
    </i>
    <i r="4">
      <x v="55"/>
      <x/>
      <x/>
      <x v="459"/>
      <x v="4"/>
      <x/>
      <x/>
      <x v="2"/>
      <x/>
      <x/>
      <x v="1"/>
    </i>
    <i r="1">
      <x v="9"/>
      <x/>
      <x/>
      <x v="31"/>
      <x v="1"/>
      <x/>
      <x v="305"/>
      <x v="4"/>
      <x/>
      <x/>
      <x v="2"/>
      <x/>
      <x/>
      <x/>
    </i>
    <i r="1">
      <x v="10"/>
      <x/>
      <x/>
      <x v="17"/>
      <x v="1"/>
      <x/>
      <x v="29"/>
      <x v="4"/>
      <x/>
      <x/>
      <x v="2"/>
      <x/>
      <x/>
      <x v="1"/>
    </i>
    <i r="4">
      <x v="18"/>
      <x/>
      <x/>
      <x v="201"/>
      <x v="4"/>
      <x/>
      <x/>
      <x v="2"/>
      <x/>
      <x/>
      <x v="1"/>
    </i>
    <i r="4">
      <x v="55"/>
      <x/>
      <x/>
      <x v="455"/>
      <x v="4"/>
      <x/>
      <x/>
      <x v="2"/>
      <x/>
      <x/>
      <x/>
    </i>
    <i r="1">
      <x v="11"/>
      <x/>
      <x/>
      <x v="20"/>
      <x v="11"/>
      <x/>
      <x v="314"/>
      <x v="4"/>
      <x/>
      <x/>
      <x v="2"/>
      <x/>
      <x/>
      <x/>
    </i>
    <i r="4">
      <x v="22"/>
      <x/>
      <x/>
      <x v="447"/>
      <x v="4"/>
      <x/>
      <x/>
      <x v="2"/>
      <x/>
      <x/>
      <x/>
    </i>
    <i r="5">
      <x v="2"/>
      <x/>
      <x v="41"/>
      <x v="4"/>
      <x/>
      <x/>
      <x v="2"/>
      <x/>
      <x/>
      <x/>
    </i>
    <i r="4">
      <x v="26"/>
      <x v="1"/>
      <x/>
      <x v="444"/>
      <x v="4"/>
      <x/>
      <x/>
      <x v="2"/>
      <x/>
      <x/>
      <x/>
    </i>
    <i r="4">
      <x v="27"/>
      <x/>
      <x/>
      <x v="28"/>
      <x v="4"/>
      <x/>
      <x/>
      <x v="2"/>
      <x/>
      <x/>
      <x/>
    </i>
    <i r="5">
      <x v="1"/>
      <x/>
      <x v="594"/>
      <x v="4"/>
      <x/>
      <x/>
      <x v="2"/>
      <x/>
      <x/>
      <x/>
    </i>
    <i r="4">
      <x v="29"/>
      <x/>
      <x/>
      <x v="66"/>
      <x v="4"/>
      <x/>
      <x/>
      <x v="2"/>
      <x/>
      <x/>
      <x/>
    </i>
    <i r="5">
      <x v="1"/>
      <x/>
      <x v="64"/>
      <x v="4"/>
      <x/>
      <x/>
      <x v="2"/>
      <x/>
      <x/>
      <x/>
    </i>
    <i r="5">
      <x v="2"/>
      <x/>
      <x v="65"/>
      <x v="4"/>
      <x/>
      <x/>
      <x v="2"/>
      <x/>
      <x/>
      <x/>
    </i>
    <i r="4">
      <x v="41"/>
      <x/>
      <x/>
      <x v="488"/>
      <x v="4"/>
      <x/>
      <x/>
      <x v="2"/>
      <x/>
      <x/>
      <x/>
    </i>
    <i r="4">
      <x v="42"/>
      <x/>
      <x/>
      <x v="276"/>
      <x v="4"/>
      <x/>
      <x/>
      <x v="2"/>
      <x/>
      <x/>
      <x/>
    </i>
    <i r="4">
      <x v="43"/>
      <x/>
      <x/>
      <x v="490"/>
      <x v="4"/>
      <x/>
      <x/>
      <x v="2"/>
      <x/>
      <x/>
      <x/>
    </i>
    <i r="4">
      <x v="44"/>
      <x/>
      <x/>
      <x v="489"/>
      <x v="4"/>
      <x/>
      <x/>
      <x v="2"/>
      <x/>
      <x/>
      <x/>
    </i>
    <i r="4">
      <x v="51"/>
      <x/>
      <x/>
      <x v="482"/>
      <x v="4"/>
      <x/>
      <x/>
      <x v="2"/>
      <x/>
      <x/>
      <x/>
    </i>
    <i r="4">
      <x v="52"/>
      <x/>
      <x/>
      <x v="486"/>
      <x v="4"/>
      <x/>
      <x/>
      <x v="2"/>
      <x/>
      <x/>
      <x/>
    </i>
    <i r="4">
      <x v="53"/>
      <x/>
      <x/>
      <x v="445"/>
      <x v="4"/>
      <x/>
      <x/>
      <x v="2"/>
      <x/>
      <x/>
      <x/>
    </i>
    <i r="5">
      <x v="2"/>
      <x/>
      <x v="446"/>
      <x v="4"/>
      <x/>
      <x/>
      <x v="2"/>
      <x/>
      <x/>
      <x/>
    </i>
    <i r="4">
      <x v="54"/>
      <x/>
      <x/>
      <x v="409"/>
      <x v="4"/>
      <x/>
      <x/>
      <x v="2"/>
      <x/>
      <x/>
      <x/>
    </i>
    <i r="4">
      <x v="55"/>
      <x/>
      <x/>
      <x v="461"/>
      <x v="4"/>
      <x/>
      <x/>
      <x v="2"/>
      <x/>
      <x/>
      <x/>
    </i>
    <i r="4">
      <x v="57"/>
      <x v="2"/>
      <x/>
      <x v="302"/>
      <x v="4"/>
      <x/>
      <x/>
      <x v="2"/>
      <x/>
      <x/>
      <x/>
    </i>
    <i r="1">
      <x v="12"/>
      <x/>
      <x/>
      <x v="22"/>
      <x/>
      <x/>
      <x v="33"/>
      <x v="4"/>
      <x/>
      <x/>
      <x v="2"/>
      <x/>
      <x/>
      <x/>
    </i>
    <i r="5">
      <x v="1"/>
      <x/>
      <x v="448"/>
      <x v="4"/>
      <x/>
      <x/>
      <x v="2"/>
      <x/>
      <x/>
      <x/>
    </i>
    <i r="5">
      <x v="2"/>
      <x/>
      <x v="616"/>
      <x v="4"/>
      <x/>
      <x/>
      <x v="2"/>
      <x/>
      <x/>
      <x/>
    </i>
    <i r="4">
      <x v="23"/>
      <x/>
      <x/>
      <x v="617"/>
      <x v="4"/>
      <x/>
      <x/>
      <x v="2"/>
      <x/>
      <x/>
      <x/>
    </i>
    <i r="4">
      <x v="24"/>
      <x/>
      <x/>
      <x v="40"/>
      <x v="4"/>
      <x/>
      <x/>
      <x v="2"/>
      <x/>
      <x/>
      <x/>
    </i>
    <i r="4">
      <x v="29"/>
      <x/>
      <x/>
      <x v="258"/>
      <x v="4"/>
      <x/>
      <x/>
      <x v="2"/>
      <x/>
      <x/>
      <x/>
    </i>
    <i r="5">
      <x v="8"/>
      <x/>
      <x v="63"/>
      <x v="4"/>
      <x/>
      <x/>
      <x v="2"/>
      <x/>
      <x/>
      <x/>
    </i>
    <i r="5">
      <x v="9"/>
      <x/>
      <x v="62"/>
      <x v="4"/>
      <x/>
      <x/>
      <x v="2"/>
      <x/>
      <x/>
      <x/>
    </i>
    <i r="4">
      <x v="42"/>
      <x/>
      <x/>
      <x v="277"/>
      <x v="4"/>
      <x/>
      <x/>
      <x v="2"/>
      <x/>
      <x/>
      <x/>
    </i>
    <i r="4">
      <x v="49"/>
      <x v="1"/>
      <x/>
      <x v="43"/>
      <x v="4"/>
      <x/>
      <x/>
      <x v="2"/>
      <x/>
      <x/>
      <x/>
    </i>
    <i r="4">
      <x v="55"/>
      <x/>
      <x/>
      <x v="42"/>
      <x v="4"/>
      <x/>
      <x/>
      <x v="2"/>
      <x/>
      <x/>
      <x/>
    </i>
    <i r="1">
      <x v="13"/>
      <x/>
      <x/>
      <x v="10"/>
      <x/>
      <x/>
      <x v="600"/>
      <x v="4"/>
      <x/>
      <x/>
      <x v="2"/>
      <x/>
      <x/>
      <x/>
    </i>
    <i r="4">
      <x v="13"/>
      <x/>
      <x/>
      <x v="603"/>
      <x v="4"/>
      <x/>
      <x/>
      <x v="2"/>
      <x/>
      <x/>
      <x/>
    </i>
    <i r="5">
      <x v="1"/>
      <x/>
      <x v="612"/>
      <x v="4"/>
      <x/>
      <x/>
      <x v="2"/>
      <x/>
      <x/>
      <x/>
    </i>
    <i r="5">
      <x v="2"/>
      <x/>
      <x v="615"/>
      <x v="4"/>
      <x/>
      <x/>
      <x v="2"/>
      <x/>
      <x/>
      <x/>
    </i>
    <i r="4">
      <x v="17"/>
      <x/>
      <x/>
      <x v="608"/>
      <x v="4"/>
      <x/>
      <x/>
      <x v="2"/>
      <x/>
      <x/>
      <x/>
    </i>
    <i r="4">
      <x v="29"/>
      <x/>
      <x/>
      <x v="601"/>
      <x v="4"/>
      <x/>
      <x/>
      <x v="2"/>
      <x/>
      <x/>
      <x/>
    </i>
    <i r="5">
      <x v="1"/>
      <x/>
      <x v="602"/>
      <x v="4"/>
      <x/>
      <x/>
      <x v="2"/>
      <x/>
      <x/>
      <x/>
    </i>
    <i r="4">
      <x v="42"/>
      <x v="1"/>
      <x/>
      <x v="606"/>
      <x v="4"/>
      <x/>
      <x/>
      <x v="2"/>
      <x/>
      <x/>
      <x/>
    </i>
    <i r="4">
      <x v="44"/>
      <x/>
      <x/>
      <x v="609"/>
      <x v="4"/>
      <x/>
      <x/>
      <x v="2"/>
      <x/>
      <x/>
      <x/>
    </i>
    <i r="4">
      <x v="49"/>
      <x/>
      <x/>
      <x v="604"/>
      <x v="4"/>
      <x/>
      <x/>
      <x v="2"/>
      <x/>
      <x/>
      <x/>
    </i>
    <i r="4">
      <x v="52"/>
      <x/>
      <x/>
      <x v="613"/>
      <x v="4"/>
      <x/>
      <x/>
      <x v="2"/>
      <x/>
      <x/>
      <x/>
    </i>
    <i r="4">
      <x v="54"/>
      <x/>
      <x/>
      <x v="614"/>
      <x v="4"/>
      <x/>
      <x/>
      <x v="2"/>
      <x/>
      <x/>
      <x/>
    </i>
    <i r="4">
      <x v="55"/>
      <x/>
      <x/>
      <x v="611"/>
      <x v="4"/>
      <x/>
      <x/>
      <x v="2"/>
      <x/>
      <x/>
      <x/>
    </i>
    <i r="1">
      <x v="14"/>
      <x/>
      <x/>
      <x v="18"/>
      <x/>
      <x/>
      <x v="261"/>
      <x v="4"/>
      <x/>
      <x/>
      <x v="2"/>
      <x/>
      <x/>
      <x/>
    </i>
    <i r="4">
      <x v="23"/>
      <x/>
      <x/>
      <x v="32"/>
      <x v="4"/>
      <x/>
      <x/>
      <x v="2"/>
      <x/>
      <x/>
      <x/>
    </i>
    <i r="4">
      <x v="24"/>
      <x/>
      <x/>
      <x v="34"/>
      <x v="4"/>
      <x/>
      <x/>
      <x v="2"/>
      <x/>
      <x/>
      <x/>
    </i>
    <i r="4">
      <x v="29"/>
      <x/>
      <x/>
      <x v="259"/>
      <x v="4"/>
      <x/>
      <x/>
      <x v="2"/>
      <x/>
      <x/>
      <x/>
    </i>
    <i r="4">
      <x v="48"/>
      <x/>
      <x/>
      <x v="266"/>
      <x v="4"/>
      <x/>
      <x/>
      <x v="2"/>
      <x/>
      <x/>
      <x/>
    </i>
    <i r="1">
      <x v="15"/>
      <x/>
      <x/>
      <x v="10"/>
      <x/>
      <x/>
      <x v="412"/>
      <x v="4"/>
      <x/>
      <x/>
      <x v="2"/>
      <x/>
      <x/>
      <x/>
    </i>
    <i r="4">
      <x v="12"/>
      <x/>
      <x/>
      <x v="413"/>
      <x v="4"/>
      <x/>
      <x/>
      <x v="2"/>
      <x/>
      <x/>
      <x/>
    </i>
    <i r="4">
      <x v="23"/>
      <x/>
      <x/>
      <x v="414"/>
      <x v="4"/>
      <x/>
      <x/>
      <x v="2"/>
      <x/>
      <x/>
      <x/>
    </i>
    <i r="4">
      <x v="24"/>
      <x/>
      <x/>
      <x v="415"/>
      <x v="4"/>
      <x/>
      <x/>
      <x v="2"/>
      <x/>
      <x/>
      <x/>
    </i>
    <i r="4">
      <x v="29"/>
      <x v="1"/>
      <x/>
      <x v="417"/>
      <x v="4"/>
      <x/>
      <x/>
      <x v="2"/>
      <x/>
      <x/>
      <x/>
    </i>
    <i r="4">
      <x v="48"/>
      <x/>
      <x/>
      <x v="426"/>
      <x v="4"/>
      <x/>
      <x/>
      <x v="2"/>
      <x/>
      <x/>
      <x/>
    </i>
    <i r="4">
      <x v="49"/>
      <x v="1"/>
      <x/>
      <x v="422"/>
      <x v="4"/>
      <x/>
      <x/>
      <x v="2"/>
      <x/>
      <x/>
      <x/>
    </i>
    <i r="4">
      <x v="52"/>
      <x/>
      <x/>
      <x v="423"/>
      <x v="4"/>
      <x/>
      <x/>
      <x v="2"/>
      <x/>
      <x/>
      <x/>
    </i>
    <i r="4">
      <x v="54"/>
      <x/>
      <x/>
      <x v="425"/>
      <x v="4"/>
      <x/>
      <x/>
      <x v="2"/>
      <x/>
      <x/>
      <x/>
    </i>
    <i r="4">
      <x v="55"/>
      <x/>
      <x/>
      <x v="424"/>
      <x v="4"/>
      <x/>
      <x/>
      <x v="2"/>
      <x/>
      <x/>
      <x/>
    </i>
    <i r="1">
      <x v="17"/>
      <x/>
      <x/>
      <x v="23"/>
      <x/>
      <x/>
      <x v="619"/>
      <x v="4"/>
      <x/>
      <x/>
      <x v="2"/>
      <x/>
      <x/>
      <x v="1"/>
    </i>
    <i r="4">
      <x v="29"/>
      <x/>
      <x/>
      <x v="620"/>
      <x v="4"/>
      <x/>
      <x/>
      <x v="2"/>
      <x/>
      <x/>
      <x v="1"/>
    </i>
    <i r="1">
      <x v="18"/>
      <x/>
      <x/>
      <x v="23"/>
      <x/>
      <x/>
      <x v="516"/>
      <x v="4"/>
      <x/>
      <x/>
      <x v="2"/>
      <x/>
      <x/>
      <x v="1"/>
    </i>
    <i r="5">
      <x v="1"/>
      <x/>
      <x v="514"/>
      <x v="4"/>
      <x/>
      <x/>
      <x v="2"/>
      <x/>
      <x/>
      <x v="1"/>
    </i>
    <i r="5">
      <x v="2"/>
      <x/>
      <x v="515"/>
      <x v="4"/>
      <x/>
      <x/>
      <x v="2"/>
      <x/>
      <x/>
      <x v="1"/>
    </i>
    <i r="5">
      <x v="3"/>
      <x/>
      <x v="513"/>
      <x v="4"/>
      <x/>
      <x/>
      <x v="2"/>
      <x/>
      <x/>
      <x v="1"/>
    </i>
    <i r="5">
      <x v="4"/>
      <x/>
      <x v="512"/>
      <x v="4"/>
      <x/>
      <x/>
      <x v="2"/>
      <x/>
      <x/>
      <x v="1"/>
    </i>
    <i r="4">
      <x v="29"/>
      <x/>
      <x/>
      <x v="493"/>
      <x v="4"/>
      <x/>
      <x/>
      <x v="2"/>
      <x/>
      <x/>
      <x v="1"/>
    </i>
    <i r="5">
      <x v="1"/>
      <x/>
      <x v="494"/>
      <x v="4"/>
      <x/>
      <x/>
      <x v="2"/>
      <x/>
      <x/>
      <x v="1"/>
    </i>
    <i r="4">
      <x v="31"/>
      <x v="1"/>
      <x/>
      <x v="500"/>
      <x v="4"/>
      <x/>
      <x/>
      <x v="2"/>
      <x/>
      <x/>
      <x v="1"/>
    </i>
    <i r="5">
      <x v="2"/>
      <x/>
      <x v="502"/>
      <x v="4"/>
      <x/>
      <x/>
      <x v="2"/>
      <x/>
      <x/>
      <x v="1"/>
    </i>
    <i r="4">
      <x v="42"/>
      <x v="1"/>
      <x/>
      <x v="499"/>
      <x v="4"/>
      <x/>
      <x/>
      <x v="2"/>
      <x/>
      <x/>
      <x v="1"/>
    </i>
    <i r="4">
      <x v="52"/>
      <x v="7"/>
      <x/>
      <x v="504"/>
      <x v="4"/>
      <x/>
      <x/>
      <x v="2"/>
      <x/>
      <x/>
      <x v="1"/>
    </i>
    <i r="4">
      <x v="54"/>
      <x/>
      <x/>
      <x v="506"/>
      <x v="4"/>
      <x/>
      <x/>
      <x v="2"/>
      <x/>
      <x/>
      <x v="1"/>
    </i>
    <i r="4">
      <x v="57"/>
      <x/>
      <x/>
      <x v="501"/>
      <x v="4"/>
      <x/>
      <x/>
      <x v="2"/>
      <x/>
      <x/>
      <x v="1"/>
    </i>
    <i r="1">
      <x v="19"/>
      <x/>
      <x/>
      <x v="12"/>
      <x/>
      <x/>
      <x v="389"/>
      <x v="4"/>
      <x/>
      <x/>
      <x v="2"/>
      <x/>
      <x/>
      <x v="1"/>
    </i>
    <i r="4">
      <x v="23"/>
      <x/>
      <x/>
      <x v="391"/>
      <x v="4"/>
      <x/>
      <x/>
      <x v="2"/>
      <x/>
      <x/>
      <x v="1"/>
    </i>
    <i r="4">
      <x v="24"/>
      <x/>
      <x/>
      <x v="390"/>
      <x v="4"/>
      <x/>
      <x/>
      <x v="2"/>
      <x/>
      <x/>
      <x v="1"/>
    </i>
    <i r="4">
      <x v="31"/>
      <x v="1"/>
      <x/>
      <x v="395"/>
      <x v="4"/>
      <x/>
      <x/>
      <x v="2"/>
      <x/>
      <x/>
      <x v="1"/>
    </i>
    <i r="4">
      <x v="49"/>
      <x/>
      <x/>
      <x v="396"/>
      <x v="4"/>
      <x/>
      <x/>
      <x v="2"/>
      <x/>
      <x/>
      <x v="1"/>
    </i>
    <i r="4">
      <x v="55"/>
      <x/>
      <x/>
      <x v="397"/>
      <x v="4"/>
      <x/>
      <x/>
      <x v="2"/>
      <x/>
      <x/>
      <x v="1"/>
    </i>
    <i r="1">
      <x v="20"/>
      <x/>
      <x/>
      <x v="17"/>
      <x v="1"/>
      <x/>
      <x v="356"/>
      <x v="4"/>
      <x/>
      <x/>
      <x v="2"/>
      <x/>
      <x/>
      <x v="1"/>
    </i>
    <i r="5">
      <x v="3"/>
      <x/>
      <x v="367"/>
      <x v="4"/>
      <x/>
      <x/>
      <x v="2"/>
      <x/>
      <x/>
      <x v="1"/>
    </i>
    <i r="4">
      <x v="49"/>
      <x v="3"/>
      <x/>
      <x v="357"/>
      <x v="4"/>
      <x/>
      <x/>
      <x v="2"/>
      <x/>
      <x/>
      <x v="1"/>
    </i>
    <i r="4">
      <x v="56"/>
      <x/>
      <x/>
      <x v="199"/>
      <x v="4"/>
      <x/>
      <x/>
      <x v="2"/>
      <x/>
      <x/>
      <x v="1"/>
    </i>
    <i r="1">
      <x v="21"/>
      <x/>
      <x/>
      <x v="18"/>
      <x/>
      <x/>
      <x v="385"/>
      <x v="4"/>
      <x/>
      <x/>
      <x v="2"/>
      <x/>
      <x/>
      <x v="1"/>
    </i>
    <i r="4">
      <x v="30"/>
      <x/>
      <x/>
      <x v="73"/>
      <x v="4"/>
      <x/>
      <x/>
      <x v="2"/>
      <x/>
      <x/>
      <x v="1"/>
    </i>
    <i r="4">
      <x v="31"/>
      <x/>
      <x/>
      <x v="366"/>
      <x v="4"/>
      <x/>
      <x/>
      <x v="2"/>
      <x/>
      <x/>
      <x v="1"/>
    </i>
    <i r="4">
      <x v="45"/>
      <x/>
      <x/>
      <x v="355"/>
      <x v="4"/>
      <x/>
      <x/>
      <x v="2"/>
      <x/>
      <x/>
      <x v="1"/>
    </i>
    <i r="5">
      <x v="1"/>
      <x/>
      <x v="352"/>
      <x v="4"/>
      <x/>
      <x/>
      <x v="2"/>
      <x/>
      <x/>
      <x v="1"/>
    </i>
    <i r="4">
      <x v="50"/>
      <x/>
      <x/>
      <x v="353"/>
      <x v="4"/>
      <x/>
      <x/>
      <x v="2"/>
      <x/>
      <x/>
      <x v="1"/>
    </i>
    <i r="4">
      <x v="57"/>
      <x/>
      <x/>
      <x v="377"/>
      <x v="4"/>
      <x/>
      <x/>
      <x v="2"/>
      <x/>
      <x/>
      <x v="1"/>
    </i>
    <i r="1">
      <x v="22"/>
      <x/>
      <x/>
      <x v="17"/>
      <x v="1"/>
      <x/>
      <x v="368"/>
      <x v="4"/>
      <x/>
      <x/>
      <x v="2"/>
      <x/>
      <x/>
      <x v="19"/>
    </i>
    <i r="4">
      <x v="49"/>
      <x v="1"/>
      <x/>
      <x v="380"/>
      <x v="4"/>
      <x/>
      <x/>
      <x v="2"/>
      <x/>
      <x/>
      <x v="19"/>
    </i>
    <i r="1">
      <x v="23"/>
      <x/>
      <x/>
      <x v="10"/>
      <x/>
      <x/>
      <x v="221"/>
      <x v="4"/>
      <x/>
      <x/>
      <x v="2"/>
      <x/>
      <x/>
      <x v="1"/>
    </i>
    <i r="4">
      <x v="12"/>
      <x/>
      <x/>
      <x v="223"/>
      <x v="4"/>
      <x/>
      <x/>
      <x v="2"/>
      <x/>
      <x/>
      <x v="1"/>
    </i>
    <i r="4">
      <x v="22"/>
      <x/>
      <x/>
      <x v="224"/>
      <x v="4"/>
      <x/>
      <x/>
      <x v="2"/>
      <x/>
      <x/>
      <x v="1"/>
    </i>
    <i r="4">
      <x v="23"/>
      <x/>
      <x/>
      <x v="225"/>
      <x v="4"/>
      <x/>
      <x/>
      <x v="2"/>
      <x/>
      <x/>
      <x v="1"/>
    </i>
    <i r="4">
      <x v="26"/>
      <x v="1"/>
      <x/>
      <x v="232"/>
      <x v="4"/>
      <x/>
      <x/>
      <x v="2"/>
      <x/>
      <x/>
      <x v="1"/>
    </i>
    <i r="4">
      <x v="30"/>
      <x v="1"/>
      <x/>
      <x v="229"/>
      <x v="4"/>
      <x/>
      <x/>
      <x v="2"/>
      <x/>
      <x/>
      <x v="1"/>
    </i>
    <i r="4">
      <x v="31"/>
      <x v="1"/>
      <x/>
      <x v="233"/>
      <x v="4"/>
      <x/>
      <x/>
      <x v="2"/>
      <x/>
      <x/>
      <x v="1"/>
    </i>
    <i r="4">
      <x v="47"/>
      <x v="3"/>
      <x/>
      <x v="238"/>
      <x v="4"/>
      <x/>
      <x/>
      <x v="2"/>
      <x/>
      <x/>
      <x v="1"/>
    </i>
    <i r="5">
      <x v="4"/>
      <x/>
      <x v="245"/>
      <x v="4"/>
      <x/>
      <x/>
      <x v="2"/>
      <x/>
      <x/>
      <x v="1"/>
    </i>
    <i r="4">
      <x v="49"/>
      <x/>
      <x/>
      <x v="234"/>
      <x v="4"/>
      <x/>
      <x/>
      <x v="2"/>
      <x/>
      <x/>
      <x v="1"/>
    </i>
    <i r="4">
      <x v="53"/>
      <x/>
      <x/>
      <x v="227"/>
      <x v="4"/>
      <x/>
      <x/>
      <x v="2"/>
      <x/>
      <x/>
      <x v="1"/>
    </i>
    <i r="4">
      <x v="55"/>
      <x/>
      <x/>
      <x v="463"/>
      <x v="4"/>
      <x/>
      <x/>
      <x v="2"/>
      <x/>
      <x/>
      <x v="1"/>
    </i>
    <i r="1">
      <x v="24"/>
      <x/>
      <x/>
      <x v="13"/>
      <x/>
      <x/>
      <x v="192"/>
      <x v="4"/>
      <x/>
      <x/>
      <x v="2"/>
      <x/>
      <x/>
      <x v="1"/>
    </i>
    <i r="4">
      <x v="23"/>
      <x/>
      <x/>
      <x v="191"/>
      <x v="4"/>
      <x/>
      <x/>
      <x v="2"/>
      <x/>
      <x/>
      <x v="1"/>
    </i>
    <i r="4">
      <x v="49"/>
      <x/>
      <x/>
      <x v="194"/>
      <x v="4"/>
      <x/>
      <x/>
      <x v="2"/>
      <x/>
      <x/>
      <x v="1"/>
    </i>
    <i r="4">
      <x v="52"/>
      <x/>
      <x/>
      <x v="193"/>
      <x v="4"/>
      <x/>
      <x/>
      <x v="2"/>
      <x/>
      <x/>
      <x v="1"/>
    </i>
    <i r="4">
      <x v="55"/>
      <x/>
      <x/>
      <x v="195"/>
      <x v="4"/>
      <x/>
      <x/>
      <x v="2"/>
      <x/>
      <x/>
      <x v="1"/>
    </i>
    <i r="1">
      <x v="27"/>
      <x/>
      <x/>
      <x v="17"/>
      <x/>
      <x/>
      <x v="251"/>
      <x v="4"/>
      <x/>
      <x/>
      <x v="2"/>
      <x/>
      <x/>
      <x v="1"/>
    </i>
    <i r="1">
      <x v="28"/>
      <x/>
      <x/>
      <x v="52"/>
      <x/>
      <x/>
      <x v="254"/>
      <x v="4"/>
      <x/>
      <x/>
      <x v="2"/>
      <x/>
      <x/>
      <x v="1"/>
    </i>
    <i r="1">
      <x v="33"/>
      <x/>
      <x/>
      <x v="17"/>
      <x/>
      <x/>
      <x v="220"/>
      <x v="4"/>
      <x/>
      <x/>
      <x v="2"/>
      <x/>
      <x/>
      <x v="1"/>
    </i>
    <i r="4">
      <x v="23"/>
      <x/>
      <x/>
      <x v="219"/>
      <x v="4"/>
      <x/>
      <x/>
      <x v="2"/>
      <x/>
      <x/>
      <x v="1"/>
    </i>
    <i r="4">
      <x v="24"/>
      <x/>
      <x/>
      <x v="218"/>
      <x v="4"/>
      <x/>
      <x/>
      <x v="2"/>
      <x/>
      <x/>
      <x v="1"/>
    </i>
    <i r="1">
      <x v="34"/>
      <x/>
      <x/>
      <x v="17"/>
      <x/>
      <x/>
      <x v="453"/>
      <x v="4"/>
      <x/>
      <x/>
      <x v="2"/>
      <x/>
      <x/>
      <x v="1"/>
    </i>
    <i r="4">
      <x v="25"/>
      <x v="1"/>
      <x/>
      <x v="452"/>
      <x v="4"/>
      <x/>
      <x/>
      <x v="2"/>
      <x/>
      <x/>
      <x v="1"/>
    </i>
    <i r="4">
      <x v="46"/>
      <x/>
      <x/>
      <x v="450"/>
      <x v="4"/>
      <x/>
      <x/>
      <x v="2"/>
      <x/>
      <x/>
      <x v="1"/>
    </i>
    <i r="4">
      <x v="52"/>
      <x/>
      <x/>
      <x v="454"/>
      <x v="4"/>
      <x/>
      <x/>
      <x v="2"/>
      <x/>
      <x/>
      <x v="1"/>
    </i>
    <i r="1">
      <x v="35"/>
      <x/>
      <x/>
      <x v="31"/>
      <x v="1"/>
      <x/>
      <x v="182"/>
      <x v="4"/>
      <x/>
      <x/>
      <x v="2"/>
      <x/>
      <x/>
      <x v="1"/>
    </i>
    <i r="4">
      <x v="51"/>
      <x/>
      <x/>
      <x v="183"/>
      <x v="4"/>
      <x/>
      <x/>
      <x v="2"/>
      <x/>
      <x/>
      <x v="1"/>
    </i>
    <i r="1">
      <x v="36"/>
      <x/>
      <x/>
      <x v="16"/>
      <x/>
      <x/>
      <x v="563"/>
      <x v="4"/>
      <x/>
      <x/>
      <x v="2"/>
      <x/>
      <x/>
      <x v="8"/>
    </i>
    <i r="4">
      <x v="49"/>
      <x/>
      <x/>
      <x v="561"/>
      <x v="4"/>
      <x/>
      <x/>
      <x v="2"/>
      <x/>
      <x/>
      <x v="1"/>
    </i>
    <i r="4">
      <x v="53"/>
      <x/>
      <x/>
      <x v="562"/>
      <x v="4"/>
      <x/>
      <x/>
      <x v="2"/>
      <x/>
      <x/>
      <x v="8"/>
    </i>
    <i r="1">
      <x v="37"/>
      <x/>
      <x/>
      <x v="29"/>
      <x/>
      <x/>
      <x v="477"/>
      <x v="4"/>
      <x/>
      <x/>
      <x v="2"/>
      <x/>
      <x/>
      <x v="1"/>
    </i>
    <i r="4">
      <x v="54"/>
      <x/>
      <x/>
      <x v="478"/>
      <x v="4"/>
      <x/>
      <x/>
      <x v="2"/>
      <x/>
      <x/>
      <x v="1"/>
    </i>
    <i r="4">
      <x v="55"/>
      <x/>
      <x/>
      <x v="480"/>
      <x v="4"/>
      <x/>
      <x/>
      <x v="2"/>
      <x/>
      <x/>
      <x v="1"/>
    </i>
    <i r="1">
      <x v="38"/>
      <x/>
      <x/>
      <x v="25"/>
      <x/>
      <x/>
      <x v="569"/>
      <x v="4"/>
      <x/>
      <x/>
      <x v="2"/>
      <x/>
      <x/>
      <x v="1"/>
    </i>
    <i r="4">
      <x v="26"/>
      <x/>
      <x/>
      <x v="568"/>
      <x v="4"/>
      <x/>
      <x/>
      <x v="2"/>
      <x/>
      <x/>
      <x v="1"/>
    </i>
    <i r="4">
      <x v="31"/>
      <x/>
      <x/>
      <x v="570"/>
      <x v="4"/>
      <x/>
      <x/>
      <x v="2"/>
      <x/>
      <x/>
      <x v="1"/>
    </i>
    <i r="1">
      <x v="39"/>
      <x/>
      <x/>
      <x v="25"/>
      <x v="1"/>
      <x/>
      <x v="473"/>
      <x v="4"/>
      <x/>
      <x/>
      <x v="2"/>
      <x/>
      <x/>
      <x v="1"/>
    </i>
    <i r="4">
      <x v="52"/>
      <x/>
      <x/>
      <x v="471"/>
      <x v="4"/>
      <x/>
      <x/>
      <x v="2"/>
      <x/>
      <x/>
      <x v="1"/>
    </i>
    <i r="4">
      <x v="53"/>
      <x/>
      <x/>
      <x v="476"/>
      <x v="4"/>
      <x/>
      <x/>
      <x v="2"/>
      <x/>
      <x/>
      <x v="1"/>
    </i>
    <i r="1">
      <x v="40"/>
      <x/>
      <x/>
      <x v="23"/>
      <x/>
      <x/>
      <x v="537"/>
      <x v="4"/>
      <x/>
      <x/>
      <x v="2"/>
      <x/>
      <x/>
      <x v="1"/>
    </i>
    <i r="4">
      <x v="31"/>
      <x v="1"/>
      <x/>
      <x v="548"/>
      <x v="4"/>
      <x/>
      <x/>
      <x v="2"/>
      <x/>
      <x/>
      <x v="1"/>
    </i>
    <i r="4">
      <x v="53"/>
      <x/>
      <x/>
      <x v="551"/>
      <x v="4"/>
      <x/>
      <x/>
      <x v="2"/>
      <x/>
      <x/>
      <x v="1"/>
    </i>
    <i r="4">
      <x v="55"/>
      <x/>
      <x/>
      <x v="462"/>
      <x v="4"/>
      <x/>
      <x/>
      <x v="2"/>
      <x/>
      <x/>
      <x v="1"/>
    </i>
    <i r="1">
      <x v="41"/>
      <x/>
      <x/>
      <x v="7"/>
      <x/>
      <x/>
      <x v="116"/>
      <x v="4"/>
      <x/>
      <x/>
      <x v="2"/>
      <x/>
      <x/>
      <x/>
    </i>
    <i r="4">
      <x v="12"/>
      <x/>
      <x/>
      <x v="93"/>
      <x v="4"/>
      <x/>
      <x/>
      <x v="2"/>
      <x/>
      <x/>
      <x/>
    </i>
    <i r="4">
      <x v="13"/>
      <x v="1"/>
      <x/>
      <x v="104"/>
      <x v="4"/>
      <x/>
      <x/>
      <x v="2"/>
      <x/>
      <x/>
      <x/>
    </i>
    <i r="4">
      <x v="23"/>
      <x/>
      <x/>
      <x v="95"/>
      <x v="4"/>
      <x/>
      <x/>
      <x v="101"/>
      <x/>
      <x/>
      <x/>
    </i>
    <i r="4">
      <x v="29"/>
      <x/>
      <x/>
      <x v="99"/>
      <x v="4"/>
      <x/>
      <x/>
      <x v="2"/>
      <x/>
      <x/>
      <x/>
    </i>
    <i r="5">
      <x v="1"/>
      <x/>
      <x v="98"/>
      <x v="4"/>
      <x/>
      <x/>
      <x v="2"/>
      <x/>
      <x/>
      <x/>
    </i>
    <i r="5">
      <x v="2"/>
      <x/>
      <x v="100"/>
      <x v="4"/>
      <x/>
      <x/>
      <x v="2"/>
      <x/>
      <x/>
      <x/>
    </i>
    <i r="4">
      <x v="31"/>
      <x v="1"/>
      <x/>
      <x v="110"/>
      <x v="4"/>
      <x/>
      <x/>
      <x v="2"/>
      <x/>
      <x/>
      <x/>
    </i>
    <i r="4">
      <x v="44"/>
      <x/>
      <x/>
      <x v="112"/>
      <x v="4"/>
      <x/>
      <x/>
      <x v="2"/>
      <x/>
      <x/>
      <x/>
    </i>
    <i r="5">
      <x v="1"/>
      <x/>
      <x v="111"/>
      <x v="4"/>
      <x/>
      <x/>
      <x v="2"/>
      <x/>
      <x/>
      <x/>
    </i>
    <i r="1">
      <x v="42"/>
      <x/>
      <x/>
      <x v="11"/>
      <x/>
      <x/>
      <x v="45"/>
      <x v="4"/>
      <x/>
      <x/>
      <x v="2"/>
      <x/>
      <x/>
      <x/>
    </i>
    <i r="5">
      <x v="1"/>
      <x/>
      <x v="44"/>
      <x v="4"/>
      <x/>
      <x/>
      <x v="2"/>
      <x/>
      <x/>
      <x/>
    </i>
    <i r="4">
      <x v="12"/>
      <x/>
      <x/>
      <x v="46"/>
      <x v="4"/>
      <x/>
      <x/>
      <x v="2"/>
      <x/>
      <x/>
      <x/>
    </i>
    <i r="4">
      <x v="13"/>
      <x v="1"/>
      <x/>
      <x v="50"/>
      <x v="4"/>
      <x/>
      <x/>
      <x v="2"/>
      <x/>
      <x/>
      <x/>
    </i>
    <i r="4">
      <x v="14"/>
      <x v="1"/>
      <x/>
      <x v="49"/>
      <x v="4"/>
      <x/>
      <x/>
      <x v="2"/>
      <x/>
      <x/>
      <x/>
    </i>
    <i r="4">
      <x v="29"/>
      <x/>
      <x/>
      <x v="48"/>
      <x v="4"/>
      <x/>
      <x/>
      <x v="2"/>
      <x/>
      <x/>
      <x/>
    </i>
    <i r="4">
      <x v="49"/>
      <x/>
      <x/>
      <x v="54"/>
      <x v="4"/>
      <x/>
      <x/>
      <x v="2"/>
      <x/>
      <x/>
      <x/>
    </i>
    <i r="4">
      <x v="55"/>
      <x/>
      <x/>
      <x v="58"/>
      <x v="4"/>
      <x/>
      <x/>
      <x v="2"/>
      <x/>
      <x/>
      <x/>
    </i>
    <i r="1">
      <x v="43"/>
      <x/>
      <x/>
      <x v="10"/>
      <x/>
      <x/>
      <x v="78"/>
      <x v="4"/>
      <x/>
      <x/>
      <x v="2"/>
      <x/>
      <x/>
      <x/>
    </i>
    <i r="4">
      <x v="11"/>
      <x/>
      <x/>
      <x v="76"/>
      <x v="4"/>
      <x/>
      <x/>
      <x v="2"/>
      <x/>
      <x/>
      <x/>
    </i>
    <i r="5">
      <x v="1"/>
      <x/>
      <x v="75"/>
      <x v="4"/>
      <x/>
      <x/>
      <x v="2"/>
      <x/>
      <x/>
      <x/>
    </i>
    <i r="4">
      <x v="12"/>
      <x/>
      <x/>
      <x v="77"/>
      <x v="4"/>
      <x/>
      <x/>
      <x v="2"/>
      <x/>
      <x/>
      <x/>
    </i>
    <i r="4">
      <x v="13"/>
      <x v="1"/>
      <x/>
      <x v="81"/>
      <x v="4"/>
      <x/>
      <x/>
      <x v="2"/>
      <x/>
      <x/>
      <x/>
    </i>
    <i r="4">
      <x v="14"/>
      <x v="1"/>
      <x/>
      <x v="80"/>
      <x v="4"/>
      <x/>
      <x/>
      <x v="2"/>
      <x/>
      <x/>
      <x/>
    </i>
    <i r="4">
      <x v="23"/>
      <x/>
      <x/>
      <x v="74"/>
      <x v="4"/>
      <x/>
      <x/>
      <x v="2"/>
      <x/>
      <x/>
      <x/>
    </i>
    <i r="4">
      <x v="29"/>
      <x/>
      <x/>
      <x v="79"/>
      <x v="4"/>
      <x/>
      <x/>
      <x v="2"/>
      <x/>
      <x/>
      <x/>
    </i>
    <i r="4">
      <x v="49"/>
      <x/>
      <x/>
      <x v="84"/>
      <x v="4"/>
      <x/>
      <x/>
      <x v="2"/>
      <x/>
      <x/>
      <x/>
    </i>
    <i r="4">
      <x v="55"/>
      <x/>
      <x/>
      <x v="88"/>
      <x v="4"/>
      <x/>
      <x/>
      <x v="2"/>
      <x/>
      <x/>
      <x/>
    </i>
    <i r="1">
      <x v="44"/>
      <x/>
      <x/>
      <x v="12"/>
      <x/>
      <x/>
      <x v="173"/>
      <x v="4"/>
      <x/>
      <x/>
      <x v="2"/>
      <x/>
      <x/>
      <x/>
    </i>
    <i r="1">
      <x v="45"/>
      <x/>
      <x/>
      <x v="10"/>
      <x/>
      <x/>
      <x v="206"/>
      <x v="4"/>
      <x/>
      <x/>
      <x v="2"/>
      <x/>
      <x/>
      <x/>
    </i>
    <i r="4">
      <x v="11"/>
      <x/>
      <x/>
      <x v="204"/>
      <x v="4"/>
      <x/>
      <x/>
      <x v="2"/>
      <x/>
      <x/>
      <x/>
    </i>
    <i r="5">
      <x v="1"/>
      <x/>
      <x v="203"/>
      <x v="4"/>
      <x/>
      <x/>
      <x v="2"/>
      <x/>
      <x/>
      <x/>
    </i>
    <i r="4">
      <x v="12"/>
      <x/>
      <x/>
      <x v="205"/>
      <x v="4"/>
      <x/>
      <x/>
      <x v="2"/>
      <x/>
      <x/>
      <x/>
    </i>
    <i r="4">
      <x v="13"/>
      <x/>
      <x/>
      <x v="212"/>
      <x v="4"/>
      <x/>
      <x/>
      <x v="2"/>
      <x/>
      <x/>
      <x/>
    </i>
    <i r="5">
      <x v="1"/>
      <x/>
      <x v="209"/>
      <x v="4"/>
      <x/>
      <x/>
      <x v="2"/>
      <x/>
      <x/>
      <x/>
    </i>
    <i r="4">
      <x v="14"/>
      <x/>
      <x/>
      <x v="213"/>
      <x v="4"/>
      <x/>
      <x/>
      <x v="2"/>
      <x/>
      <x/>
      <x/>
    </i>
    <i r="5">
      <x v="1"/>
      <x/>
      <x v="208"/>
      <x v="4"/>
      <x/>
      <x/>
      <x v="2"/>
      <x/>
      <x/>
      <x/>
    </i>
    <i r="4">
      <x v="31"/>
      <x v="2"/>
      <x/>
      <x v="214"/>
      <x v="4"/>
      <x/>
      <x/>
      <x v="2"/>
      <x/>
      <x/>
      <x/>
    </i>
    <i r="4">
      <x v="49"/>
      <x/>
      <x/>
      <x v="215"/>
      <x v="4"/>
      <x/>
      <x/>
      <x v="2"/>
      <x/>
      <x/>
      <x/>
    </i>
    <i r="1">
      <x v="46"/>
      <x/>
      <x/>
      <x v="23"/>
      <x/>
      <x/>
      <x v="35"/>
      <x v="4"/>
      <x/>
      <x/>
      <x v="2"/>
      <x/>
      <x/>
      <x/>
    </i>
    <i r="4">
      <x v="29"/>
      <x/>
      <x/>
      <x v="5"/>
      <x v="4"/>
      <x/>
      <x/>
      <x v="2"/>
      <x/>
      <x/>
      <x/>
    </i>
    <i r="4">
      <x v="31"/>
      <x v="1"/>
      <x/>
      <x v="12"/>
      <x v="4"/>
      <x/>
      <x/>
      <x v="2"/>
      <x/>
      <x/>
      <x/>
    </i>
    <i r="4">
      <x v="55"/>
      <x/>
      <x/>
      <x v="458"/>
      <x v="4"/>
      <x/>
      <x/>
      <x v="2"/>
      <x/>
      <x/>
      <x/>
    </i>
    <i r="4">
      <x v="57"/>
      <x/>
      <x/>
      <x v="13"/>
      <x v="4"/>
      <x/>
      <x/>
      <x v="2"/>
      <x/>
      <x/>
      <x/>
    </i>
    <i r="1">
      <x v="47"/>
      <x/>
      <x/>
      <x v="10"/>
      <x/>
      <x/>
      <x v="137"/>
      <x v="4"/>
      <x/>
      <x/>
      <x v="2"/>
      <x/>
      <x/>
      <x/>
    </i>
    <i r="4">
      <x v="11"/>
      <x/>
      <x/>
      <x v="135"/>
      <x v="4"/>
      <x/>
      <x/>
      <x v="2"/>
      <x/>
      <x/>
      <x/>
    </i>
    <i r="5">
      <x v="1"/>
      <x/>
      <x v="134"/>
      <x v="4"/>
      <x/>
      <x/>
      <x v="2"/>
      <x/>
      <x/>
      <x/>
    </i>
    <i r="4">
      <x v="12"/>
      <x/>
      <x/>
      <x v="136"/>
      <x v="4"/>
      <x/>
      <x/>
      <x v="2"/>
      <x/>
      <x/>
      <x/>
    </i>
    <i r="4">
      <x v="13"/>
      <x v="1"/>
      <x/>
      <x v="140"/>
      <x v="4"/>
      <x/>
      <x/>
      <x v="2"/>
      <x/>
      <x/>
      <x/>
    </i>
    <i r="4">
      <x v="14"/>
      <x/>
      <x/>
      <x v="143"/>
      <x v="4"/>
      <x/>
      <x/>
      <x v="2"/>
      <x/>
      <x/>
      <x/>
    </i>
    <i r="5">
      <x v="1"/>
      <x/>
      <x v="139"/>
      <x v="4"/>
      <x/>
      <x/>
      <x v="2"/>
      <x/>
      <x/>
      <x/>
    </i>
    <i r="4">
      <x v="29"/>
      <x/>
      <x/>
      <x v="138"/>
      <x v="4"/>
      <x/>
      <x/>
      <x v="2"/>
      <x/>
      <x/>
      <x/>
    </i>
    <i r="1">
      <x v="48"/>
      <x/>
      <x/>
      <x v="24"/>
      <x/>
      <x/>
      <x v="120"/>
      <x v="4"/>
      <x/>
      <x/>
      <x v="2"/>
      <x/>
      <x/>
      <x v="1"/>
    </i>
    <i r="4">
      <x v="29"/>
      <x/>
      <x/>
      <x v="122"/>
      <x v="4"/>
      <x/>
      <x/>
      <x v="2"/>
      <x/>
      <x/>
      <x v="1"/>
    </i>
    <i r="4">
      <x v="31"/>
      <x v="1"/>
      <x/>
      <x v="129"/>
      <x v="4"/>
      <x/>
      <x/>
      <x v="2"/>
      <x/>
      <x/>
      <x v="1"/>
    </i>
    <i r="4">
      <x v="49"/>
      <x/>
      <x/>
      <x v="130"/>
      <x v="4"/>
      <x/>
      <x/>
      <x v="2"/>
      <x/>
      <x/>
      <x v="1"/>
    </i>
    <i r="1">
      <x v="49"/>
      <x/>
      <x/>
      <x v="23"/>
      <x/>
      <x/>
      <x v="331"/>
      <x v="4"/>
      <x/>
      <x/>
      <x v="2"/>
      <x/>
      <x/>
      <x v="1"/>
    </i>
    <i r="4">
      <x v="24"/>
      <x/>
      <x/>
      <x v="332"/>
      <x v="4"/>
      <x/>
      <x/>
      <x v="2"/>
      <x/>
      <x/>
      <x v="1"/>
    </i>
    <i r="4">
      <x v="29"/>
      <x/>
      <x/>
      <x v="334"/>
      <x v="4"/>
      <x/>
      <x/>
      <x v="2"/>
      <x/>
      <x/>
      <x v="1"/>
    </i>
    <i r="4">
      <x v="31"/>
      <x v="1"/>
      <x/>
      <x v="341"/>
      <x v="4"/>
      <x/>
      <x/>
      <x v="2"/>
      <x/>
      <x/>
      <x v="1"/>
    </i>
    <i r="5">
      <x v="2"/>
      <x/>
      <x v="342"/>
      <x v="4"/>
      <x/>
      <x/>
      <x v="2"/>
      <x/>
      <x/>
      <x v="1"/>
    </i>
    <i r="4">
      <x v="55"/>
      <x/>
      <x/>
      <x v="346"/>
      <x v="4"/>
      <x/>
      <x/>
      <x v="2"/>
      <x/>
      <x/>
      <x v="1"/>
    </i>
    <i r="1">
      <x v="50"/>
      <x/>
      <x/>
      <x v="23"/>
      <x/>
      <x/>
      <x v="431"/>
      <x v="4"/>
      <x/>
      <x/>
      <x v="2"/>
      <x/>
      <x/>
      <x v="1"/>
    </i>
    <i r="4">
      <x v="24"/>
      <x/>
      <x/>
      <x v="432"/>
      <x v="4"/>
      <x/>
      <x/>
      <x v="2"/>
      <x/>
      <x/>
      <x v="1"/>
    </i>
    <i r="4">
      <x v="29"/>
      <x/>
      <x/>
      <x v="434"/>
      <x v="4"/>
      <x/>
      <x/>
      <x v="2"/>
      <x/>
      <x/>
      <x v="1"/>
    </i>
    <i r="4">
      <x v="31"/>
      <x v="1"/>
      <x/>
      <x v="439"/>
      <x v="4"/>
      <x/>
      <x/>
      <x v="2"/>
      <x/>
      <x/>
      <x v="1"/>
    </i>
    <i r="4">
      <x v="55"/>
      <x/>
      <x/>
      <x v="442"/>
      <x v="4"/>
      <x/>
      <x/>
      <x v="2"/>
      <x/>
      <x/>
      <x v="1"/>
    </i>
    <i r="1">
      <x v="51"/>
      <x/>
      <x/>
      <x v="11"/>
      <x/>
      <x/>
      <x v="585"/>
      <x v="4"/>
      <x/>
      <x/>
      <x v="2"/>
      <x/>
      <x/>
      <x v="1"/>
    </i>
    <i r="4">
      <x v="12"/>
      <x/>
      <x/>
      <x v="586"/>
      <x v="4"/>
      <x/>
      <x/>
      <x v="2"/>
      <x/>
      <x/>
      <x v="1"/>
    </i>
    <i r="4">
      <x v="14"/>
      <x/>
      <x/>
      <x v="581"/>
      <x v="4"/>
      <x/>
      <x/>
      <x v="2"/>
      <x/>
      <x/>
      <x v="1"/>
    </i>
    <i r="5">
      <x v="1"/>
      <x/>
      <x v="578"/>
      <x v="4"/>
      <x/>
      <x/>
      <x v="2"/>
      <x/>
      <x/>
      <x v="1"/>
    </i>
    <i r="4">
      <x v="17"/>
      <x/>
      <x/>
      <x v="584"/>
      <x v="4"/>
      <x/>
      <x/>
      <x v="2"/>
      <x/>
      <x/>
      <x v="1"/>
    </i>
    <i r="4">
      <x v="22"/>
      <x/>
      <x/>
      <x v="575"/>
      <x v="4"/>
      <x/>
      <x/>
      <x v="2"/>
      <x/>
      <x/>
      <x v="1"/>
    </i>
    <i r="4">
      <x v="23"/>
      <x/>
      <x/>
      <x v="589"/>
      <x v="4"/>
      <x/>
      <x/>
      <x v="2"/>
      <x/>
      <x/>
      <x v="1"/>
    </i>
    <i r="4">
      <x v="29"/>
      <x/>
      <x/>
      <x v="576"/>
      <x v="4"/>
      <x/>
      <x/>
      <x v="2"/>
      <x/>
      <x/>
      <x v="1"/>
    </i>
    <i r="4">
      <x v="44"/>
      <x/>
      <x/>
      <x v="582"/>
      <x v="4"/>
      <x/>
      <x/>
      <x v="2"/>
      <x/>
      <x/>
      <x v="1"/>
    </i>
    <i r="4">
      <x v="49"/>
      <x/>
      <x/>
      <x v="583"/>
      <x v="4"/>
      <x/>
      <x/>
      <x v="2"/>
      <x/>
      <x/>
      <x v="1"/>
    </i>
    <i r="4">
      <x v="55"/>
      <x/>
      <x/>
      <x v="590"/>
      <x v="4"/>
      <x/>
      <x/>
      <x v="2"/>
      <x/>
      <x/>
      <x v="1"/>
    </i>
    <i r="1">
      <x v="52"/>
      <x/>
      <x/>
      <x v="10"/>
      <x v="2"/>
      <x/>
      <x v="158"/>
      <x v="4"/>
      <x/>
      <x/>
      <x v="2"/>
      <x/>
      <x/>
      <x v="1"/>
    </i>
    <i r="5">
      <x v="3"/>
      <x/>
      <x v="160"/>
      <x v="4"/>
      <x/>
      <x/>
      <x v="2"/>
      <x/>
      <x/>
      <x v="1"/>
    </i>
    <i r="4">
      <x v="12"/>
      <x v="2"/>
      <x/>
      <x v="155"/>
      <x v="4"/>
      <x/>
      <x/>
      <x v="2"/>
      <x/>
      <x/>
      <x v="1"/>
    </i>
    <i r="5">
      <x v="3"/>
      <x/>
      <x v="157"/>
      <x v="4"/>
      <x/>
      <x/>
      <x v="2"/>
      <x/>
      <x/>
      <x v="1"/>
    </i>
    <i r="4">
      <x v="13"/>
      <x v="2"/>
      <x/>
      <x v="165"/>
      <x v="4"/>
      <x/>
      <x/>
      <x v="2"/>
      <x/>
      <x/>
      <x v="1"/>
    </i>
    <i r="5">
      <x v="3"/>
      <x/>
      <x v="167"/>
      <x v="4"/>
      <x/>
      <x/>
      <x v="2"/>
      <x/>
      <x/>
      <x v="1"/>
    </i>
    <i r="4">
      <x v="14"/>
      <x v="2"/>
      <x/>
      <x v="168"/>
      <x v="4"/>
      <x/>
      <x/>
      <x v="2"/>
      <x/>
      <x/>
      <x v="1"/>
    </i>
    <i r="5">
      <x v="3"/>
      <x/>
      <x v="169"/>
      <x v="4"/>
      <x/>
      <x/>
      <x v="2"/>
      <x/>
      <x/>
      <x v="1"/>
    </i>
    <i r="4">
      <x v="29"/>
      <x/>
      <x/>
      <x v="163"/>
      <x v="4"/>
      <x/>
      <x/>
      <x v="2"/>
      <x/>
      <x/>
      <x v="1"/>
    </i>
    <i r="4">
      <x v="49"/>
      <x/>
      <x/>
      <x v="150"/>
      <x v="4"/>
      <x/>
      <x/>
      <x v="2"/>
      <x/>
      <x/>
      <x v="1"/>
    </i>
    <i r="1">
      <x v="53"/>
      <x/>
      <x/>
      <x v="11"/>
      <x/>
      <x/>
      <x v="323"/>
      <x v="4"/>
      <x/>
      <x/>
      <x v="2"/>
      <x/>
      <x/>
      <x v="1"/>
    </i>
    <i r="4">
      <x v="17"/>
      <x/>
      <x/>
      <x v="321"/>
      <x v="4"/>
      <x/>
      <x/>
      <x v="2"/>
      <x/>
      <x/>
      <x v="1"/>
    </i>
    <i r="4">
      <x v="23"/>
      <x/>
      <x/>
      <x v="320"/>
      <x v="4"/>
      <x/>
      <x/>
      <x v="2"/>
      <x/>
      <x/>
      <x v="1"/>
    </i>
    <i r="4">
      <x v="29"/>
      <x/>
      <x/>
      <x v="322"/>
      <x v="4"/>
      <x/>
      <x/>
      <x v="2"/>
      <x/>
      <x/>
      <x v="1"/>
    </i>
    <i r="4">
      <x v="41"/>
      <x/>
      <x/>
      <x v="326"/>
      <x v="4"/>
      <x/>
      <x/>
      <x v="2"/>
      <x/>
      <x/>
      <x v="1"/>
    </i>
    <i r="4">
      <x v="42"/>
      <x/>
      <x/>
      <x v="325"/>
      <x v="4"/>
      <x/>
      <x/>
      <x v="2"/>
      <x/>
      <x/>
      <x v="1"/>
    </i>
    <i r="4">
      <x v="55"/>
      <x/>
      <x/>
      <x v="319"/>
      <x v="4"/>
      <x/>
      <x/>
      <x v="2"/>
      <x/>
      <x/>
      <x v="1"/>
    </i>
    <i r="1">
      <x v="54"/>
      <x/>
      <x/>
      <x v="29"/>
      <x/>
      <x/>
      <x v="279"/>
      <x v="4"/>
      <x/>
      <x/>
      <x v="101"/>
      <x/>
      <x/>
      <x v="1"/>
    </i>
    <i r="4">
      <x v="41"/>
      <x/>
      <x/>
      <x v="284"/>
      <x v="4"/>
      <x/>
      <x/>
      <x v="2"/>
      <x/>
      <x/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2025" fld="19" baseField="39" baseItem="323"/>
    <dataField name="2026" fld="13" baseField="39" baseItem="1"/>
    <dataField name="2027" fld="20" baseField="39" baseItem="1"/>
  </dataFields>
  <formats count="10841">
    <format dxfId="21689">
      <pivotArea outline="0" collapsedLevelsAreSubtotals="1" fieldPosition="0"/>
    </format>
    <format dxfId="2168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1687">
      <pivotArea field="27" type="button" dataOnly="0" labelOnly="1" outline="0" axis="axisRow" fieldPosition="2"/>
    </format>
    <format dxfId="21686">
      <pivotArea field="28" type="button" dataOnly="0" labelOnly="1" outline="0" axis="axisRow" fieldPosition="3"/>
    </format>
    <format dxfId="21685">
      <pivotArea dataOnly="0" labelOnly="1" outline="0" fieldPosition="0">
        <references count="3">
          <reference field="25" count="0" selected="0"/>
          <reference field="26" count="1" selected="0">
            <x v="0"/>
          </reference>
          <reference field="27" count="0"/>
        </references>
      </pivotArea>
    </format>
    <format dxfId="21684">
      <pivotArea dataOnly="0" labelOnly="1" outline="0" fieldPosition="0">
        <references count="4">
          <reference field="25" count="0" selected="0"/>
          <reference field="26" count="1" selected="0">
            <x v="0"/>
          </reference>
          <reference field="27" count="0" selected="0"/>
          <reference field="28" count="0"/>
        </references>
      </pivotArea>
    </format>
    <format dxfId="21683">
      <pivotArea field="25" type="button" dataOnly="0" labelOnly="1" outline="0" axis="axisRow" fieldPosition="0"/>
    </format>
    <format dxfId="21682">
      <pivotArea dataOnly="0" labelOnly="1" outline="0" fieldPosition="0">
        <references count="1">
          <reference field="25" count="0"/>
        </references>
      </pivotArea>
    </format>
    <format dxfId="21681">
      <pivotArea field="31" type="button" dataOnly="0" labelOnly="1" outline="0" axis="axisRow" fieldPosition="6"/>
    </format>
    <format dxfId="21680">
      <pivotArea dataOnly="0" labelOnly="1" outline="0" fieldPosition="0">
        <references count="7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/>
        </references>
      </pivotArea>
    </format>
    <format dxfId="21679">
      <pivotArea field="34" type="button" dataOnly="0" labelOnly="1" outline="0" axis="axisRow" fieldPosition="9"/>
    </format>
    <format dxfId="21678">
      <pivotArea field="35" type="button" dataOnly="0" labelOnly="1" outline="0" axis="axisRow" fieldPosition="10"/>
    </format>
    <format dxfId="21677">
      <pivotArea dataOnly="0" labelOnly="1" outline="0" fieldPosition="0">
        <references count="10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/>
        </references>
      </pivotArea>
    </format>
    <format dxfId="21676">
      <pivotArea dataOnly="0" labelOnly="1" outline="0" fieldPosition="0">
        <references count="11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/>
        </references>
      </pivotArea>
    </format>
    <format dxfId="21675">
      <pivotArea field="38" type="button" dataOnly="0" labelOnly="1" outline="0" axis="axisRow" fieldPosition="13"/>
    </format>
    <format dxfId="21674">
      <pivotArea dataOnly="0" labelOnly="1" outline="0" fieldPosition="0">
        <references count="14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 selected="0">
            <x v="0"/>
          </reference>
          <reference field="38" count="0"/>
        </references>
      </pivotArea>
    </format>
    <format dxfId="21673">
      <pivotArea field="38" type="button" dataOnly="0" labelOnly="1" outline="0" axis="axisRow" fieldPosition="13"/>
    </format>
    <format dxfId="21672">
      <pivotArea dataOnly="0" labelOnly="1" outline="0" fieldPosition="0">
        <references count="14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 selected="0">
            <x v="0"/>
          </reference>
          <reference field="38" count="0"/>
        </references>
      </pivotArea>
    </format>
    <format dxfId="21671">
      <pivotArea field="34" type="button" dataOnly="0" labelOnly="1" outline="0" axis="axisRow" fieldPosition="9"/>
    </format>
    <format dxfId="21670">
      <pivotArea field="35" type="button" dataOnly="0" labelOnly="1" outline="0" axis="axisRow" fieldPosition="10"/>
    </format>
    <format dxfId="21669">
      <pivotArea dataOnly="0" labelOnly="1" outline="0" fieldPosition="0">
        <references count="10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/>
        </references>
      </pivotArea>
    </format>
    <format dxfId="21668">
      <pivotArea dataOnly="0" labelOnly="1" outline="0" fieldPosition="0">
        <references count="11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/>
        </references>
      </pivotArea>
    </format>
    <format dxfId="21667">
      <pivotArea field="31" type="button" dataOnly="0" labelOnly="1" outline="0" axis="axisRow" fieldPosition="6"/>
    </format>
    <format dxfId="21666">
      <pivotArea dataOnly="0" labelOnly="1" outline="0" fieldPosition="0">
        <references count="7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/>
        </references>
      </pivotArea>
    </format>
    <format dxfId="21665">
      <pivotArea field="27" type="button" dataOnly="0" labelOnly="1" outline="0" axis="axisRow" fieldPosition="2"/>
    </format>
    <format dxfId="21664">
      <pivotArea field="28" type="button" dataOnly="0" labelOnly="1" outline="0" axis="axisRow" fieldPosition="3"/>
    </format>
    <format dxfId="21663">
      <pivotArea dataOnly="0" labelOnly="1" outline="0" fieldPosition="0">
        <references count="3">
          <reference field="25" count="0" selected="0"/>
          <reference field="26" count="1" selected="0">
            <x v="0"/>
          </reference>
          <reference field="27" count="0"/>
        </references>
      </pivotArea>
    </format>
    <format dxfId="21662">
      <pivotArea dataOnly="0" labelOnly="1" outline="0" fieldPosition="0">
        <references count="4">
          <reference field="25" count="0" selected="0"/>
          <reference field="26" count="1" selected="0">
            <x v="0"/>
          </reference>
          <reference field="27" count="0" selected="0"/>
          <reference field="28" count="0"/>
        </references>
      </pivotArea>
    </format>
    <format dxfId="21661">
      <pivotArea field="25" type="button" dataOnly="0" labelOnly="1" outline="0" axis="axisRow" fieldPosition="0"/>
    </format>
    <format dxfId="21660">
      <pivotArea dataOnly="0" labelOnly="1" outline="0" fieldPosition="0">
        <references count="1">
          <reference field="25" count="0"/>
        </references>
      </pivotArea>
    </format>
    <format dxfId="2165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7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4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1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1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50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9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5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4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3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21642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4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73"/>
            <x v="91"/>
          </reference>
        </references>
      </pivotArea>
    </format>
    <format dxfId="2163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2163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1"/>
          </reference>
          <reference field="31" count="0" selected="0"/>
          <reference field="32" count="1" selected="0">
            <x v="3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44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44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8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4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3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2"/>
          </reference>
          <reference field="31" count="0" selected="0"/>
          <reference field="32" count="1" selected="0">
            <x v="4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1"/>
          </reference>
          <reference field="31" count="0" selected="0"/>
          <reference field="32" count="1" selected="0">
            <x v="6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2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5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5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4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3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42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2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1621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42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20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61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161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7"/>
          </reference>
          <reference field="31" count="0" selected="0"/>
          <reference field="32" count="1" selected="0">
            <x v="5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5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8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9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9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9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10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6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3"/>
          </reference>
          <reference field="31" count="0" selected="0"/>
          <reference field="32" count="1" selected="0">
            <x v="35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3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3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1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600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3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22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2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3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1"/>
          </reference>
          <reference field="31" count="0" selected="0"/>
          <reference field="32" count="1" selected="0">
            <x v="2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3"/>
          </reference>
          <reference field="31" count="0" selected="0"/>
          <reference field="32" count="1" selected="0">
            <x v="2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3">
      <pivotArea dataOnly="0" labelOnly="1" outline="0" fieldPosition="0">
        <references count="12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9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2">
      <pivotArea dataOnly="0" labelOnly="1" outline="0" fieldPosition="0">
        <references count="12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91">
      <pivotArea dataOnly="0" labelOnly="1" outline="0" fieldPosition="0">
        <references count="12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1590">
      <pivotArea dataOnly="0" labelOnly="1" outline="0" fieldPosition="0">
        <references count="12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2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9">
      <pivotArea dataOnly="0" labelOnly="1" outline="0" fieldPosition="0">
        <references count="12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1588">
      <pivotArea dataOnly="0" labelOnly="1" outline="0" fieldPosition="0">
        <references count="12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7">
      <pivotArea dataOnly="0" labelOnly="1" outline="0" fieldPosition="0">
        <references count="12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158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5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5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4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1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1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80">
      <pivotArea dataOnly="0" labelOnly="1" outline="0" fieldPosition="0">
        <references count="12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1579">
      <pivotArea dataOnly="0" labelOnly="1" outline="0" fieldPosition="0">
        <references count="12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0"/>
          </reference>
          <reference field="31" count="0" selected="0"/>
          <reference field="32" count="1" selected="0">
            <x v="5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7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5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0"/>
          </reference>
          <reference field="31" count="0" selected="0"/>
          <reference field="32" count="1" selected="0">
            <x v="5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157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7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11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156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6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8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5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1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4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1553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2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21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5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9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4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8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4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7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154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1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4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40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9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2"/>
          </reference>
          <reference field="31" count="0" selected="0"/>
          <reference field="32" count="1" selected="0">
            <x v="1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2"/>
          </reference>
          <reference field="31" count="0" selected="0"/>
          <reference field="32" count="1" selected="0">
            <x v="1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4">
            <x v="13"/>
            <x v="15"/>
            <x v="18"/>
            <x v="26"/>
          </reference>
        </references>
      </pivotArea>
    </format>
    <format dxfId="2153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6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2"/>
          </reference>
          <reference field="31" count="0" selected="0"/>
          <reference field="32" count="1" selected="0">
            <x v="1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30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2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2152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27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7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26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21525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4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24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21523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2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>
            <x v="1"/>
          </reference>
        </references>
      </pivotArea>
    </format>
    <format dxfId="2152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1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2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1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1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>
            <x v="1"/>
          </reference>
        </references>
      </pivotArea>
    </format>
    <format dxfId="2151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16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>
            <x v="1"/>
          </reference>
        </references>
      </pivotArea>
    </format>
    <format dxfId="21515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14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1513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12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>
            <x v="1"/>
          </reference>
        </references>
      </pivotArea>
    </format>
    <format dxfId="21511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1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"/>
          </reference>
        </references>
      </pivotArea>
    </format>
    <format dxfId="2150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0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0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21506">
      <pivotArea dataOnly="0" labelOnly="1" outline="0" fieldPosition="0">
        <references count="13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05">
      <pivotArea dataOnly="0" labelOnly="1" outline="0" fieldPosition="0">
        <references count="13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>
            <x v="1"/>
          </reference>
        </references>
      </pivotArea>
    </format>
    <format dxfId="21504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03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>
            <x v="1"/>
          </reference>
        </references>
      </pivotArea>
    </format>
    <format dxfId="21502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501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>
            <x v="1"/>
          </reference>
        </references>
      </pivotArea>
    </format>
    <format dxfId="21500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99">
      <pivotArea dataOnly="0" labelOnly="1" outline="0" fieldPosition="0">
        <references count="13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21498">
      <pivotArea dataOnly="0" labelOnly="1" outline="0" fieldPosition="0">
        <references count="13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97">
      <pivotArea dataOnly="0" labelOnly="1" outline="0" fieldPosition="0">
        <references count="13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2149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9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>
            <x v="1"/>
          </reference>
        </references>
      </pivotArea>
    </format>
    <format dxfId="2149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9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9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>
            <x v="1"/>
          </reference>
        </references>
      </pivotArea>
    </format>
    <format dxfId="2149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1"/>
          </reference>
          <reference field="31" count="0" selected="0"/>
          <reference field="32" count="1" selected="0">
            <x v="3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9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>
            <x v="1"/>
          </reference>
        </references>
      </pivotArea>
    </format>
    <format dxfId="2148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44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8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2">
            <x v="1"/>
            <x v="2"/>
          </reference>
        </references>
      </pivotArea>
    </format>
    <format dxfId="2148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44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8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8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8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1"/>
          </reference>
        </references>
      </pivotArea>
    </format>
    <format dxfId="2148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4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8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2"/>
          </reference>
          <reference field="31" count="0" selected="0"/>
          <reference field="32" count="1" selected="0">
            <x v="4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82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81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1480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1"/>
          </reference>
          <reference field="31" count="0" selected="0"/>
          <reference field="32" count="1" selected="0">
            <x v="6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79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>
            <x v="1"/>
          </reference>
        </references>
      </pivotArea>
    </format>
    <format dxfId="21478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2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77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5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76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>
            <x v="1"/>
          </reference>
        </references>
      </pivotArea>
    </format>
    <format dxfId="21475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74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1473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72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1471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42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70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1469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42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68">
      <pivotArea dataOnly="0" labelOnly="1" outline="0" fieldPosition="0">
        <references count="13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146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61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6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6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2146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6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7"/>
          </reference>
          <reference field="31" count="0" selected="0"/>
          <reference field="32" count="1" selected="0">
            <x v="5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6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2146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5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60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21459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8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58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21457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9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56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1455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9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5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>
            <x v="1"/>
          </reference>
        </references>
      </pivotArea>
    </format>
    <format dxfId="2145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9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5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145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6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5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3"/>
          </reference>
          <reference field="31" count="0" selected="0"/>
          <reference field="32" count="1" selected="0">
            <x v="35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4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2144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4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144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4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144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4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144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4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144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3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2143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3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6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1435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3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22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2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3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3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2142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1"/>
          </reference>
          <reference field="31" count="0" selected="0"/>
          <reference field="32" count="1" selected="0">
            <x v="2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1"/>
          </reference>
        </references>
      </pivotArea>
    </format>
    <format dxfId="2142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3"/>
          </reference>
          <reference field="31" count="0" selected="0"/>
          <reference field="32" count="1" selected="0">
            <x v="2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5">
      <pivotArea dataOnly="0" labelOnly="1" outline="0" fieldPosition="0">
        <references count="13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9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4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3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2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2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2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2">
            <x v="1"/>
            <x v="2"/>
          </reference>
        </references>
      </pivotArea>
    </format>
    <format dxfId="2141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5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1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17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21416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15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>
            <x v="1"/>
          </reference>
        </references>
      </pivotArea>
    </format>
    <format dxfId="21414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1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13">
      <pivotArea dataOnly="0" labelOnly="1" outline="0" fieldPosition="0">
        <references count="13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1412">
      <pivotArea dataOnly="0" labelOnly="1" outline="0" fieldPosition="0">
        <references count="13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11">
      <pivotArea dataOnly="0" labelOnly="1" outline="0" fieldPosition="0">
        <references count="13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1410">
      <pivotArea dataOnly="0" labelOnly="1" outline="0" fieldPosition="0">
        <references count="13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09">
      <pivotArea dataOnly="0" labelOnly="1" outline="0" fieldPosition="0">
        <references count="13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21408">
      <pivotArea dataOnly="0" labelOnly="1" outline="0" fieldPosition="0">
        <references count="13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0"/>
          </reference>
          <reference field="31" count="0" selected="0"/>
          <reference field="32" count="1" selected="0">
            <x v="5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0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2">
            <x v="1"/>
            <x v="2"/>
          </reference>
        </references>
      </pivotArea>
    </format>
    <format dxfId="2140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0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0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2140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0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5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40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1"/>
          </reference>
        </references>
      </pivotArea>
    </format>
    <format dxfId="2140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0"/>
          </reference>
          <reference field="31" count="0" selected="0"/>
          <reference field="32" count="1" selected="0">
            <x v="5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9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2139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9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2139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9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2139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9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139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9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139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8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11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8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138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8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8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138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8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8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81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1380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79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1378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77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21376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75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1374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8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73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1372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1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7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70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1369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21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6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>
            <x v="1"/>
          </reference>
        </references>
      </pivotArea>
    </format>
    <format dxfId="2136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6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>
            <x v="1"/>
          </reference>
        </references>
      </pivotArea>
    </format>
    <format dxfId="21365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64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1363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4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62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1361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4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60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59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135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1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5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2135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5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2135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5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>
            <x v="1"/>
          </reference>
        </references>
      </pivotArea>
    </format>
    <format dxfId="2135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5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2135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4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4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4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4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4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>
            <x v="1"/>
          </reference>
        </references>
      </pivotArea>
    </format>
    <format dxfId="2134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2"/>
          </reference>
          <reference field="31" count="0" selected="0"/>
          <reference field="32" count="1" selected="0">
            <x v="1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4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1"/>
            <x v="2"/>
          </reference>
        </references>
      </pivotArea>
    </format>
    <format dxfId="2134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2"/>
          </reference>
          <reference field="31" count="0" selected="0"/>
          <reference field="32" count="1" selected="0">
            <x v="1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4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134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6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4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133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2"/>
          </reference>
          <reference field="31" count="0" selected="0"/>
          <reference field="32" count="1" selected="0">
            <x v="1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3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2133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3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35">
      <pivotArea dataOnly="0" labelOnly="1" outline="0" fieldPosition="0">
        <references count="13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1334">
      <pivotArea dataOnly="0" labelOnly="1" outline="0" fieldPosition="0">
        <references count="13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3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21332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4"/>
            <x v="5"/>
            <x v="7"/>
            <x v="8"/>
            <x v="9"/>
            <x v="10"/>
            <x v="15"/>
            <x v="44"/>
            <x v="45"/>
            <x v="46"/>
            <x v="50"/>
            <x v="52"/>
          </reference>
        </references>
      </pivotArea>
    </format>
    <format dxfId="21331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78"/>
          </reference>
          <reference field="33" count="1">
            <x v="4"/>
          </reference>
        </references>
      </pivotArea>
    </format>
    <format dxfId="21330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470"/>
          </reference>
          <reference field="33" count="1">
            <x v="4"/>
          </reference>
        </references>
      </pivotArea>
    </format>
    <format dxfId="21329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9"/>
          </reference>
          <reference field="33" count="1">
            <x v="4"/>
          </reference>
        </references>
      </pivotArea>
    </format>
    <format dxfId="2132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17"/>
          </reference>
          <reference field="33" count="1">
            <x v="4"/>
          </reference>
        </references>
      </pivotArea>
    </format>
    <format dxfId="2132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4"/>
          </reference>
        </references>
      </pivotArea>
    </format>
    <format dxfId="2132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9"/>
          </reference>
          <reference field="33" count="1">
            <x v="4"/>
          </reference>
        </references>
      </pivotArea>
    </format>
    <format dxfId="2132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01"/>
          </reference>
          <reference field="33" count="1">
            <x v="4"/>
          </reference>
        </references>
      </pivotArea>
    </format>
    <format dxfId="21324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1"/>
          </reference>
          <reference field="33" count="1">
            <x v="4"/>
          </reference>
        </references>
      </pivotArea>
    </format>
    <format dxfId="21323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0"/>
          </reference>
          <reference field="33" count="1">
            <x v="4"/>
          </reference>
        </references>
      </pivotArea>
    </format>
    <format dxfId="21322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>
            <x v="53"/>
          </reference>
        </references>
      </pivotArea>
    </format>
    <format dxfId="21321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56"/>
          </reference>
          <reference field="33" count="1">
            <x v="4"/>
          </reference>
        </references>
      </pivotArea>
    </format>
    <format dxfId="2132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>
            <x v="4"/>
          </reference>
        </references>
      </pivotArea>
    </format>
    <format dxfId="2131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6"/>
          </reference>
          <reference field="33" count="1">
            <x v="4"/>
          </reference>
        </references>
      </pivotArea>
    </format>
    <format dxfId="21318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07"/>
          </reference>
          <reference field="33" count="1">
            <x v="4"/>
          </reference>
        </references>
      </pivotArea>
    </format>
    <format dxfId="21317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>
            <x v="43"/>
          </reference>
        </references>
      </pivotArea>
    </format>
    <format dxfId="21316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8"/>
          </reference>
          <reference field="33" count="1">
            <x v="4"/>
          </reference>
        </references>
      </pivotArea>
    </format>
    <format dxfId="21315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6"/>
          </reference>
          <reference field="33" count="1">
            <x v="4"/>
          </reference>
        </references>
      </pivotArea>
    </format>
    <format dxfId="21314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2"/>
          </reference>
          <reference field="33" count="1">
            <x v="4"/>
          </reference>
        </references>
      </pivotArea>
    </format>
    <format dxfId="21313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5"/>
          </reference>
          <reference field="33" count="1">
            <x v="4"/>
          </reference>
        </references>
      </pivotArea>
    </format>
    <format dxfId="21312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>
            <x v="7"/>
          </reference>
        </references>
      </pivotArea>
    </format>
    <format dxfId="2131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29"/>
          </reference>
          <reference field="33" count="1">
            <x v="4"/>
          </reference>
        </references>
      </pivotArea>
    </format>
    <format dxfId="2131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5"/>
          </reference>
          <reference field="33" count="1">
            <x v="4"/>
          </reference>
        </references>
      </pivotArea>
    </format>
    <format dxfId="2130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>
            <x v="4"/>
          </reference>
        </references>
      </pivotArea>
    </format>
    <format dxfId="2130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>
            <x v="58"/>
          </reference>
        </references>
      </pivotArea>
    </format>
    <format dxfId="2130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1"/>
          </reference>
          <reference field="31" count="0" selected="0"/>
          <reference field="32" count="1" selected="0">
            <x v="314"/>
          </reference>
          <reference field="33" count="1">
            <x v="4"/>
          </reference>
        </references>
      </pivotArea>
    </format>
    <format dxfId="2130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447"/>
          </reference>
          <reference field="33" count="1">
            <x v="4"/>
          </reference>
        </references>
      </pivotArea>
    </format>
    <format dxfId="2130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>
            <x v="55"/>
          </reference>
        </references>
      </pivotArea>
    </format>
    <format dxfId="2130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444"/>
          </reference>
          <reference field="33" count="1">
            <x v="4"/>
          </reference>
        </references>
      </pivotArea>
    </format>
    <format dxfId="2130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88"/>
          </reference>
          <reference field="33" count="1">
            <x v="4"/>
          </reference>
        </references>
      </pivotArea>
    </format>
    <format dxfId="2130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482"/>
          </reference>
          <reference field="33" count="1">
            <x v="4"/>
          </reference>
        </references>
      </pivotArea>
    </format>
    <format dxfId="2130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2"/>
          </reference>
          <reference field="31" count="0" selected="0"/>
          <reference field="32" count="1" selected="0">
            <x v="446"/>
          </reference>
          <reference field="33" count="1">
            <x v="4"/>
          </reference>
        </references>
      </pivotArea>
    </format>
    <format dxfId="21300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01"/>
          </reference>
          <reference field="33" count="1">
            <x v="4"/>
          </reference>
        </references>
      </pivotArea>
    </format>
    <format dxfId="21299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3">
            <x v="1"/>
            <x v="11"/>
            <x v="32"/>
          </reference>
        </references>
      </pivotArea>
    </format>
    <format dxfId="21298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1"/>
          </reference>
          <reference field="31" count="0" selected="0"/>
          <reference field="32" count="1" selected="0">
            <x v="606"/>
          </reference>
          <reference field="33" count="1">
            <x v="4"/>
          </reference>
        </references>
      </pivotArea>
    </format>
    <format dxfId="21297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261"/>
          </reference>
          <reference field="33" count="1">
            <x v="4"/>
          </reference>
        </references>
      </pivotArea>
    </format>
    <format dxfId="21296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>
            <x v="0"/>
          </reference>
        </references>
      </pivotArea>
    </format>
    <format dxfId="21295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59"/>
          </reference>
          <reference field="33" count="1">
            <x v="4"/>
          </reference>
        </references>
      </pivotArea>
    </format>
    <format dxfId="21294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>
            <x v="0"/>
          </reference>
        </references>
      </pivotArea>
    </format>
    <format dxfId="21293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12"/>
          </reference>
          <reference field="33" count="1">
            <x v="4"/>
          </reference>
        </references>
      </pivotArea>
    </format>
    <format dxfId="21292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14"/>
          </reference>
          <reference field="33" count="1">
            <x v="4"/>
          </reference>
        </references>
      </pivotArea>
    </format>
    <format dxfId="21291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>
            <x v="2"/>
          </reference>
        </references>
      </pivotArea>
    </format>
    <format dxfId="21290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426"/>
          </reference>
          <reference field="33" count="1">
            <x v="4"/>
          </reference>
        </references>
      </pivotArea>
    </format>
    <format dxfId="21289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>
            <x v="2"/>
          </reference>
        </references>
      </pivotArea>
    </format>
    <format dxfId="21288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422"/>
          </reference>
          <reference field="33" count="1">
            <x v="4"/>
          </reference>
        </references>
      </pivotArea>
    </format>
    <format dxfId="2128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619"/>
          </reference>
          <reference field="33" count="1">
            <x v="4"/>
          </reference>
        </references>
      </pivotArea>
    </format>
    <format dxfId="21286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16"/>
          </reference>
          <reference field="33" count="1">
            <x v="4"/>
          </reference>
        </references>
      </pivotArea>
    </format>
    <format dxfId="21285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>
            <x v="41"/>
          </reference>
        </references>
      </pivotArea>
    </format>
    <format dxfId="2128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93"/>
          </reference>
          <reference field="33" count="1">
            <x v="4"/>
          </reference>
        </references>
      </pivotArea>
    </format>
    <format dxfId="2128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>
            <x v="41"/>
          </reference>
        </references>
      </pivotArea>
    </format>
    <format dxfId="2128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7"/>
          </reference>
          <reference field="31" count="0" selected="0"/>
          <reference field="32" count="1" selected="0">
            <x v="504"/>
          </reference>
          <reference field="33" count="1">
            <x v="4"/>
          </reference>
        </references>
      </pivotArea>
    </format>
    <format dxfId="2128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501"/>
          </reference>
          <reference field="33" count="1">
            <x v="4"/>
          </reference>
        </references>
      </pivotArea>
    </format>
    <format dxfId="21280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89"/>
          </reference>
          <reference field="33" count="1">
            <x v="4"/>
          </reference>
        </references>
      </pivotArea>
    </format>
    <format dxfId="21279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91"/>
          </reference>
          <reference field="33" count="1">
            <x v="4"/>
          </reference>
        </references>
      </pivotArea>
    </format>
    <format dxfId="2127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>
            <x v="49"/>
          </reference>
        </references>
      </pivotArea>
    </format>
    <format dxfId="2127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95"/>
          </reference>
          <reference field="33" count="1">
            <x v="4"/>
          </reference>
        </references>
      </pivotArea>
    </format>
    <format dxfId="2127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>
            <x v="49"/>
          </reference>
        </references>
      </pivotArea>
    </format>
    <format dxfId="21275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97"/>
          </reference>
          <reference field="33" count="1">
            <x v="4"/>
          </reference>
        </references>
      </pivotArea>
    </format>
    <format dxfId="21274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67"/>
          </reference>
          <reference field="33" count="1">
            <x v="4"/>
          </reference>
        </references>
      </pivotArea>
    </format>
    <format dxfId="21273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3"/>
          </reference>
          <reference field="31" count="0" selected="0"/>
          <reference field="32" count="1" selected="0">
            <x v="357"/>
          </reference>
          <reference field="33" count="1">
            <x v="4"/>
          </reference>
        </references>
      </pivotArea>
    </format>
    <format dxfId="2127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>
            <x v="46"/>
          </reference>
        </references>
      </pivotArea>
    </format>
    <format dxfId="2127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2">
            <x v="4"/>
            <x v="46"/>
          </reference>
        </references>
      </pivotArea>
    </format>
    <format dxfId="2127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2">
            <x v="4"/>
            <x v="46"/>
          </reference>
        </references>
      </pivotArea>
    </format>
    <format dxfId="2126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2">
            <x v="4"/>
            <x v="46"/>
          </reference>
        </references>
      </pivotArea>
    </format>
    <format dxfId="21268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2">
            <x v="4"/>
            <x v="46"/>
          </reference>
        </references>
      </pivotArea>
    </format>
    <format dxfId="21267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385"/>
          </reference>
          <reference field="33" count="1">
            <x v="4"/>
          </reference>
        </references>
      </pivotArea>
    </format>
    <format dxfId="21266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>
            <x v="46"/>
          </reference>
        </references>
      </pivotArea>
    </format>
    <format dxfId="2126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353"/>
          </reference>
          <reference field="33" count="1">
            <x v="4"/>
          </reference>
        </references>
      </pivotArea>
    </format>
    <format dxfId="2126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77"/>
          </reference>
          <reference field="33" count="1">
            <x v="4"/>
          </reference>
        </references>
      </pivotArea>
    </format>
    <format dxfId="21263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>
            <x v="46"/>
          </reference>
        </references>
      </pivotArea>
    </format>
    <format dxfId="21262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8"/>
          </reference>
          <reference field="33" count="1">
            <x v="4"/>
          </reference>
        </references>
      </pivotArea>
    </format>
    <format dxfId="21261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380"/>
          </reference>
          <reference field="33" count="1">
            <x v="4"/>
          </reference>
        </references>
      </pivotArea>
    </format>
    <format dxfId="21260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21"/>
          </reference>
          <reference field="33" count="1">
            <x v="4"/>
          </reference>
        </references>
      </pivotArea>
    </format>
    <format dxfId="21259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223"/>
          </reference>
          <reference field="33" count="1">
            <x v="4"/>
          </reference>
        </references>
      </pivotArea>
    </format>
    <format dxfId="21258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>
            <x v="45"/>
          </reference>
        </references>
      </pivotArea>
    </format>
    <format dxfId="21257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24"/>
          </reference>
          <reference field="33" count="1">
            <x v="4"/>
          </reference>
        </references>
      </pivotArea>
    </format>
    <format dxfId="21256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>
            <x v="45"/>
          </reference>
        </references>
      </pivotArea>
    </format>
    <format dxfId="21255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32"/>
          </reference>
          <reference field="33" count="1">
            <x v="4"/>
          </reference>
        </references>
      </pivotArea>
    </format>
    <format dxfId="21254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>
            <x v="45"/>
          </reference>
        </references>
      </pivotArea>
    </format>
    <format dxfId="21253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1"/>
          </reference>
          <reference field="31" count="0" selected="0"/>
          <reference field="32" count="1" selected="0">
            <x v="229"/>
          </reference>
          <reference field="33" count="1">
            <x v="4"/>
          </reference>
        </references>
      </pivotArea>
    </format>
    <format dxfId="21252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>
            <x v="45"/>
          </reference>
        </references>
      </pivotArea>
    </format>
    <format dxfId="21251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3"/>
          </reference>
          <reference field="31" count="0" selected="0"/>
          <reference field="32" count="1" selected="0">
            <x v="238"/>
          </reference>
          <reference field="33" count="1">
            <x v="4"/>
          </reference>
        </references>
      </pivotArea>
    </format>
    <format dxfId="21250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>
            <x v="45"/>
          </reference>
        </references>
      </pivotArea>
    </format>
    <format dxfId="21249">
      <pivotArea dataOnly="0" labelOnly="1" outline="0" fieldPosition="0">
        <references count="9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92"/>
          </reference>
          <reference field="33" count="1">
            <x v="4"/>
          </reference>
        </references>
      </pivotArea>
    </format>
    <format dxfId="21248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51"/>
          </reference>
          <reference field="33" count="1">
            <x v="4"/>
          </reference>
        </references>
      </pivotArea>
    </format>
    <format dxfId="21247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254"/>
          </reference>
          <reference field="33" count="1">
            <x v="4"/>
          </reference>
        </references>
      </pivotArea>
    </format>
    <format dxfId="21246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20"/>
          </reference>
          <reference field="33" count="1">
            <x v="4"/>
          </reference>
        </references>
      </pivotArea>
    </format>
    <format dxfId="21245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53"/>
          </reference>
          <reference field="33" count="1">
            <x v="4"/>
          </reference>
        </references>
      </pivotArea>
    </format>
    <format dxfId="21244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52"/>
          </reference>
          <reference field="33" count="1">
            <x v="4"/>
          </reference>
        </references>
      </pivotArea>
    </format>
    <format dxfId="21243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>
            <x v="17"/>
          </reference>
        </references>
      </pivotArea>
    </format>
    <format dxfId="21242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54"/>
          </reference>
          <reference field="33" count="1">
            <x v="4"/>
          </reference>
        </references>
      </pivotArea>
    </format>
    <format dxfId="21241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82"/>
          </reference>
          <reference field="33" count="1">
            <x v="4"/>
          </reference>
        </references>
      </pivotArea>
    </format>
    <format dxfId="21240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183"/>
          </reference>
          <reference field="33" count="1">
            <x v="4"/>
          </reference>
        </references>
      </pivotArea>
    </format>
    <format dxfId="21239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61"/>
          </reference>
          <reference field="33" count="1">
            <x v="4"/>
          </reference>
        </references>
      </pivotArea>
    </format>
    <format dxfId="21238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77"/>
          </reference>
          <reference field="33" count="1">
            <x v="4"/>
          </reference>
        </references>
      </pivotArea>
    </format>
    <format dxfId="21237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0"/>
          </reference>
          <reference field="31" count="0" selected="0"/>
          <reference field="32" count="1" selected="0">
            <x v="570"/>
          </reference>
          <reference field="33" count="1">
            <x v="4"/>
          </reference>
        </references>
      </pivotArea>
    </format>
    <format dxfId="21236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73"/>
          </reference>
          <reference field="33" count="1">
            <x v="4"/>
          </reference>
        </references>
      </pivotArea>
    </format>
    <format dxfId="21235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71"/>
          </reference>
          <reference field="33" count="1">
            <x v="4"/>
          </reference>
        </references>
      </pivotArea>
    </format>
    <format dxfId="21234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37"/>
          </reference>
          <reference field="33" count="1">
            <x v="4"/>
          </reference>
        </references>
      </pivotArea>
    </format>
    <format dxfId="21233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>
            <x v="44"/>
          </reference>
        </references>
      </pivotArea>
    </format>
    <format dxfId="21232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548"/>
          </reference>
          <reference field="33" count="1">
            <x v="4"/>
          </reference>
        </references>
      </pivotArea>
    </format>
    <format dxfId="21231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>
            <x v="44"/>
          </reference>
        </references>
      </pivotArea>
    </format>
    <format dxfId="21230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0"/>
          </reference>
          <reference field="31" count="0" selected="0"/>
          <reference field="32" count="1" selected="0">
            <x v="551"/>
          </reference>
          <reference field="33" count="1">
            <x v="4"/>
          </reference>
        </references>
      </pivotArea>
    </format>
    <format dxfId="21229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>
            <x v="44"/>
          </reference>
        </references>
      </pivotArea>
    </format>
    <format dxfId="21228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2"/>
          </reference>
          <reference field="33" count="1">
            <x v="4"/>
          </reference>
        </references>
      </pivotArea>
    </format>
    <format dxfId="21227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>
            <x v="44"/>
          </reference>
        </references>
      </pivotArea>
    </format>
    <format dxfId="2122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2">
            <x v="4"/>
            <x v="41"/>
          </reference>
        </references>
      </pivotArea>
    </format>
    <format dxfId="2122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93"/>
          </reference>
          <reference field="33" count="1">
            <x v="4"/>
          </reference>
        </references>
      </pivotArea>
    </format>
    <format dxfId="2122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04"/>
          </reference>
          <reference field="33" count="1">
            <x v="4"/>
          </reference>
        </references>
      </pivotArea>
    </format>
    <format dxfId="2122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4"/>
          </reference>
        </references>
      </pivotArea>
    </format>
    <format dxfId="2122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111"/>
          </reference>
          <reference field="33" count="1">
            <x v="4"/>
          </reference>
        </references>
      </pivotArea>
    </format>
    <format dxfId="2122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5"/>
          </reference>
          <reference field="33" count="1">
            <x v="4"/>
          </reference>
        </references>
      </pivotArea>
    </format>
    <format dxfId="2122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>
            <x v="60"/>
          </reference>
        </references>
      </pivotArea>
    </format>
    <format dxfId="2121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0"/>
          </reference>
          <reference field="33" count="1">
            <x v="4"/>
          </reference>
        </references>
      </pivotArea>
    </format>
    <format dxfId="2121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>
            <x v="60"/>
          </reference>
        </references>
      </pivotArea>
    </format>
    <format dxfId="2121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9"/>
          </reference>
          <reference field="33" count="1">
            <x v="4"/>
          </reference>
        </references>
      </pivotArea>
    </format>
    <format dxfId="21216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8"/>
          </reference>
          <reference field="33" count="1">
            <x v="4"/>
          </reference>
        </references>
      </pivotArea>
    </format>
    <format dxfId="21215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4"/>
          </reference>
          <reference field="33" count="1">
            <x v="4"/>
          </reference>
        </references>
      </pivotArea>
    </format>
    <format dxfId="21214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81"/>
          </reference>
          <reference field="33" count="1">
            <x v="4"/>
          </reference>
        </references>
      </pivotArea>
    </format>
    <format dxfId="21213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>
            <x v="61"/>
          </reference>
        </references>
      </pivotArea>
    </format>
    <format dxfId="21212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80"/>
          </reference>
          <reference field="33" count="1">
            <x v="4"/>
          </reference>
        </references>
      </pivotArea>
    </format>
    <format dxfId="21211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>
            <x v="61"/>
          </reference>
        </references>
      </pivotArea>
    </format>
    <format dxfId="21210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74"/>
          </reference>
          <reference field="33" count="1">
            <x v="4"/>
          </reference>
        </references>
      </pivotArea>
    </format>
    <format dxfId="21209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>
            <x v="61"/>
          </reference>
        </references>
      </pivotArea>
    </format>
    <format dxfId="21208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84"/>
          </reference>
          <reference field="33" count="1">
            <x v="4"/>
          </reference>
        </references>
      </pivotArea>
    </format>
    <format dxfId="21207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13"/>
          </reference>
          <reference field="33" count="1">
            <x v="4"/>
          </reference>
        </references>
      </pivotArea>
    </format>
    <format dxfId="21206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>
            <x v="62"/>
          </reference>
        </references>
      </pivotArea>
    </format>
    <format dxfId="21205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>
            <x v="4"/>
          </reference>
        </references>
      </pivotArea>
    </format>
    <format dxfId="21204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>
            <x v="62"/>
          </reference>
        </references>
      </pivotArea>
    </format>
    <format dxfId="21203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215"/>
          </reference>
          <reference field="33" count="1">
            <x v="4"/>
          </reference>
        </references>
      </pivotArea>
    </format>
    <format dxfId="21202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5"/>
          </reference>
          <reference field="33" count="1">
            <x v="4"/>
          </reference>
        </references>
      </pivotArea>
    </format>
    <format dxfId="21201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>
            <x v="13"/>
          </reference>
        </references>
      </pivotArea>
    </format>
    <format dxfId="21200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8"/>
          </reference>
          <reference field="33" count="1">
            <x v="4"/>
          </reference>
        </references>
      </pivotArea>
    </format>
    <format dxfId="21199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40"/>
          </reference>
          <reference field="33" count="1">
            <x v="4"/>
          </reference>
        </references>
      </pivotArea>
    </format>
    <format dxfId="21198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>
            <x v="63"/>
          </reference>
        </references>
      </pivotArea>
    </format>
    <format dxfId="21197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43"/>
          </reference>
          <reference field="33" count="1">
            <x v="4"/>
          </reference>
        </references>
      </pivotArea>
    </format>
    <format dxfId="21196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>
            <x v="63"/>
          </reference>
        </references>
      </pivotArea>
    </format>
    <format dxfId="21195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38"/>
          </reference>
          <reference field="33" count="1">
            <x v="4"/>
          </reference>
        </references>
      </pivotArea>
    </format>
    <format dxfId="21194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>
            <x v="63"/>
          </reference>
        </references>
      </pivotArea>
    </format>
    <format dxfId="21193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120"/>
          </reference>
          <reference field="33" count="1">
            <x v="4"/>
          </reference>
        </references>
      </pivotArea>
    </format>
    <format dxfId="2119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31"/>
          </reference>
          <reference field="33" count="1">
            <x v="4"/>
          </reference>
        </references>
      </pivotArea>
    </format>
    <format dxfId="2119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>
            <x v="14"/>
          </reference>
        </references>
      </pivotArea>
    </format>
    <format dxfId="2119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46"/>
          </reference>
          <reference field="33" count="1">
            <x v="4"/>
          </reference>
        </references>
      </pivotArea>
    </format>
    <format dxfId="21189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31"/>
          </reference>
          <reference field="33" count="1">
            <x v="4"/>
          </reference>
        </references>
      </pivotArea>
    </format>
    <format dxfId="21188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>
            <x v="15"/>
          </reference>
        </references>
      </pivotArea>
    </format>
    <format dxfId="21187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42"/>
          </reference>
          <reference field="33" count="1">
            <x v="4"/>
          </reference>
        </references>
      </pivotArea>
    </format>
    <format dxfId="21186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85"/>
          </reference>
          <reference field="33" count="1">
            <x v="4"/>
          </reference>
        </references>
      </pivotArea>
    </format>
    <format dxfId="21185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>
            <x v="64"/>
          </reference>
        </references>
      </pivotArea>
    </format>
    <format dxfId="21184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81"/>
          </reference>
          <reference field="33" count="1">
            <x v="4"/>
          </reference>
        </references>
      </pivotArea>
    </format>
    <format dxfId="21183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>
            <x v="64"/>
          </reference>
        </references>
      </pivotArea>
    </format>
    <format dxfId="21182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83"/>
          </reference>
          <reference field="33" count="1">
            <x v="4"/>
          </reference>
        </references>
      </pivotArea>
    </format>
    <format dxfId="2118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2"/>
          </reference>
          <reference field="31" count="0" selected="0"/>
          <reference field="32" count="1" selected="0">
            <x v="158"/>
          </reference>
          <reference field="33" count="1">
            <x v="4"/>
          </reference>
        </references>
      </pivotArea>
    </format>
    <format dxfId="2118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>
            <x v="16"/>
          </reference>
        </references>
      </pivotArea>
    </format>
    <format dxfId="2117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2"/>
          </reference>
          <reference field="31" count="0" selected="0"/>
          <reference field="32" count="1" selected="0">
            <x v="155"/>
          </reference>
          <reference field="33" count="1">
            <x v="4"/>
          </reference>
        </references>
      </pivotArea>
    </format>
    <format dxfId="2117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>
            <x v="16"/>
          </reference>
        </references>
      </pivotArea>
    </format>
    <format dxfId="2117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65"/>
          </reference>
          <reference field="33" count="1">
            <x v="4"/>
          </reference>
        </references>
      </pivotArea>
    </format>
    <format dxfId="2117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2"/>
          </reference>
          <reference field="31" count="0" selected="0"/>
          <reference field="32" count="1" selected="0">
            <x v="168"/>
          </reference>
          <reference field="33" count="1">
            <x v="4"/>
          </reference>
        </references>
      </pivotArea>
    </format>
    <format dxfId="2117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>
            <x v="16"/>
          </reference>
        </references>
      </pivotArea>
    </format>
    <format dxfId="2117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63"/>
          </reference>
          <reference field="33" count="1">
            <x v="4"/>
          </reference>
        </references>
      </pivotArea>
    </format>
    <format dxfId="2117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0"/>
          </reference>
          <reference field="33" count="1">
            <x v="4"/>
          </reference>
        </references>
      </pivotArea>
    </format>
    <format dxfId="21172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21"/>
          </reference>
          <reference field="33" count="1">
            <x v="4"/>
          </reference>
        </references>
      </pivotArea>
    </format>
    <format dxfId="21171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>
            <x v="4"/>
          </reference>
        </references>
      </pivotArea>
    </format>
    <format dxfId="21170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>
            <x v="66"/>
          </reference>
        </references>
      </pivotArea>
    </format>
    <format dxfId="21169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7">
            <x v="2"/>
            <x v="3"/>
            <x v="4"/>
            <x v="6"/>
            <x v="7"/>
            <x v="10"/>
            <x v="31"/>
          </reference>
        </references>
      </pivotArea>
    </format>
    <format dxfId="21168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4">
            <x v="2"/>
            <x v="3"/>
            <x v="4"/>
            <x v="5"/>
            <x v="6"/>
            <x v="7"/>
            <x v="16"/>
            <x v="17"/>
            <x v="22"/>
            <x v="31"/>
            <x v="48"/>
            <x v="49"/>
            <x v="55"/>
            <x v="57"/>
          </reference>
        </references>
      </pivotArea>
    </format>
    <format dxfId="21167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9">
            <x v="1"/>
            <x v="3"/>
            <x v="4"/>
            <x v="5"/>
            <x v="6"/>
            <x v="7"/>
            <x v="8"/>
            <x v="9"/>
            <x v="17"/>
            <x v="18"/>
            <x v="24"/>
            <x v="27"/>
            <x v="29"/>
            <x v="31"/>
            <x v="46"/>
            <x v="48"/>
            <x v="49"/>
            <x v="55"/>
            <x v="57"/>
          </reference>
        </references>
      </pivotArea>
    </format>
    <format dxfId="21166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5">
            <x v="9"/>
            <x v="10"/>
            <x v="14"/>
            <x v="29"/>
            <x v="55"/>
          </reference>
        </references>
      </pivotArea>
    </format>
    <format dxfId="21165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6">
            <x v="13"/>
            <x v="26"/>
            <x v="29"/>
            <x v="30"/>
            <x v="37"/>
            <x v="56"/>
          </reference>
        </references>
      </pivotArea>
    </format>
    <format dxfId="21164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5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31"/>
            <x v="49"/>
            <x v="52"/>
            <x v="55"/>
          </reference>
        </references>
      </pivotArea>
    </format>
    <format dxfId="21163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8">
            <x v="9"/>
            <x v="10"/>
            <x v="14"/>
            <x v="17"/>
            <x v="29"/>
            <x v="49"/>
            <x v="52"/>
            <x v="55"/>
          </reference>
        </references>
      </pivotArea>
    </format>
    <format dxfId="21162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9">
            <x v="3"/>
            <x v="4"/>
            <x v="5"/>
            <x v="6"/>
            <x v="7"/>
            <x v="8"/>
            <x v="17"/>
            <x v="31"/>
            <x v="49"/>
          </reference>
        </references>
      </pivotArea>
    </format>
    <format dxfId="21161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8">
            <x v="17"/>
            <x v="18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  <x v="55"/>
          </reference>
        </references>
      </pivotArea>
    </format>
    <format dxfId="21160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20">
            <x v="17"/>
            <x v="19"/>
            <x v="20"/>
            <x v="21"/>
            <x v="22"/>
            <x v="26"/>
            <x v="27"/>
            <x v="29"/>
            <x v="40"/>
            <x v="41"/>
            <x v="42"/>
            <x v="43"/>
            <x v="44"/>
            <x v="47"/>
            <x v="51"/>
            <x v="52"/>
            <x v="53"/>
            <x v="54"/>
            <x v="55"/>
            <x v="57"/>
          </reference>
        </references>
      </pivotArea>
    </format>
    <format dxfId="21159">
      <pivotArea dataOnly="0" labelOnly="1" outline="0" fieldPosition="0">
        <references count="5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7">
            <x v="22"/>
            <x v="23"/>
            <x v="24"/>
            <x v="29"/>
            <x v="42"/>
            <x v="49"/>
            <x v="55"/>
          </reference>
        </references>
      </pivotArea>
    </format>
    <format dxfId="21158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2">
            <x v="10"/>
            <x v="13"/>
            <x v="17"/>
            <x v="25"/>
            <x v="29"/>
            <x v="41"/>
            <x v="42"/>
            <x v="44"/>
            <x v="49"/>
            <x v="52"/>
            <x v="54"/>
            <x v="55"/>
          </reference>
        </references>
      </pivotArea>
    </format>
    <format dxfId="21157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0">
            <x v="13"/>
            <x v="17"/>
            <x v="18"/>
            <x v="23"/>
            <x v="24"/>
            <x v="26"/>
            <x v="29"/>
            <x v="48"/>
            <x v="54"/>
            <x v="55"/>
          </reference>
        </references>
      </pivotArea>
    </format>
    <format dxfId="21156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3">
            <x v="10"/>
            <x v="12"/>
            <x v="13"/>
            <x v="17"/>
            <x v="23"/>
            <x v="24"/>
            <x v="29"/>
            <x v="41"/>
            <x v="48"/>
            <x v="49"/>
            <x v="52"/>
            <x v="54"/>
            <x v="55"/>
          </reference>
        </references>
      </pivotArea>
    </format>
    <format dxfId="21155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6">
            <x v="17"/>
            <x v="23"/>
            <x v="24"/>
            <x v="29"/>
            <x v="49"/>
            <x v="55"/>
          </reference>
        </references>
      </pivotArea>
    </format>
    <format dxfId="21154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23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29"/>
            <x v="31"/>
            <x v="42"/>
            <x v="49"/>
            <x v="52"/>
            <x v="54"/>
            <x v="55"/>
            <x v="57"/>
          </reference>
        </references>
      </pivotArea>
    </format>
    <format dxfId="21153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2"/>
            <x v="13"/>
            <x v="23"/>
            <x v="24"/>
            <x v="26"/>
            <x v="31"/>
            <x v="49"/>
            <x v="52"/>
            <x v="54"/>
            <x v="55"/>
          </reference>
        </references>
      </pivotArea>
    </format>
    <format dxfId="21152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5">
            <x v="17"/>
            <x v="30"/>
            <x v="48"/>
            <x v="49"/>
            <x v="56"/>
          </reference>
        </references>
      </pivotArea>
    </format>
    <format dxfId="21151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22">
            <x v="3"/>
            <x v="4"/>
            <x v="5"/>
            <x v="6"/>
            <x v="7"/>
            <x v="8"/>
            <x v="10"/>
            <x v="11"/>
            <x v="13"/>
            <x v="15"/>
            <x v="17"/>
            <x v="18"/>
            <x v="30"/>
            <x v="31"/>
            <x v="45"/>
            <x v="46"/>
            <x v="47"/>
            <x v="48"/>
            <x v="49"/>
            <x v="50"/>
            <x v="56"/>
            <x v="57"/>
          </reference>
        </references>
      </pivotArea>
    </format>
    <format dxfId="21150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2">
            <x v="17"/>
            <x v="49"/>
          </reference>
        </references>
      </pivotArea>
    </format>
    <format dxfId="21149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21">
            <x v="3"/>
            <x v="4"/>
            <x v="5"/>
            <x v="6"/>
            <x v="7"/>
            <x v="10"/>
            <x v="11"/>
            <x v="12"/>
            <x v="13"/>
            <x v="17"/>
            <x v="22"/>
            <x v="23"/>
            <x v="24"/>
            <x v="26"/>
            <x v="30"/>
            <x v="31"/>
            <x v="47"/>
            <x v="49"/>
            <x v="53"/>
            <x v="55"/>
            <x v="56"/>
          </reference>
        </references>
      </pivotArea>
    </format>
    <format dxfId="21148">
      <pivotArea dataOnly="0" labelOnly="1" outline="0" fieldPosition="0">
        <references count="5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5">
            <x v="13"/>
            <x v="23"/>
            <x v="49"/>
            <x v="52"/>
            <x v="55"/>
          </reference>
        </references>
      </pivotArea>
    </format>
    <format dxfId="21147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3">
            <x v="17"/>
            <x v="26"/>
            <x v="28"/>
          </reference>
        </references>
      </pivotArea>
    </format>
    <format dxfId="21146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2">
            <x v="25"/>
            <x v="52"/>
          </reference>
        </references>
      </pivotArea>
    </format>
    <format dxfId="21145">
      <pivotArea dataOnly="0" labelOnly="1" outline="0" fieldPosition="0">
        <references count="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4">
            <x v="17"/>
            <x v="23"/>
            <x v="24"/>
            <x v="26"/>
          </reference>
        </references>
      </pivotArea>
    </format>
    <format dxfId="21144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5">
            <x v="17"/>
            <x v="25"/>
            <x v="46"/>
            <x v="50"/>
            <x v="52"/>
          </reference>
        </references>
      </pivotArea>
    </format>
    <format dxfId="21143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0">
            <x v="1"/>
            <x v="3"/>
            <x v="4"/>
            <x v="5"/>
            <x v="6"/>
            <x v="7"/>
            <x v="17"/>
            <x v="31"/>
            <x v="46"/>
            <x v="51"/>
          </reference>
        </references>
      </pivotArea>
    </format>
    <format dxfId="21142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4">
            <x v="16"/>
            <x v="26"/>
            <x v="49"/>
            <x v="53"/>
          </reference>
        </references>
      </pivotArea>
    </format>
    <format dxfId="21141">
      <pivotArea dataOnly="0" labelOnly="1" outline="0" fieldPosition="0">
        <references count="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4">
            <x v="26"/>
            <x v="29"/>
            <x v="54"/>
            <x v="55"/>
          </reference>
        </references>
      </pivotArea>
    </format>
    <format dxfId="21140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5">
            <x v="25"/>
            <x v="26"/>
            <x v="27"/>
            <x v="28"/>
            <x v="31"/>
          </reference>
        </references>
      </pivotArea>
    </format>
    <format dxfId="21139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4">
            <x v="25"/>
            <x v="26"/>
            <x v="52"/>
            <x v="53"/>
          </reference>
        </references>
      </pivotArea>
    </format>
    <format dxfId="21138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6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3"/>
            <x v="24"/>
            <x v="26"/>
            <x v="30"/>
            <x v="31"/>
            <x v="44"/>
            <x v="45"/>
            <x v="47"/>
            <x v="48"/>
            <x v="49"/>
            <x v="53"/>
            <x v="54"/>
            <x v="55"/>
            <x v="56"/>
          </reference>
        </references>
      </pivotArea>
    </format>
    <format dxfId="21137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20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22"/>
            <x v="23"/>
            <x v="24"/>
            <x v="29"/>
            <x v="31"/>
            <x v="44"/>
            <x v="49"/>
            <x v="53"/>
            <x v="55"/>
          </reference>
        </references>
      </pivotArea>
    </format>
    <format dxfId="21136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0">
            <x v="10"/>
            <x v="11"/>
            <x v="12"/>
            <x v="13"/>
            <x v="14"/>
            <x v="17"/>
            <x v="29"/>
            <x v="44"/>
            <x v="49"/>
            <x v="55"/>
          </reference>
        </references>
      </pivotArea>
    </format>
    <format dxfId="21135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1">
            <x v="10"/>
            <x v="11"/>
            <x v="12"/>
            <x v="13"/>
            <x v="14"/>
            <x v="17"/>
            <x v="23"/>
            <x v="29"/>
            <x v="44"/>
            <x v="49"/>
            <x v="55"/>
          </reference>
        </references>
      </pivotArea>
    </format>
    <format dxfId="21134">
      <pivotArea dataOnly="0" labelOnly="1" outline="0" fieldPosition="0">
        <references count="5">
          <reference field="25" count="0" selected="0"/>
          <reference field="26" count="1" selected="0">
            <x v="44"/>
          </reference>
          <reference field="27" count="0" selected="0"/>
          <reference field="28" count="0" selected="0"/>
          <reference field="29" count="1">
            <x v="12"/>
          </reference>
        </references>
      </pivotArea>
    </format>
    <format dxfId="21133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0">
            <x v="10"/>
            <x v="11"/>
            <x v="12"/>
            <x v="13"/>
            <x v="14"/>
            <x v="17"/>
            <x v="29"/>
            <x v="31"/>
            <x v="41"/>
            <x v="49"/>
          </reference>
        </references>
      </pivotArea>
    </format>
    <format dxfId="21132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3">
            <x v="10"/>
            <x v="11"/>
            <x v="12"/>
            <x v="13"/>
            <x v="14"/>
            <x v="17"/>
            <x v="23"/>
            <x v="29"/>
            <x v="31"/>
            <x v="44"/>
            <x v="49"/>
            <x v="55"/>
            <x v="57"/>
          </reference>
        </references>
      </pivotArea>
    </format>
    <format dxfId="21131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9"/>
            <x v="44"/>
            <x v="49"/>
          </reference>
        </references>
      </pivotArea>
    </format>
    <format dxfId="21130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5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24"/>
            <x v="29"/>
            <x v="31"/>
            <x v="49"/>
          </reference>
        </references>
      </pivotArea>
    </format>
    <format dxfId="21129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8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23"/>
            <x v="24"/>
            <x v="29"/>
            <x v="31"/>
            <x v="44"/>
            <x v="49"/>
            <x v="55"/>
          </reference>
        </references>
      </pivotArea>
    </format>
    <format dxfId="21128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3">
            <x v="10"/>
            <x v="11"/>
            <x v="12"/>
            <x v="13"/>
            <x v="14"/>
            <x v="17"/>
            <x v="23"/>
            <x v="24"/>
            <x v="29"/>
            <x v="31"/>
            <x v="44"/>
            <x v="49"/>
            <x v="55"/>
          </reference>
        </references>
      </pivotArea>
    </format>
    <format dxfId="21127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2">
            <x v="10"/>
            <x v="11"/>
            <x v="12"/>
            <x v="13"/>
            <x v="14"/>
            <x v="17"/>
            <x v="22"/>
            <x v="23"/>
            <x v="29"/>
            <x v="44"/>
            <x v="49"/>
            <x v="55"/>
          </reference>
        </references>
      </pivotArea>
    </format>
    <format dxfId="21126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1">
            <x v="10"/>
            <x v="11"/>
            <x v="12"/>
            <x v="13"/>
            <x v="14"/>
            <x v="17"/>
            <x v="23"/>
            <x v="29"/>
            <x v="41"/>
            <x v="44"/>
            <x v="49"/>
          </reference>
        </references>
      </pivotArea>
    </format>
    <format dxfId="21125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8">
            <x v="11"/>
            <x v="13"/>
            <x v="17"/>
            <x v="23"/>
            <x v="29"/>
            <x v="41"/>
            <x v="42"/>
            <x v="55"/>
          </reference>
        </references>
      </pivotArea>
    </format>
    <format dxfId="21124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9">
            <x v="11"/>
            <x v="13"/>
            <x v="14"/>
            <x v="17"/>
            <x v="22"/>
            <x v="29"/>
            <x v="41"/>
            <x v="44"/>
            <x v="55"/>
          </reference>
        </references>
      </pivotArea>
    </format>
    <format dxfId="21123">
      <pivotArea dataOnly="0" labelOnly="1" outline="0" fieldPosition="0">
        <references count="6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122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>
            <x v="0"/>
          </reference>
        </references>
      </pivotArea>
    </format>
    <format dxfId="21121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1"/>
          </reference>
        </references>
      </pivotArea>
    </format>
    <format dxfId="21120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>
            <x v="0"/>
          </reference>
        </references>
      </pivotArea>
    </format>
    <format dxfId="21119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118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0"/>
          </reference>
        </references>
      </pivotArea>
    </format>
    <format dxfId="2111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0"/>
          </reference>
        </references>
      </pivotArea>
    </format>
    <format dxfId="2111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115">
      <pivotArea dataOnly="0" labelOnly="1" outline="0" fieldPosition="0">
        <references count="6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114">
      <pivotArea dataOnly="0" labelOnly="1" outline="0" fieldPosition="0">
        <references count="6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113">
      <pivotArea dataOnly="0" labelOnly="1" outline="0" fieldPosition="0">
        <references count="6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1"/>
          </reference>
        </references>
      </pivotArea>
    </format>
    <format dxfId="21112">
      <pivotArea dataOnly="0" labelOnly="1" outline="0" fieldPosition="0">
        <references count="6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111">
      <pivotArea dataOnly="0" labelOnly="1" outline="0" fieldPosition="0">
        <references count="6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110">
      <pivotArea dataOnly="0" labelOnly="1" outline="0" fieldPosition="0">
        <references count="6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10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1"/>
          </reference>
        </references>
      </pivotArea>
    </format>
    <format dxfId="2110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21107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9"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10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>
            <x v="2"/>
          </reference>
        </references>
      </pivotArea>
    </format>
    <format dxfId="2110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2">
            <x v="0"/>
            <x v="1"/>
          </reference>
        </references>
      </pivotArea>
    </format>
    <format dxfId="21104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2">
            <x v="0"/>
            <x v="1"/>
          </reference>
        </references>
      </pivotArea>
    </format>
    <format dxfId="21103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3">
            <x v="0"/>
            <x v="1"/>
            <x v="2"/>
          </reference>
        </references>
      </pivotArea>
    </format>
    <format dxfId="21102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>
            <x v="0"/>
          </reference>
        </references>
      </pivotArea>
    </format>
    <format dxfId="21101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2">
            <x v="1"/>
            <x v="2"/>
          </reference>
        </references>
      </pivotArea>
    </format>
    <format dxfId="2110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2109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>
            <x v="2"/>
          </reference>
        </references>
      </pivotArea>
    </format>
    <format dxfId="21098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3">
            <x v="0"/>
            <x v="1"/>
            <x v="2"/>
          </reference>
        </references>
      </pivotArea>
    </format>
    <format dxfId="21097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0"/>
          </reference>
        </references>
      </pivotArea>
    </format>
    <format dxfId="21096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2">
            <x v="8"/>
            <x v="9"/>
          </reference>
        </references>
      </pivotArea>
    </format>
    <format dxfId="21095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>
            <x v="0"/>
          </reference>
        </references>
      </pivotArea>
    </format>
    <format dxfId="21094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21093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21092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1091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1090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1"/>
          </reference>
        </references>
      </pivotArea>
    </format>
    <format dxfId="21089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0"/>
          </reference>
        </references>
      </pivotArea>
    </format>
    <format dxfId="21088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>
            <x v="1"/>
          </reference>
        </references>
      </pivotArea>
    </format>
    <format dxfId="21087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0"/>
          </reference>
        </references>
      </pivotArea>
    </format>
    <format dxfId="2108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0"/>
          </reference>
        </references>
      </pivotArea>
    </format>
    <format dxfId="21085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1"/>
          </reference>
        </references>
      </pivotArea>
    </format>
    <format dxfId="2108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0"/>
          </reference>
        </references>
      </pivotArea>
    </format>
    <format dxfId="2108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21082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2108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5">
            <x v="1"/>
            <x v="2"/>
            <x v="3"/>
            <x v="4"/>
            <x v="5"/>
          </reference>
        </references>
      </pivotArea>
    </format>
    <format dxfId="2108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1"/>
          </reference>
        </references>
      </pivotArea>
    </format>
    <format dxfId="2107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2"/>
          </reference>
        </references>
      </pivotArea>
    </format>
    <format dxfId="2107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>
            <x v="1"/>
          </reference>
        </references>
      </pivotArea>
    </format>
    <format dxfId="2107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2">
            <x v="0"/>
            <x v="1"/>
          </reference>
        </references>
      </pivotArea>
    </format>
    <format dxfId="2107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7"/>
          </reference>
        </references>
      </pivotArea>
    </format>
    <format dxfId="2107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21074">
      <pivotArea dataOnly="0" labelOnly="1" outline="0" fieldPosition="0">
        <references count="6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073">
      <pivotArea dataOnly="0" labelOnly="1" outline="0" fieldPosition="0">
        <references count="6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072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3">
            <x v="1"/>
            <x v="2"/>
            <x v="3"/>
          </reference>
        </references>
      </pivotArea>
    </format>
    <format dxfId="21071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3"/>
          </reference>
        </references>
      </pivotArea>
    </format>
    <format dxfId="2107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2106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2106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>
            <x v="1"/>
          </reference>
        </references>
      </pivotArea>
    </format>
    <format dxfId="21067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21066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2106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2106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2">
            <x v="0"/>
            <x v="1"/>
          </reference>
        </references>
      </pivotArea>
    </format>
    <format dxfId="2106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4">
            <x v="0"/>
            <x v="1"/>
            <x v="3"/>
            <x v="4"/>
          </reference>
        </references>
      </pivotArea>
    </format>
    <format dxfId="2106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061">
      <pivotArea dataOnly="0" labelOnly="1" outline="0" fieldPosition="0">
        <references count="6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1"/>
          </reference>
        </references>
      </pivotArea>
    </format>
    <format dxfId="21060">
      <pivotArea dataOnly="0" labelOnly="1" outline="0" fieldPosition="0">
        <references count="6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21059">
      <pivotArea dataOnly="0" labelOnly="1" outline="0" fieldPosition="0">
        <references count="6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058">
      <pivotArea dataOnly="0" labelOnly="1" outline="0" fieldPosition="0">
        <references count="6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21057">
      <pivotArea dataOnly="0" labelOnly="1" outline="0" fieldPosition="0">
        <references count="6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1"/>
          </reference>
        </references>
      </pivotArea>
    </format>
    <format dxfId="21056">
      <pivotArea dataOnly="0" labelOnly="1" outline="0" fieldPosition="0">
        <references count="6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0"/>
          </reference>
        </references>
      </pivotArea>
    </format>
    <format dxfId="2105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05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0"/>
          </reference>
        </references>
      </pivotArea>
    </format>
    <format dxfId="2105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105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1"/>
            <x v="2"/>
            <x v="3"/>
            <x v="4"/>
          </reference>
        </references>
      </pivotArea>
    </format>
    <format dxfId="2105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2">
            <x v="1"/>
            <x v="2"/>
          </reference>
        </references>
      </pivotArea>
    </format>
    <format dxfId="2105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04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3">
            <x v="0"/>
            <x v="1"/>
            <x v="2"/>
          </reference>
        </references>
      </pivotArea>
    </format>
    <format dxfId="21048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104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104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104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104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104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04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104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104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103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1038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1037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036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1035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1034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1033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1032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2"/>
          </reference>
        </references>
      </pivotArea>
    </format>
    <format dxfId="2103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03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02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2">
            <x v="0"/>
            <x v="2"/>
          </reference>
        </references>
      </pivotArea>
    </format>
    <format dxfId="2102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102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102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102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1024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02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02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2">
            <x v="1"/>
            <x v="2"/>
          </reference>
        </references>
      </pivotArea>
    </format>
    <format dxfId="2102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2">
            <x v="0"/>
            <x v="1"/>
          </reference>
        </references>
      </pivotArea>
    </format>
    <format dxfId="2102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2101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0"/>
          </reference>
        </references>
      </pivotArea>
    </format>
    <format dxfId="21018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1017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1016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1015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1014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3">
            <x v="1"/>
            <x v="2"/>
            <x v="3"/>
          </reference>
        </references>
      </pivotArea>
    </format>
    <format dxfId="21013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1012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2">
            <x v="2"/>
            <x v="3"/>
          </reference>
        </references>
      </pivotArea>
    </format>
    <format dxfId="2101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1"/>
            <x v="2"/>
            <x v="3"/>
            <x v="4"/>
          </reference>
        </references>
      </pivotArea>
    </format>
    <format dxfId="2101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4">
            <x v="0"/>
            <x v="1"/>
            <x v="2"/>
            <x v="3"/>
          </reference>
        </references>
      </pivotArea>
    </format>
    <format dxfId="21009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008">
      <pivotArea dataOnly="0" labelOnly="1" outline="0" fieldPosition="0">
        <references count="2">
          <reference field="25" count="0" selected="0"/>
          <reference field="26" count="5">
            <x v="50"/>
            <x v="51"/>
            <x v="52"/>
            <x v="53"/>
            <x v="54"/>
          </reference>
        </references>
      </pivotArea>
    </format>
    <format dxfId="21007">
      <pivotArea field="29" type="button" dataOnly="0" labelOnly="1" outline="0" axis="axisRow" fieldPosition="4"/>
    </format>
    <format dxfId="21006">
      <pivotArea field="30" type="button" dataOnly="0" labelOnly="1" outline="0" axis="axisRow" fieldPosition="5"/>
    </format>
    <format dxfId="21005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21004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21003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21002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21001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21000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20999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20998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20997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20996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20995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20994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20993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20992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20991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20990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20989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20988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20987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20986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20985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20984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20983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20982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20981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20980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20979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20978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20977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20976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20975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20974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20973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20972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20971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20970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20969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20968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20967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20966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20965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20964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20963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20962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20961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20960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20959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20958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2095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2095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2095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2095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2095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2095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2095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2095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2094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2094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0947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2094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20945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20944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20943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20942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941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94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2093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2093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093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93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2093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2093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2093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20932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20931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2093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2092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2092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2092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926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2092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2092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2092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20922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20921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2092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91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2091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91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2091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2091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2091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91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91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2091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91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90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90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90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2090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2090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2090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90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90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2090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90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899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898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2089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2089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89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089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089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89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89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89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88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2088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88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88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88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884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88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88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88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088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87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87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87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2087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87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87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087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87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87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870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086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2086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2086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86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86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2086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2086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86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86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20860">
      <pivotArea field="26" type="button" dataOnly="0" labelOnly="1" outline="0" axis="axisRow" fieldPosition="1"/>
    </format>
    <format dxfId="20859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20858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20857">
      <pivotArea field="33" type="button" dataOnly="0" labelOnly="1" outline="0" axis="axisRow" fieldPosition="8"/>
    </format>
    <format dxfId="20856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20855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20854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20853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2085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2085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2085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2084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2084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2084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2084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2084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2084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2084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20842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20841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2084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2083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2083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2083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2083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2083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2083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2083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20832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20831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20830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20829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2082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2082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2082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2082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2082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2082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2082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2082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2082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2081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2081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2081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2081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2081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20814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2081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20812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20811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20810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20809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20808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2080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2080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2080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2080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2080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2080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2080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2080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2079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2079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2079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2079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20795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20794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2079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2079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2079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2079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2078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20788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20787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20786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20785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20784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20783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20782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20781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20780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20779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20778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20777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20776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20775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20774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20773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20772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20771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20770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20769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20768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20767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20766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20765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20764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2076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2076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2076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2076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2075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2075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2075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2075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2075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2075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2075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2075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2075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2075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2074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2074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2074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20746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20745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20744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20743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20742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20741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20740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2073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20738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20737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20736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20735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20734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2073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2073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2073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2073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2072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2072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20727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20726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20725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20724">
      <pivotArea field="36" type="button" dataOnly="0" labelOnly="1" outline="0" axis="axisRow" fieldPosition="11"/>
    </format>
    <format dxfId="2072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72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2072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072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2071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071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71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071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71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2071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071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2071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2071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2071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70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70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2070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2070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2070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70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70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70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2070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2070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2069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069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2069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69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69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69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69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2069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2069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069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2068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68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068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2068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2068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068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068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068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2068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68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2067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67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2067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2067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2067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20674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2067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2067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67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67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66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66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66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2066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066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66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2066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066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66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066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065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2065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657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065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2065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20654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2065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065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2065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2065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64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064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2064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2064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2064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2064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2064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2064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2064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2064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2063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2063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2063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2063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2063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2063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2063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2063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2063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2063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2062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2062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2062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2062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2062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2062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2062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2062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62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2062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61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61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061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2061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2061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61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61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2061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2061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61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2060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060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607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60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60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060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60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60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060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60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9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59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59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59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2059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2059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59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059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59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2059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058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2058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058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2058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2058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058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58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2058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58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58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7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57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57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57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57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57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57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057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57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2057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2056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56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56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56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6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56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56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56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56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2056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55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55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55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2055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55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55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55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55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55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55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054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54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54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054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4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544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54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2054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4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54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53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53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53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53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053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53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53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53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053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53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529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528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20527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2052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2052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2052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052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52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2052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0520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519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2051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51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2051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2051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51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2051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1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51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51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50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0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2050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50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50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050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50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2050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50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50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49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049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49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2049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49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49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49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49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49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49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48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48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2048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48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48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48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048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48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2048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48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47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2047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47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047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47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047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2047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2047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2047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47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046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2046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2046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46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046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046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46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46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046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46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045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458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045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2045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45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045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45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45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45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2045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44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2044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044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2044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44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044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44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44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44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44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43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43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2043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2043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43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43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2043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43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43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43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42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42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42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2042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42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42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42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042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2042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042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041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41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2041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41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2041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2041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041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41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041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41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040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40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40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2040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040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40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40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040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040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400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39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039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39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039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039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039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2039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39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391">
      <pivotArea field="37" type="button" dataOnly="0" labelOnly="1" outline="0" axis="axisRow" fieldPosition="12"/>
    </format>
    <format dxfId="2039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2038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2038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2038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8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2038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038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2038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2038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2038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2038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20379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378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20377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2037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7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37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2037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2037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2037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2037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2036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2036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2036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2036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6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20364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20363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2036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6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2036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35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2035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2035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2035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2035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2035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2035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2035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2035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2035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2034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2034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2034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2034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2034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2034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2034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20342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0341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20340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2033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2033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2033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2033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3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33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2033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33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033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2033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2032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2032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2032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2032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2032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2032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2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32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2032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32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2031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1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31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31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031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2031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31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2031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31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2031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30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2030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30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2030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2030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2030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30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20302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2030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30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2029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2029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29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29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2029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2029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29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2029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20291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0290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20289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20288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20287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20286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0285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284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0283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20282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0281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28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2027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2027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2027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2027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2027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27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27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27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27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027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2026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2026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2026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2026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026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2026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2026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2026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2026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2026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25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25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2025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025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2025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025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2025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2025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2025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2025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2024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024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024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024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2024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20244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0243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0242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024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2024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23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023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023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0236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0235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2023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23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23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23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023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022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022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022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022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022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22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022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22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022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2022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2021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2021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2021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021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021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021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021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021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021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021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020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020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2020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2020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2020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020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2020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020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2020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0200">
      <pivotArea type="all" dataOnly="0" outline="0" fieldPosition="0"/>
    </format>
    <format dxfId="20199">
      <pivotArea outline="0" collapsedLevelsAreSubtotals="1" fieldPosition="0"/>
    </format>
    <format dxfId="20198">
      <pivotArea field="25" type="button" dataOnly="0" labelOnly="1" outline="0" axis="axisRow" fieldPosition="0"/>
    </format>
    <format dxfId="20197">
      <pivotArea field="26" type="button" dataOnly="0" labelOnly="1" outline="0" axis="axisRow" fieldPosition="1"/>
    </format>
    <format dxfId="20196">
      <pivotArea field="27" type="button" dataOnly="0" labelOnly="1" outline="0" axis="axisRow" fieldPosition="2"/>
    </format>
    <format dxfId="20195">
      <pivotArea field="28" type="button" dataOnly="0" labelOnly="1" outline="0" axis="axisRow" fieldPosition="3"/>
    </format>
    <format dxfId="20194">
      <pivotArea field="29" type="button" dataOnly="0" labelOnly="1" outline="0" axis="axisRow" fieldPosition="4"/>
    </format>
    <format dxfId="20193">
      <pivotArea field="30" type="button" dataOnly="0" labelOnly="1" outline="0" axis="axisRow" fieldPosition="5"/>
    </format>
    <format dxfId="20192">
      <pivotArea field="31" type="button" dataOnly="0" labelOnly="1" outline="0" axis="axisRow" fieldPosition="6"/>
    </format>
    <format dxfId="20191">
      <pivotArea field="32" type="button" dataOnly="0" labelOnly="1" outline="0" axis="axisRow" fieldPosition="7"/>
    </format>
    <format dxfId="20190">
      <pivotArea field="33" type="button" dataOnly="0" labelOnly="1" outline="0" axis="axisRow" fieldPosition="8"/>
    </format>
    <format dxfId="20189">
      <pivotArea field="34" type="button" dataOnly="0" labelOnly="1" outline="0" axis="axisRow" fieldPosition="9"/>
    </format>
    <format dxfId="20188">
      <pivotArea field="35" type="button" dataOnly="0" labelOnly="1" outline="0" axis="axisRow" fieldPosition="10"/>
    </format>
    <format dxfId="20187">
      <pivotArea field="36" type="button" dataOnly="0" labelOnly="1" outline="0" axis="axisRow" fieldPosition="11"/>
    </format>
    <format dxfId="20186">
      <pivotArea field="37" type="button" dataOnly="0" labelOnly="1" outline="0" axis="axisRow" fieldPosition="12"/>
    </format>
    <format dxfId="20185">
      <pivotArea field="38" type="button" dataOnly="0" labelOnly="1" outline="0" axis="axisRow" fieldPosition="13"/>
    </format>
    <format dxfId="20184">
      <pivotArea field="39" type="button" dataOnly="0" labelOnly="1" outline="0" axis="axisRow" fieldPosition="14"/>
    </format>
    <format dxfId="20183">
      <pivotArea dataOnly="0" labelOnly="1" outline="0" fieldPosition="0">
        <references count="1">
          <reference field="25" count="0"/>
        </references>
      </pivotArea>
    </format>
    <format dxfId="20182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20181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20180">
      <pivotArea dataOnly="0" labelOnly="1" outline="0" fieldPosition="0">
        <references count="3">
          <reference field="25" count="0" selected="0"/>
          <reference field="26" count="1" selected="0">
            <x v="0"/>
          </reference>
          <reference field="27" count="0"/>
        </references>
      </pivotArea>
    </format>
    <format dxfId="20179">
      <pivotArea dataOnly="0" labelOnly="1" outline="0" fieldPosition="0">
        <references count="4">
          <reference field="25" count="0" selected="0"/>
          <reference field="26" count="1" selected="0">
            <x v="0"/>
          </reference>
          <reference field="27" count="0" selected="0"/>
          <reference field="28" count="0"/>
        </references>
      </pivotArea>
    </format>
    <format dxfId="20178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20177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20176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20175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20174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20173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20172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20171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20170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20169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20168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20167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20166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20165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20164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20163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20162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20161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20160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20159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20158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20157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20156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20155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20154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20153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20152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20151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20150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20149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20148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20147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20146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20145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20144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20143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20142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20141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20140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20139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20138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20137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20136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20135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20134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20133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20132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20131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20130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2012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2012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2012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20126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2012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2012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2012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2012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20121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012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2011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20118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20117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2011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20115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11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11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2011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2011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011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10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2010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2010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2010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20105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2010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20103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2010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2010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2010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099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20098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2009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2009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20095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2009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2009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09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2009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9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2008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2008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2008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08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08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2008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08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8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08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08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2007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20078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2007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07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075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2007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07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072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7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2007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2006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06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006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006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06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6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06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062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2006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6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05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058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05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05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5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05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005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05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05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5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2004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20048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2004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2004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2004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04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43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20042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2004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2004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2003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20038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2003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2003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2003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2003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20033">
      <pivotArea dataOnly="0" labelOnly="1" outline="0" fieldPosition="0">
        <references count="7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/>
        </references>
      </pivotArea>
    </format>
    <format dxfId="20032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20031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20030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20029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20028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20027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2002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20025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20024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20023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20022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20021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2002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2001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2001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2001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2001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2001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2001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2001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2001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2001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2001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2000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2000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2000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2000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2000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2000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2000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2000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2000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2000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19999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19998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19997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19996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19995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19994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1999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1999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999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999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998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998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1998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1998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1998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1998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1998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1998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1998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1998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19979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19978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19977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19976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19975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19974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19973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9972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9971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9970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996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1996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1996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1996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1996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1996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1996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996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1996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1996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1995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1995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1995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1995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1995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1995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1995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1995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1995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1995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1994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1994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1994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1994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1994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994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1994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1994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1994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1994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1993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1993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1993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1993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1993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1993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1993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1993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1993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1993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19929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19928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19927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19926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19925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19924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19923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19922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1992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19920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19919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19918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19917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19916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19915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19914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19913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19912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19911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19910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19909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1990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1990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1990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1990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1990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1990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1990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1990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1990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1989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1989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1989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1989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1989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1989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1989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1989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1989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1989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1988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1988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1988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1988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1988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1988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1988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1988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1988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1988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1987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1987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1987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19876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19875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19874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1987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1987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1987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1987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1986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1986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1986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1986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1986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1986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1986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1986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1986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1986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1985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1985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1985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1985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1985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1985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1985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19852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19851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1985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1984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1984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1984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1984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1984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1984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1984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1984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1984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1984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1983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1983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1983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19836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19835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19834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19833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19832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19831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19830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19829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19828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19827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19826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19825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19824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19823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9822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19821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19820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19819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1981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981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1981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19815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19814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19813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19812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19811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19810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19809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1980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980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1980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1980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1980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1980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980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1980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1980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1979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1979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1979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1979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1979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1979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1979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1979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1979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1979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1978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1978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1978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1978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1978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1978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1978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1978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1978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1978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1977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1977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1977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1977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1977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1977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1977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1977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1977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1977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1976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1976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1976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1976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1976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1976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1976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1976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1976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1976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19759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19758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19757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19756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19755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1975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1975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19752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19751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19750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19749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19748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19747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19746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19745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19744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1974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1974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1974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1974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1973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1973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1973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1973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1973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1973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1973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1973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1973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19730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19729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19728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19727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19726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1972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1972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1972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1972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1972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1972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1971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1971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1971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1971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1971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1971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1971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1971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1971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1971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1970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1970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1970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1970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1970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1970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1970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1970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1970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1970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1969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1969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1969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1969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1969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1969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1969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1969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1969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1969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1968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1968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1968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1968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1968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19684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19683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19682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19681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19680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1967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1967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1967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1967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1967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1967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1967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1967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1967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1967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1966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19668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19667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1966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19665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19664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19663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1966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1966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1966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1965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19658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9657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9656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9655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965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965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965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965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965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964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964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964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964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964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9644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9643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964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964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964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963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963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963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963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963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9634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9633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9632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9631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963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962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962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962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962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962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962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1962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1962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1962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1962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1961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1961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1961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19616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19615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19614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19613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19612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19611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19610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19609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19608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1960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1960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19605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1960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1960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1960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1960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19600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19599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1959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19597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19596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1959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1959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1959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1959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1959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959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9589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9588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9587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9586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9585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9584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9583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9582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9581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9580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9579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9578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9577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9576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9575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9574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9573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9572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9571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9570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9569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9568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9567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9566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956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956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956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956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956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956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955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955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955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955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955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955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955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955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955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955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954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954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954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9546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9545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9544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9543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9542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954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954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953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9538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9537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9536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953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953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953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953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953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953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9529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9528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9527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19526">
      <pivotArea dataOnly="0" labelOnly="1" outline="0" fieldPosition="0">
        <references count="10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/>
        </references>
      </pivotArea>
    </format>
    <format dxfId="19525">
      <pivotArea dataOnly="0" labelOnly="1" outline="0" fieldPosition="0">
        <references count="11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/>
        </references>
      </pivotArea>
    </format>
    <format dxfId="1952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52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952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952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952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951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51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951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951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951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951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951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9512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951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51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50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950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950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950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50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50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50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950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950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950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949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949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49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49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49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49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949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949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949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949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48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948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948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948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948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948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948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948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48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948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479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947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947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947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9475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9474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947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47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47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47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46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46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946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946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46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946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946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46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946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946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945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458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9457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945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9455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9454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945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945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945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45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944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944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944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944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944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944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944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944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944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944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943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943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943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943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943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943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943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943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943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943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942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942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942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942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942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942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942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42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9421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42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41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941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941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941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41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41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941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941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411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941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40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408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407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940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9405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40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40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940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40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40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39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39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39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939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939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39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939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39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939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939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938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938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938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938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938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38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938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38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38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38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37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37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37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937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37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937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937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37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937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9370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936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936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36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36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36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36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36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936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936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36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35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35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935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35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935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935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935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935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935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935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34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34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934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34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9345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9344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934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34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34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34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33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933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33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933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33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33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33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933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33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9330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329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9328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9327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9326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932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932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932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932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9321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320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9319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31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9317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931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31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931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31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31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31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31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30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930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30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30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930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930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930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30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30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30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929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29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929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29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29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929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29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29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29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29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928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928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28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28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28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28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28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928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28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28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927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27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27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27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927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927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927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927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27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27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926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926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26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926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26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264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26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26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26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26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259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258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925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25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925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25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25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25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925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25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924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24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9247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24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24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24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24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24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24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24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23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923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923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23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23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923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23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23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23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23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22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922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922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22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22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22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22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922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22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922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21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921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21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921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9215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21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21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21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21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921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20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20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920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20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20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20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920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920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201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20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19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19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19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19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19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919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19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19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919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919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918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8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918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918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918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918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9183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9182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918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180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9179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917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7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17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917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917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917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917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917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917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916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916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6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9166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9165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916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6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916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16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916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915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915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915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915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915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915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915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915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915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915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914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914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914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914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914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9144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9143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9142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9141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9140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913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913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3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13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913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13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913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913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913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913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912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912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912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9126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25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124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9123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12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912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2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11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11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911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911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11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911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11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911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11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911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10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910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910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910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10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910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910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102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910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910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09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09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909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909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09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909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9093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9092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9091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9090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9089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9088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9087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086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9085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9084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9083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082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908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908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9079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9078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907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07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07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07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07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907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907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907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906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906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906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906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906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906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906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906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06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06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905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905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905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905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905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905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905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905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905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905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904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904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904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9046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9045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9044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9043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9042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04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904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903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9038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9037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903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03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03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03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903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903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9030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902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902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902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02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9025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02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902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902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902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9020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901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901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901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901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901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901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901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901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901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901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900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900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900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900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900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900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900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9002">
      <pivotArea dataOnly="0" labelOnly="1" outline="0" fieldPosition="0">
        <references count="14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/>
        </references>
      </pivotArea>
    </format>
    <format dxfId="1900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900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899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7"/>
          </reference>
        </references>
      </pivotArea>
    </format>
    <format dxfId="1899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8"/>
          </reference>
        </references>
      </pivotArea>
    </format>
    <format dxfId="1899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99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99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99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99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99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99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99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98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7"/>
          </reference>
          <reference field="37" count="1" selected="0">
            <x v="1"/>
          </reference>
          <reference field="38" count="0" selected="0"/>
          <reference field="39" count="1">
            <x v="85"/>
          </reference>
        </references>
      </pivotArea>
    </format>
    <format dxfId="1898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898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898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898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898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144"/>
          </reference>
        </references>
      </pivotArea>
    </format>
    <format dxfId="1898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898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9"/>
          </reference>
        </references>
      </pivotArea>
    </format>
    <format dxfId="1898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1"/>
          </reference>
          <reference field="38" count="0" selected="0"/>
          <reference field="39" count="1">
            <x v="113"/>
          </reference>
        </references>
      </pivotArea>
    </format>
    <format dxfId="1898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1"/>
          </reference>
          <reference field="38" count="0" selected="0"/>
          <reference field="39" count="1">
            <x v="158"/>
          </reference>
        </references>
      </pivotArea>
    </format>
    <format dxfId="1897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 selected="0">
            <x v="13"/>
          </reference>
          <reference field="38" count="0" selected="0"/>
          <reference field="39" count="1">
            <x v="193"/>
          </reference>
        </references>
      </pivotArea>
    </format>
    <format dxfId="18978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8"/>
          </reference>
        </references>
      </pivotArea>
    </format>
    <format dxfId="18977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2"/>
          </reference>
          <reference field="38" count="0" selected="0"/>
          <reference field="39" count="1">
            <x v="172"/>
          </reference>
        </references>
      </pivotArea>
    </format>
    <format dxfId="18976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975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974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973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972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971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970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7"/>
          </reference>
          <reference field="37" count="1" selected="0">
            <x v="1"/>
          </reference>
          <reference field="38" count="0" selected="0"/>
          <reference field="39" count="1">
            <x v="108"/>
          </reference>
        </references>
      </pivotArea>
    </format>
    <format dxfId="1896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71"/>
          </reference>
        </references>
      </pivotArea>
    </format>
    <format dxfId="1896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96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96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96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96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96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96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96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96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1"/>
          </reference>
          <reference field="38" count="0" selected="0"/>
          <reference field="39" count="1">
            <x v="152"/>
          </reference>
        </references>
      </pivotArea>
    </format>
    <format dxfId="1895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895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895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2"/>
          </reference>
        </references>
      </pivotArea>
    </format>
    <format dxfId="1895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895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95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95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95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95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95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94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94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94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94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94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894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94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2"/>
          </reference>
          <reference field="38" count="0" selected="0"/>
          <reference field="39" count="1">
            <x v="151"/>
          </reference>
        </references>
      </pivotArea>
    </format>
    <format dxfId="1894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1894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1894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4"/>
          </reference>
        </references>
      </pivotArea>
    </format>
    <format dxfId="1893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893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893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93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893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893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893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893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893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893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1892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7"/>
          </reference>
        </references>
      </pivotArea>
    </format>
    <format dxfId="1892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92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75"/>
          </reference>
        </references>
      </pivotArea>
    </format>
    <format dxfId="1892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8925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18924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18923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8922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7"/>
          </reference>
        </references>
      </pivotArea>
    </format>
    <format dxfId="18921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8920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2"/>
          </reference>
          <reference field="37" count="1" selected="0">
            <x v="1"/>
          </reference>
          <reference field="38" count="0" selected="0"/>
          <reference field="39" count="1">
            <x v="156"/>
          </reference>
        </references>
      </pivotArea>
    </format>
    <format dxfId="18919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8"/>
          </reference>
          <reference field="37" count="1" selected="0">
            <x v="1"/>
          </reference>
          <reference field="38" count="0" selected="0"/>
          <reference field="39" count="1">
            <x v="42"/>
          </reference>
        </references>
      </pivotArea>
    </format>
    <format dxfId="18918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3"/>
          </reference>
          <reference field="37" count="1" selected="0">
            <x v="1"/>
          </reference>
          <reference field="38" count="0" selected="0"/>
          <reference field="39" count="1">
            <x v="13"/>
          </reference>
        </references>
      </pivotArea>
    </format>
    <format dxfId="18917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0"/>
          </reference>
        </references>
      </pivotArea>
    </format>
    <format dxfId="18916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6"/>
          </reference>
        </references>
      </pivotArea>
    </format>
    <format dxfId="18915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 selected="0">
            <x v="1"/>
          </reference>
          <reference field="38" count="0" selected="0"/>
          <reference field="39" count="1">
            <x v="6"/>
          </reference>
        </references>
      </pivotArea>
    </format>
    <format dxfId="18914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5"/>
          </reference>
        </references>
      </pivotArea>
    </format>
    <format dxfId="1891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91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91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91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90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90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90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90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90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90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90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90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890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1"/>
          </reference>
        </references>
      </pivotArea>
    </format>
    <format dxfId="1890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0"/>
          </reference>
        </references>
      </pivotArea>
    </format>
    <format dxfId="1889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 selected="0">
            <x v="1"/>
          </reference>
          <reference field="38" count="0" selected="0"/>
          <reference field="39" count="1">
            <x v="51"/>
          </reference>
        </references>
      </pivotArea>
    </format>
    <format dxfId="1889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889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89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889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889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889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1889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889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8890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"/>
          </reference>
          <reference field="38" count="0" selected="0"/>
          <reference field="39" count="1">
            <x v="148"/>
          </reference>
        </references>
      </pivotArea>
    </format>
    <format dxfId="18889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1"/>
          </reference>
        </references>
      </pivotArea>
    </format>
    <format dxfId="18888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9"/>
          </reference>
        </references>
      </pivotArea>
    </format>
    <format dxfId="18887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86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85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84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83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82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81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80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79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78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8877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8876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8875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8874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8873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872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8871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870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869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18868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18867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0"/>
          </reference>
        </references>
      </pivotArea>
    </format>
    <format dxfId="1886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1"/>
          </reference>
          <reference field="38" count="0" selected="0"/>
          <reference field="39" count="1">
            <x v="17"/>
          </reference>
        </references>
      </pivotArea>
    </format>
    <format dxfId="1886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 selected="0">
            <x v="1"/>
          </reference>
          <reference field="38" count="0" selected="0"/>
          <reference field="39" count="1">
            <x v="91"/>
          </reference>
        </references>
      </pivotArea>
    </format>
    <format dxfId="1886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32"/>
          </reference>
        </references>
      </pivotArea>
    </format>
    <format dxfId="1886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6"/>
          </reference>
          <reference field="37" count="1" selected="0">
            <x v="1"/>
          </reference>
          <reference field="38" count="0" selected="0"/>
          <reference field="39" count="1">
            <x v="169"/>
          </reference>
        </references>
      </pivotArea>
    </format>
    <format dxfId="1886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1886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 selected="0">
            <x v="1"/>
          </reference>
          <reference field="38" count="0" selected="0"/>
          <reference field="39" count="1">
            <x v="161"/>
          </reference>
        </references>
      </pivotArea>
    </format>
    <format dxfId="1886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2"/>
          </reference>
        </references>
      </pivotArea>
    </format>
    <format dxfId="1885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77"/>
          </reference>
        </references>
      </pivotArea>
    </format>
    <format dxfId="1885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9"/>
          </reference>
          <reference field="37" count="1" selected="0">
            <x v="1"/>
          </reference>
          <reference field="38" count="0" selected="0"/>
          <reference field="39" count="1">
            <x v="75"/>
          </reference>
        </references>
      </pivotArea>
    </format>
    <format dxfId="1885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0"/>
          </reference>
          <reference field="37" count="1" selected="0">
            <x v="1"/>
          </reference>
          <reference field="38" count="0" selected="0"/>
          <reference field="39" count="1">
            <x v="69"/>
          </reference>
        </references>
      </pivotArea>
    </format>
    <format dxfId="1885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1"/>
          </reference>
          <reference field="38" count="0" selected="0"/>
          <reference field="39" count="1">
            <x v="73"/>
          </reference>
        </references>
      </pivotArea>
    </format>
    <format dxfId="1885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2"/>
          </reference>
          <reference field="37" count="1" selected="0">
            <x v="1"/>
          </reference>
          <reference field="38" count="0" selected="0"/>
          <reference field="39" count="1">
            <x v="70"/>
          </reference>
        </references>
      </pivotArea>
    </format>
    <format dxfId="1885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3"/>
          </reference>
          <reference field="37" count="1" selected="0">
            <x v="1"/>
          </reference>
          <reference field="38" count="0" selected="0"/>
          <reference field="39" count="1">
            <x v="76"/>
          </reference>
        </references>
      </pivotArea>
    </format>
    <format dxfId="1885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4"/>
          </reference>
          <reference field="37" count="1" selected="0">
            <x v="1"/>
          </reference>
          <reference field="38" count="0" selected="0"/>
          <reference field="39" count="1">
            <x v="81"/>
          </reference>
        </references>
      </pivotArea>
    </format>
    <format dxfId="1885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5"/>
          </reference>
          <reference field="37" count="1" selected="0">
            <x v="1"/>
          </reference>
          <reference field="38" count="0" selected="0"/>
          <reference field="39" count="1">
            <x v="71"/>
          </reference>
        </references>
      </pivotArea>
    </format>
    <format dxfId="1885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6"/>
          </reference>
          <reference field="37" count="1" selected="0">
            <x v="1"/>
          </reference>
          <reference field="38" count="0" selected="0"/>
          <reference field="39" count="1">
            <x v="34"/>
          </reference>
        </references>
      </pivotArea>
    </format>
    <format dxfId="1885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7"/>
          </reference>
          <reference field="37" count="1" selected="0">
            <x v="1"/>
          </reference>
          <reference field="38" count="0" selected="0"/>
          <reference field="39" count="1">
            <x v="74"/>
          </reference>
        </references>
      </pivotArea>
    </format>
    <format dxfId="1884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8"/>
          </reference>
          <reference field="37" count="1" selected="0">
            <x v="1"/>
          </reference>
          <reference field="38" count="0" selected="0"/>
          <reference field="39" count="1">
            <x v="78"/>
          </reference>
        </references>
      </pivotArea>
    </format>
    <format dxfId="1884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2"/>
          </reference>
          <reference field="38" count="0" selected="0"/>
          <reference field="39" count="1">
            <x v="72"/>
          </reference>
        </references>
      </pivotArea>
    </format>
    <format dxfId="1884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136"/>
          </reference>
        </references>
      </pivotArea>
    </format>
    <format dxfId="1884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1"/>
          </reference>
          <reference field="38" count="0" selected="0"/>
          <reference field="39" count="1">
            <x v="92"/>
          </reference>
        </references>
      </pivotArea>
    </format>
    <format dxfId="1884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2"/>
          </reference>
          <reference field="38" count="0" selected="0"/>
          <reference field="39" count="1">
            <x v="80"/>
          </reference>
        </references>
      </pivotArea>
    </format>
    <format dxfId="1884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3"/>
          </reference>
          <reference field="38" count="0" selected="0"/>
          <reference field="39" count="1">
            <x v="79"/>
          </reference>
        </references>
      </pivotArea>
    </format>
    <format dxfId="1884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1884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1884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4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 selected="0">
            <x v="31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 selected="0">
            <x v="317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 selected="0">
            <x v="31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 selected="0">
            <x v="315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 selected="0">
            <x v="316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 selected="0">
            <x v="31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883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 selected="0">
            <x v="1"/>
          </reference>
          <reference field="38" count="0" selected="0"/>
          <reference field="39" count="1">
            <x v="12"/>
          </reference>
        </references>
      </pivotArea>
    </format>
    <format dxfId="1883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1883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1882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1882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1882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 selected="0">
            <x v="1"/>
          </reference>
          <reference field="38" count="0" selected="0"/>
          <reference field="39" count="1">
            <x v="93"/>
          </reference>
        </references>
      </pivotArea>
    </format>
    <format dxfId="1882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2"/>
          </reference>
          <reference field="38" count="0" selected="0"/>
          <reference field="39" count="1">
            <x v="95"/>
          </reference>
        </references>
      </pivotArea>
    </format>
    <format dxfId="1882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 selected="0">
            <x v="1"/>
          </reference>
          <reference field="38" count="0" selected="0"/>
          <reference field="39" count="1">
            <x v="33"/>
          </reference>
        </references>
      </pivotArea>
    </format>
    <format dxfId="1882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1"/>
          </reference>
          <reference field="37" count="1" selected="0">
            <x v="1"/>
          </reference>
          <reference field="38" count="0" selected="0"/>
          <reference field="39" count="1">
            <x v="15"/>
          </reference>
        </references>
      </pivotArea>
    </format>
    <format dxfId="1882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4"/>
          </reference>
        </references>
      </pivotArea>
    </format>
    <format dxfId="1882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8821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18820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 selected="0">
            <x v="1"/>
          </reference>
          <reference field="38" count="0" selected="0"/>
          <reference field="39" count="1">
            <x v="45"/>
          </reference>
        </references>
      </pivotArea>
    </format>
    <format dxfId="18819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3"/>
          </reference>
        </references>
      </pivotArea>
    </format>
    <format dxfId="18818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8817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2"/>
          </reference>
        </references>
      </pivotArea>
    </format>
    <format dxfId="18816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0"/>
          </reference>
        </references>
      </pivotArea>
    </format>
    <format dxfId="18815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8814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5"/>
          </reference>
          <reference field="37" count="1" selected="0">
            <x v="1"/>
          </reference>
          <reference field="38" count="0" selected="0"/>
          <reference field="39" count="1">
            <x v="177"/>
          </reference>
        </references>
      </pivotArea>
    </format>
    <format dxfId="18813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8812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7"/>
          </reference>
        </references>
      </pivotArea>
    </format>
    <format dxfId="18811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8"/>
          </reference>
        </references>
      </pivotArea>
    </format>
    <format dxfId="18810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18809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1"/>
          </reference>
        </references>
      </pivotArea>
    </format>
    <format dxfId="18808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8"/>
          </reference>
        </references>
      </pivotArea>
    </format>
    <format dxfId="18807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7"/>
          </reference>
        </references>
      </pivotArea>
    </format>
    <format dxfId="18806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805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5"/>
          </reference>
        </references>
      </pivotArea>
    </format>
    <format dxfId="18804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880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80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80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80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79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79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79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79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79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79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79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879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3"/>
          </reference>
          <reference field="38" count="0" selected="0"/>
          <reference field="39" count="1">
            <x v="174"/>
          </reference>
        </references>
      </pivotArea>
    </format>
    <format dxfId="1879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4"/>
          </reference>
          <reference field="38" count="0" selected="0"/>
          <reference field="39" count="1">
            <x v="50"/>
          </reference>
        </references>
      </pivotArea>
    </format>
    <format dxfId="1879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3"/>
          </reference>
        </references>
      </pivotArea>
    </format>
    <format dxfId="1878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878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878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1"/>
          </reference>
          <reference field="38" count="0" selected="0"/>
          <reference field="39" count="1">
            <x v="49"/>
          </reference>
        </references>
      </pivotArea>
    </format>
    <format dxfId="1878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6"/>
          </reference>
        </references>
      </pivotArea>
    </format>
    <format dxfId="1878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878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5"/>
          </reference>
          <reference field="38" count="0" selected="0"/>
          <reference field="39" count="1">
            <x v="47"/>
          </reference>
        </references>
      </pivotArea>
    </format>
    <format dxfId="1878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2"/>
          </reference>
          <reference field="38" count="0" selected="0"/>
          <reference field="39" count="1">
            <x v="48"/>
          </reference>
        </references>
      </pivotArea>
    </format>
    <format dxfId="1878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3"/>
          </reference>
        </references>
      </pivotArea>
    </format>
    <format dxfId="1878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1"/>
          </reference>
          <reference field="38" count="0" selected="0"/>
          <reference field="39" count="1">
            <x v="40"/>
          </reference>
        </references>
      </pivotArea>
    </format>
    <format dxfId="1878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2"/>
          </reference>
          <reference field="38" count="0" selected="0"/>
          <reference field="39" count="1">
            <x v="41"/>
          </reference>
        </references>
      </pivotArea>
    </format>
    <format dxfId="1877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877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11"/>
          </reference>
        </references>
      </pivotArea>
    </format>
    <format dxfId="1877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877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877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77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10"/>
          </reference>
        </references>
      </pivotArea>
    </format>
    <format dxfId="1877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877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52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877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877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76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76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76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76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76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76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76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76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76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76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75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875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7"/>
          </reference>
        </references>
      </pivotArea>
    </format>
    <format dxfId="1875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9"/>
          </reference>
        </references>
      </pivotArea>
    </format>
    <format dxfId="1875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3"/>
          </reference>
        </references>
      </pivotArea>
    </format>
    <format dxfId="1875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875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20"/>
          </reference>
        </references>
      </pivotArea>
    </format>
    <format dxfId="18753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8752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8751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8750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6"/>
          </reference>
        </references>
      </pivotArea>
    </format>
    <format dxfId="1874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74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74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74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74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74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74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74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74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74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73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73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73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1873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873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1873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1"/>
          </reference>
          <reference field="37" count="1" selected="0">
            <x v="1"/>
          </reference>
          <reference field="38" count="0" selected="0"/>
          <reference field="39" count="1">
            <x v="96"/>
          </reference>
        </references>
      </pivotArea>
    </format>
    <format dxfId="1873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873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873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873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872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872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872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872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872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872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4"/>
          </reference>
        </references>
      </pivotArea>
    </format>
    <format dxfId="1872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872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9"/>
          </reference>
        </references>
      </pivotArea>
    </format>
    <format dxfId="1872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87"/>
          </reference>
        </references>
      </pivotArea>
    </format>
    <format dxfId="1872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5"/>
          </reference>
        </references>
      </pivotArea>
    </format>
    <format dxfId="1871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871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71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8716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8715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8714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9"/>
          </reference>
          <reference field="38" count="0" selected="0"/>
          <reference field="39" count="1">
            <x v="153"/>
          </reference>
        </references>
      </pivotArea>
    </format>
    <format dxfId="1871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71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71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71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70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70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70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70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70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70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70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70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870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870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869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69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8"/>
          </reference>
        </references>
      </pivotArea>
    </format>
    <format dxfId="1869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869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8"/>
          </reference>
        </references>
      </pivotArea>
    </format>
    <format dxfId="1869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1869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8693">
      <pivotArea dataOnly="0" labelOnly="1" outline="0" fieldPosition="0">
        <references count="1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8692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18691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8690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18689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18688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8687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18686">
      <pivotArea dataOnly="0" labelOnly="1" outline="0" fieldPosition="0">
        <references count="1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8685">
      <pivotArea dataOnly="0" labelOnly="1" outline="0" fieldPosition="0">
        <references count="1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4"/>
          </reference>
        </references>
      </pivotArea>
    </format>
    <format dxfId="18684">
      <pivotArea dataOnly="0" labelOnly="1" outline="0" fieldPosition="0">
        <references count="15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8683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9"/>
          </reference>
        </references>
      </pivotArea>
    </format>
    <format dxfId="18682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8681">
      <pivotArea dataOnly="0" labelOnly="1" outline="0" fieldPosition="0">
        <references count="15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 selected="0">
            <x v="2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8680">
      <pivotArea dataOnly="0" labelOnly="1" outline="0" fieldPosition="0">
        <references count="1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6"/>
          </reference>
        </references>
      </pivotArea>
    </format>
    <format dxfId="18679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18678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8677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18676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8675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 selected="0">
            <x v="1"/>
          </reference>
          <reference field="38" count="0" selected="0"/>
          <reference field="39" count="1">
            <x v="3"/>
          </reference>
        </references>
      </pivotArea>
    </format>
    <format dxfId="18674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67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672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671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867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87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866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86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866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85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8667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8666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5"/>
          </reference>
        </references>
      </pivotArea>
    </format>
    <format dxfId="18665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1"/>
          </reference>
          <reference field="38" count="0" selected="0"/>
          <reference field="39" count="1">
            <x v="135"/>
          </reference>
        </references>
      </pivotArea>
    </format>
    <format dxfId="18664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5"/>
          </reference>
        </references>
      </pivotArea>
    </format>
    <format dxfId="1866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7"/>
          </reference>
        </references>
      </pivotArea>
    </format>
    <format dxfId="18662">
      <pivotArea dataOnly="0" labelOnly="1" outline="0" fieldPosition="0">
        <references count="1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9"/>
          </reference>
        </references>
      </pivotArea>
    </format>
    <format dxfId="18661">
      <pivotArea dataOnly="0" labelOnly="1" outline="0" fieldPosition="0">
        <references count="1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5"/>
          </reference>
        </references>
      </pivotArea>
    </format>
    <format dxfId="18660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1"/>
          </reference>
        </references>
      </pivotArea>
    </format>
    <format dxfId="18659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1"/>
          </reference>
        </references>
      </pivotArea>
    </format>
    <format dxfId="18658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0"/>
          </reference>
        </references>
      </pivotArea>
    </format>
    <format dxfId="18657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3"/>
          </reference>
        </references>
      </pivotArea>
    </format>
    <format dxfId="18656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18655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18654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18653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18652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9"/>
          </reference>
        </references>
      </pivotArea>
    </format>
    <format dxfId="1865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65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64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64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64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64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64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64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64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64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64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64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63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5"/>
          </reference>
        </references>
      </pivotArea>
    </format>
    <format dxfId="1863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2"/>
          </reference>
        </references>
      </pivotArea>
    </format>
    <format dxfId="1863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8"/>
          </reference>
        </references>
      </pivotArea>
    </format>
    <format dxfId="1863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863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4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863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4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863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863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3"/>
          </reference>
          <reference field="38" count="0" selected="0"/>
          <reference field="39" count="1">
            <x v="83"/>
          </reference>
        </references>
      </pivotArea>
    </format>
    <format dxfId="1863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63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7"/>
          </reference>
        </references>
      </pivotArea>
    </format>
    <format dxfId="1862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2"/>
          </reference>
        </references>
      </pivotArea>
    </format>
    <format dxfId="1862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862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6"/>
          </reference>
        </references>
      </pivotArea>
    </format>
    <format dxfId="1862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 selected="0">
            <x v="3"/>
          </reference>
          <reference field="38" count="0" selected="0"/>
          <reference field="39" count="1">
            <x v="82"/>
          </reference>
        </references>
      </pivotArea>
    </format>
    <format dxfId="1862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1862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3"/>
          </reference>
          <reference field="38" count="0" selected="0"/>
          <reference field="39" count="1">
            <x v="191"/>
          </reference>
        </references>
      </pivotArea>
    </format>
    <format dxfId="1862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4"/>
          </reference>
          <reference field="38" count="0" selected="0"/>
          <reference field="39" count="1">
            <x v="192"/>
          </reference>
        </references>
      </pivotArea>
    </format>
    <format dxfId="1862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1862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1862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861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61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61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61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61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61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61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61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61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61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60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60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109"/>
          </reference>
        </references>
      </pivotArea>
    </format>
    <format dxfId="1860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860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860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860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7"/>
          </reference>
        </references>
      </pivotArea>
    </format>
    <format dxfId="1860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56"/>
          </reference>
        </references>
      </pivotArea>
    </format>
    <format dxfId="1860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860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1860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03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1859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859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859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59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59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2">
            <x v="98"/>
            <x v="99"/>
          </reference>
        </references>
      </pivotArea>
    </format>
    <format dxfId="1859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1859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9"/>
          </reference>
        </references>
      </pivotArea>
    </format>
    <format dxfId="1859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87"/>
          </reference>
          <reference field="37" count="1" selected="0">
            <x v="1"/>
          </reference>
          <reference field="38" count="0" selected="0"/>
          <reference field="39" count="1">
            <x v="16"/>
          </reference>
        </references>
      </pivotArea>
    </format>
    <format dxfId="1859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8590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18589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18588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8587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58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58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58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58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58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58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58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57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57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857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857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857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857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857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857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857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857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856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856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856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8"/>
          </reference>
        </references>
      </pivotArea>
    </format>
    <format dxfId="1856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97"/>
          </reference>
        </references>
      </pivotArea>
    </format>
    <format dxfId="18565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100"/>
          </reference>
        </references>
      </pivotArea>
    </format>
    <format dxfId="18564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8563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1"/>
          </reference>
        </references>
      </pivotArea>
    </format>
    <format dxfId="18562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8561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85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559">
      <pivotArea field="29" type="button" dataOnly="0" labelOnly="1" outline="0" axis="axisRow" fieldPosition="4"/>
    </format>
    <format dxfId="18558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8557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8556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8555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8554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8553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8552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8551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8550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8549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8548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8547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8546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8545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8544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8543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8542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8541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8540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8539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8538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8537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8536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8535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8534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8533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8532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8531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8530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8529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8528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8527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8526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8525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8524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8523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8522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8521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8520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8519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8518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8517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8516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8515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8514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8513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8512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8511">
      <pivotArea field="26" type="button" dataOnly="0" labelOnly="1" outline="0" axis="axisRow" fieldPosition="1"/>
    </format>
    <format dxfId="18510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8509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18508">
      <pivotArea field="30" type="button" dataOnly="0" labelOnly="1" outline="0" axis="axisRow" fieldPosition="5"/>
    </format>
    <format dxfId="18507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850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850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850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8503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850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850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850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849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849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8497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849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849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8494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8493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8492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8491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490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8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848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848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848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48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848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848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848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8481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848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847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847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847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8476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475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847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847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847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8471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8470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846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46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846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6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846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846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846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46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46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846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45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5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45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45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845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845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845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45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45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845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44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448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47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844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844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44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844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844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44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4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43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43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843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3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43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434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43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43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3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43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842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42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42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2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842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42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42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842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42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42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19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841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841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841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415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41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841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841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41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41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8409">
      <pivotArea field="29" type="button" dataOnly="0" labelOnly="1" outline="0" axis="axisRow" fieldPosition="4"/>
    </format>
    <format dxfId="18408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8407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8406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8405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8404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8403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8402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8401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8400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8399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8398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8397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8396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8395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8394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8393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8392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8391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8390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8389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8388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8387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8386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8385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8384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8383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8382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8381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8380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8379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8378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8377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8376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8375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8374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8373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8372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8371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8370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8369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8368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8367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8366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8365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8364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8363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8362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8361">
      <pivotArea field="26" type="button" dataOnly="0" labelOnly="1" outline="0" axis="axisRow" fieldPosition="1"/>
    </format>
    <format dxfId="18360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8359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18358">
      <pivotArea field="30" type="button" dataOnly="0" labelOnly="1" outline="0" axis="axisRow" fieldPosition="5"/>
    </format>
    <format dxfId="18357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835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835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835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8353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835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835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835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834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834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8347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834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834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8344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8343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8342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8341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340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33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833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833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833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33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833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833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833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8331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833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832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832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832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8326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325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832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832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832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8321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8320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831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31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831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31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831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831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831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31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31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831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30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30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30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30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830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830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830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30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30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830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29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298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297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829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829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29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829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829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29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29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28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28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828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28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28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284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28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28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28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28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827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27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27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27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827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827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827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827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827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27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269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826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826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826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8265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826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826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826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826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826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8259">
      <pivotArea field="32" type="button" dataOnly="0" labelOnly="1" outline="0" axis="axisRow" fieldPosition="7"/>
    </format>
    <format dxfId="18258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18257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1825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18255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18254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18253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18252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18251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1825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824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1824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18247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18246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18245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18244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1824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1824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1824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1824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1823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1823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1823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1823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1823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1823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1823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1823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1823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1823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1822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1822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1822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1822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18225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18224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18223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18222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18221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18220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1821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1821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821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821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821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821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1821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1821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1821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1821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1820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1820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1820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1820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18205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18204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18203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18202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18201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18200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1819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819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819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8196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8195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18194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18193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1819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1819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1819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1818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818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1818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1818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1818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1818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1818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1818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1818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1818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1817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1817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1817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1817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1817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1817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1817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1817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1817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817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1816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1816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1816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1816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1816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1816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1816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1816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1816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1816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1815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1815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1815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1815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18155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18154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18153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18152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1815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18150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18149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18148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18147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18146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18145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18144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18143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18142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18141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18140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18139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18138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18137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18136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18135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1813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1813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1813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1813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1813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1812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1812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1812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1812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1812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1812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1812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1812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1812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1812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1811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1811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1811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1811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1811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1811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1811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1811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1811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1811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1810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1810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1810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1810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1810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1810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1810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18102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18101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18100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1809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1809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1809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1809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1809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1809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1809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1809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1809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1809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1808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1808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1808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1808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1808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1808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1808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1808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1808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1808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1807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18078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18077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1807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1807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1807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1807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1807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1807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1807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1806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1806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1806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1806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1806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1806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1806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18062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18061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18060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18059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18058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18057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18056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18055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18054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18053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18052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18051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18050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18049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804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1804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1804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18045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18044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8043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18042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18041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18040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18039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18038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18037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18036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18035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1803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803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1803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1803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1803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1802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802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1802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1802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1802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1802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1802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1802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1802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1802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1801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1801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1801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1801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1801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1801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1801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1801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1801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1801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1800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1800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1800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1800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1800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1800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1800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1800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1800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1800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1799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1799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1799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1799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1799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1799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1799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1799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1799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1799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1798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1798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1798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1798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17985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1798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1798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17982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17981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17980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17979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17978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17977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17976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17975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17974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17973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17972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17971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17970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1796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1796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1796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1796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1796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1796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1796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1796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1796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1796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1795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1795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1795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17956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17955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17954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17953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17952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1795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1795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1794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1794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1794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1794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1794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1794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1794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1794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1794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1794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1793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1793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1793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1793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1793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1793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1793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1793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1793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1793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1792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1792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1792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1792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1792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1792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1792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1792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1792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1792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1791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1791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1791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1791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1791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1791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1791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1791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1791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17910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17909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17908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17907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17906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1790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1790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1790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1790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1790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1790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1789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1789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1789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1789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1789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17894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17893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1789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1789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1789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1788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17888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17887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1788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17885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17884">
      <pivotArea field="33" type="button" dataOnly="0" labelOnly="1" outline="0" axis="axisRow" fieldPosition="8"/>
    </format>
    <format dxfId="17883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7882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7881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7880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787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787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787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787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787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787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787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787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787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787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7869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7868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786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786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786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786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786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786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786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786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7859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7858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7857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7856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785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785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785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785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785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785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784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1784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1784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1784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1784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1784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1784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1784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17841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17840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17839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17838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17837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17836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17835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1783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17833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17832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17831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1783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1782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17828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17827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17826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17825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17824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17823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17822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17821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1782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1781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17818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17817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17816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781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7814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7813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7812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7811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7810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7809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7808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7807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7806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7805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7804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7803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7802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7801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7800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7799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7798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7797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7796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7795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7794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7793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7792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7791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779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778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778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778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778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778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778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778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778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778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778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777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777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777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777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7775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7774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7773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777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7771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7770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7769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7768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7767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7766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7765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7764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776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7762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7761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776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775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775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775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775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775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7754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7753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7752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17751">
      <pivotArea field="33" type="button" dataOnly="0" labelOnly="1" outline="0" axis="axisRow" fieldPosition="8"/>
    </format>
    <format dxfId="17750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7749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7748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7747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774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774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774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774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774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774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774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773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773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773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7736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7735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773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773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773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773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773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772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772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772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7726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7725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7724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7723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772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772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772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771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771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771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771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1771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1771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1771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1771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1771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1771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1770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17708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17707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17706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17705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17704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17703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17702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17701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17700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17699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17698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17697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17696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17695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1769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1769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17692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17691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17690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17689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17688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17687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17686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1768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1768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1768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768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7681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7680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7679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7678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7677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7676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7675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7674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7673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7672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7671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7670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7669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7668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7667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7666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7665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7664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7663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7662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7661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7660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7659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7658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765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765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765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765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765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765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765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765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764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764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764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764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764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764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764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764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764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764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763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7638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7637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7636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7635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7634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763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763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763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763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7629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7628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762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762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762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762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762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762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7621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7620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7619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17618">
      <pivotArea field="36" type="button" dataOnly="0" labelOnly="1" outline="0" axis="axisRow" fieldPosition="11"/>
    </format>
    <format dxfId="1761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61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761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61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761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61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61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761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760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760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60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760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7605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7604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603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602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760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760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759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59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59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59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759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759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759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759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759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59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58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58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58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758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758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758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758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58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758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758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757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757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757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757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757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57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757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572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7571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7570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7569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7568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7567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7566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756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56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56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56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56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756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755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55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755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755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755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755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55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755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551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7550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7549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7548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7547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546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7545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7544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754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54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754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754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753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753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753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753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753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753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753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753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753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753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752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752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752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752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752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752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752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752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752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752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751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751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751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751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751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7514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513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512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511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751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750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508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50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750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750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504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7503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7502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501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500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7499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7498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497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7496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495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49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49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49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49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49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748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748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48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748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48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748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748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748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748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748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747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747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747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747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747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47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47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47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47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47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746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46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746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746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46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746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7463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7462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7461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746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45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45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45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45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745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745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745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45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745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745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44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744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744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744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744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744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744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744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744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744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43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7438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7437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743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43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43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43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43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743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43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742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42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742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42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742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742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7423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422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7421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7420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7419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7418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417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7416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741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7414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413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7412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411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7410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7409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40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740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40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40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40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40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40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740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40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39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739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739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739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739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39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739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739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739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739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738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738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738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38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38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38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38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738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738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38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37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37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737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37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737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737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37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737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737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737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36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36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736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736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736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36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736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736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736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36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735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735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35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35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7355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354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735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352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7351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7350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34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734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34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34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734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734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34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734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734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7340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339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7338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337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733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33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33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33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33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733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733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32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32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732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32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32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32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32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32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732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732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31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731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31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731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731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731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731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31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731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731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730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730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7307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306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7305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30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730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30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730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730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729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729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29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729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29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294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29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729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29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729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728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728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728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728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285">
      <pivotArea field="37" type="button" dataOnly="0" labelOnly="1" outline="0" axis="axisRow" fieldPosition="12"/>
    </format>
    <format dxfId="1728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728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728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728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8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727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27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727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727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7275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7274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7273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272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7271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727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6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26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726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726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726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726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726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726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726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726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5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7258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7257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725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55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725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25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725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725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725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724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724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724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724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724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724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724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724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724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724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723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723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723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7236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235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7234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7233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7232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7231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723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2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22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722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22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722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722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722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722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722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722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721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7218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17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216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7215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214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721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1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21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21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20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720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20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720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20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720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20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720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20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720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719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719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19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7196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7195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19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719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719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19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9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718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718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18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718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7185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184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7183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7182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7181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7180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179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178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177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7176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175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174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7173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7172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7171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7170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7169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16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16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16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6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16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716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716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716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716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15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715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715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715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715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715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15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15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715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15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714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14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714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714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714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714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714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714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14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14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713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7138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137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136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135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7134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33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132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13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130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129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712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12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12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2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712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12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122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121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120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11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1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117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16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115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711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711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7112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7111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110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10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710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0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710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10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10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10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10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710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710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709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09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709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09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709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7094">
      <pivotArea field="36" type="button" dataOnly="0" labelOnly="1" outline="0" axis="axisRow" fieldPosition="11"/>
    </format>
    <format dxfId="1709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09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709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09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708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08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08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708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708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708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08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708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708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708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07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07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707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707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707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07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07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07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707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707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706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706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706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06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06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06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06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706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706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706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705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705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705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705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705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705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705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705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705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05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704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04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704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704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704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7044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704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704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704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704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703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703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703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703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703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703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703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703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703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703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02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702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7027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702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702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7024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702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702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702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702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701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701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701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701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701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701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701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701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701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701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700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700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700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700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700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700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700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700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700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700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699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69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699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699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699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699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699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699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99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699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98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98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98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698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698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98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98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698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698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98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697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697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977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97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697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697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97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97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97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97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96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96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96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96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696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696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96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696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96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696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695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695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695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695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695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695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95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695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695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95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94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94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94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94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694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94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694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694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94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694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693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693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693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693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93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93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93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93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693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693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692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92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692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692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92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692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692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692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692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692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691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91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691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691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91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6914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691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691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91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91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90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90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690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90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690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90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90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90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690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90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6899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898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6897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689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689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689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89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689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689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6890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889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688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88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688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688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88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688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88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88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88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87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87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687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87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87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687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687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687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87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87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86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686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86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686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86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686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686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86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86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86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85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685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685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85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85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85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685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85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685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685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84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684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84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684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84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84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684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684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684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84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683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683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683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83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683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683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83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83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683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83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682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828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682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682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82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682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82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82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682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682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81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681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681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681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81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681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81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681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81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81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80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80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680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680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80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80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680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80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80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80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79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79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679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679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79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679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79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679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679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679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678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78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678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678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678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678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678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78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678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78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677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77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677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677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677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677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77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677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77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770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76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676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76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676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76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676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676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76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761">
      <pivotArea field="37" type="button" dataOnly="0" labelOnly="1" outline="0" axis="axisRow" fieldPosition="12"/>
    </format>
    <format dxfId="1676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675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675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675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75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675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675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675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675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675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675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6749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748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6747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674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74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74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674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674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674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674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673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673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673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673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73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6734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6733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673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73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673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72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672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672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672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672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672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672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672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672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672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671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671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671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671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671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671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671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6712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711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6710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670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670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670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670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70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70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670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70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670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670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669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669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669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669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669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669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69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69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669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9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668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68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68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68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668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668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8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668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8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668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7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667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7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667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667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667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67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6672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1667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7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666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666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66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66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666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666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6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666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6661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6660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6659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6658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6657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6656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6655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54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6653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6652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6651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5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664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664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664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664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664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4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64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64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64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664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663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663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663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663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663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663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663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663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663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663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62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62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662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662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662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62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662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662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662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662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661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661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661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61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661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6614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6613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612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661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661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60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660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660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6606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6605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660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60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60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60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660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659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659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659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659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659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59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659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59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659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659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658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658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658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58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658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658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658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658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658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658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657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657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657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657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657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57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657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57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657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657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656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6568">
      <pivotArea field="39" type="button" dataOnly="0" labelOnly="1" outline="0" axis="axisRow" fieldPosition="14"/>
    </format>
    <format dxfId="1656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56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656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7"/>
          </reference>
        </references>
      </pivotArea>
    </format>
    <format dxfId="1656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8"/>
          </reference>
        </references>
      </pivotArea>
    </format>
    <format dxfId="1656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56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56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56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55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55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55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55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55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7"/>
          </reference>
          <reference field="37" count="1" selected="0">
            <x v="1"/>
          </reference>
          <reference field="38" count="0" selected="0"/>
          <reference field="39" count="1">
            <x v="85"/>
          </reference>
        </references>
      </pivotArea>
    </format>
    <format dxfId="1655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655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655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655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655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144"/>
          </reference>
        </references>
      </pivotArea>
    </format>
    <format dxfId="1654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654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9"/>
          </reference>
        </references>
      </pivotArea>
    </format>
    <format dxfId="1654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1"/>
          </reference>
          <reference field="38" count="0" selected="0"/>
          <reference field="39" count="1">
            <x v="113"/>
          </reference>
        </references>
      </pivotArea>
    </format>
    <format dxfId="1654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1"/>
          </reference>
          <reference field="38" count="0" selected="0"/>
          <reference field="39" count="1">
            <x v="158"/>
          </reference>
        </references>
      </pivotArea>
    </format>
    <format dxfId="1654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 selected="0">
            <x v="13"/>
          </reference>
          <reference field="38" count="0" selected="0"/>
          <reference field="39" count="1">
            <x v="193"/>
          </reference>
        </references>
      </pivotArea>
    </format>
    <format dxfId="16544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8"/>
          </reference>
        </references>
      </pivotArea>
    </format>
    <format dxfId="16543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2"/>
          </reference>
          <reference field="38" count="0" selected="0"/>
          <reference field="39" count="1">
            <x v="172"/>
          </reference>
        </references>
      </pivotArea>
    </format>
    <format dxfId="16542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541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540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539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538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537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536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7"/>
          </reference>
          <reference field="37" count="1" selected="0">
            <x v="1"/>
          </reference>
          <reference field="38" count="0" selected="0"/>
          <reference field="39" count="1">
            <x v="108"/>
          </reference>
        </references>
      </pivotArea>
    </format>
    <format dxfId="1653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71"/>
          </reference>
        </references>
      </pivotArea>
    </format>
    <format dxfId="1653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53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53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53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53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52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52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52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52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1"/>
          </reference>
          <reference field="38" count="0" selected="0"/>
          <reference field="39" count="1">
            <x v="152"/>
          </reference>
        </references>
      </pivotArea>
    </format>
    <format dxfId="1652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652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652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2"/>
          </reference>
        </references>
      </pivotArea>
    </format>
    <format dxfId="1652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652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52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51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51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51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51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51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51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51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51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51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651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50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2"/>
          </reference>
          <reference field="38" count="0" selected="0"/>
          <reference field="39" count="1">
            <x v="151"/>
          </reference>
        </references>
      </pivotArea>
    </format>
    <format dxfId="1650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1650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1650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4"/>
          </reference>
        </references>
      </pivotArea>
    </format>
    <format dxfId="1650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650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650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50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650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650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649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649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649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649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1649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7"/>
          </reference>
        </references>
      </pivotArea>
    </format>
    <format dxfId="1649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49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75"/>
          </reference>
        </references>
      </pivotArea>
    </format>
    <format dxfId="1649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6491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16490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16489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6488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7"/>
          </reference>
        </references>
      </pivotArea>
    </format>
    <format dxfId="16487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6486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2"/>
          </reference>
          <reference field="37" count="1" selected="0">
            <x v="1"/>
          </reference>
          <reference field="38" count="0" selected="0"/>
          <reference field="39" count="1">
            <x v="156"/>
          </reference>
        </references>
      </pivotArea>
    </format>
    <format dxfId="16485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8"/>
          </reference>
          <reference field="37" count="1" selected="0">
            <x v="1"/>
          </reference>
          <reference field="38" count="0" selected="0"/>
          <reference field="39" count="1">
            <x v="42"/>
          </reference>
        </references>
      </pivotArea>
    </format>
    <format dxfId="16484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3"/>
          </reference>
          <reference field="37" count="1" selected="0">
            <x v="1"/>
          </reference>
          <reference field="38" count="0" selected="0"/>
          <reference field="39" count="1">
            <x v="13"/>
          </reference>
        </references>
      </pivotArea>
    </format>
    <format dxfId="16483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0"/>
          </reference>
        </references>
      </pivotArea>
    </format>
    <format dxfId="16482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6"/>
          </reference>
        </references>
      </pivotArea>
    </format>
    <format dxfId="16481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 selected="0">
            <x v="1"/>
          </reference>
          <reference field="38" count="0" selected="0"/>
          <reference field="39" count="1">
            <x v="6"/>
          </reference>
        </references>
      </pivotArea>
    </format>
    <format dxfId="16480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5"/>
          </reference>
        </references>
      </pivotArea>
    </format>
    <format dxfId="1647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47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47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47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47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47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47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47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47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47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46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46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646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1"/>
          </reference>
        </references>
      </pivotArea>
    </format>
    <format dxfId="1646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0"/>
          </reference>
        </references>
      </pivotArea>
    </format>
    <format dxfId="1646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 selected="0">
            <x v="1"/>
          </reference>
          <reference field="38" count="0" selected="0"/>
          <reference field="39" count="1">
            <x v="51"/>
          </reference>
        </references>
      </pivotArea>
    </format>
    <format dxfId="1646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646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46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646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646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645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1645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645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6456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"/>
          </reference>
          <reference field="38" count="0" selected="0"/>
          <reference field="39" count="1">
            <x v="148"/>
          </reference>
        </references>
      </pivotArea>
    </format>
    <format dxfId="16455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1"/>
          </reference>
        </references>
      </pivotArea>
    </format>
    <format dxfId="16454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9"/>
          </reference>
        </references>
      </pivotArea>
    </format>
    <format dxfId="16453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52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51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50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49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48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47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46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45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44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6443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6442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6441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6440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6439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438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6437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436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435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16434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16433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0"/>
          </reference>
        </references>
      </pivotArea>
    </format>
    <format dxfId="1643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1"/>
          </reference>
          <reference field="38" count="0" selected="0"/>
          <reference field="39" count="1">
            <x v="17"/>
          </reference>
        </references>
      </pivotArea>
    </format>
    <format dxfId="1643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 selected="0">
            <x v="1"/>
          </reference>
          <reference field="38" count="0" selected="0"/>
          <reference field="39" count="1">
            <x v="91"/>
          </reference>
        </references>
      </pivotArea>
    </format>
    <format dxfId="1643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32"/>
          </reference>
        </references>
      </pivotArea>
    </format>
    <format dxfId="1642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6"/>
          </reference>
          <reference field="37" count="1" selected="0">
            <x v="1"/>
          </reference>
          <reference field="38" count="0" selected="0"/>
          <reference field="39" count="1">
            <x v="169"/>
          </reference>
        </references>
      </pivotArea>
    </format>
    <format dxfId="1642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1642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 selected="0">
            <x v="1"/>
          </reference>
          <reference field="38" count="0" selected="0"/>
          <reference field="39" count="1">
            <x v="161"/>
          </reference>
        </references>
      </pivotArea>
    </format>
    <format dxfId="1642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2"/>
          </reference>
        </references>
      </pivotArea>
    </format>
    <format dxfId="1642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77"/>
          </reference>
        </references>
      </pivotArea>
    </format>
    <format dxfId="1642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9"/>
          </reference>
          <reference field="37" count="1" selected="0">
            <x v="1"/>
          </reference>
          <reference field="38" count="0" selected="0"/>
          <reference field="39" count="1">
            <x v="75"/>
          </reference>
        </references>
      </pivotArea>
    </format>
    <format dxfId="1642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0"/>
          </reference>
          <reference field="37" count="1" selected="0">
            <x v="1"/>
          </reference>
          <reference field="38" count="0" selected="0"/>
          <reference field="39" count="1">
            <x v="69"/>
          </reference>
        </references>
      </pivotArea>
    </format>
    <format dxfId="1642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1"/>
          </reference>
          <reference field="38" count="0" selected="0"/>
          <reference field="39" count="1">
            <x v="73"/>
          </reference>
        </references>
      </pivotArea>
    </format>
    <format dxfId="1642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2"/>
          </reference>
          <reference field="37" count="1" selected="0">
            <x v="1"/>
          </reference>
          <reference field="38" count="0" selected="0"/>
          <reference field="39" count="1">
            <x v="70"/>
          </reference>
        </references>
      </pivotArea>
    </format>
    <format dxfId="1642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3"/>
          </reference>
          <reference field="37" count="1" selected="0">
            <x v="1"/>
          </reference>
          <reference field="38" count="0" selected="0"/>
          <reference field="39" count="1">
            <x v="76"/>
          </reference>
        </references>
      </pivotArea>
    </format>
    <format dxfId="1641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4"/>
          </reference>
          <reference field="37" count="1" selected="0">
            <x v="1"/>
          </reference>
          <reference field="38" count="0" selected="0"/>
          <reference field="39" count="1">
            <x v="81"/>
          </reference>
        </references>
      </pivotArea>
    </format>
    <format dxfId="1641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5"/>
          </reference>
          <reference field="37" count="1" selected="0">
            <x v="1"/>
          </reference>
          <reference field="38" count="0" selected="0"/>
          <reference field="39" count="1">
            <x v="71"/>
          </reference>
        </references>
      </pivotArea>
    </format>
    <format dxfId="1641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6"/>
          </reference>
          <reference field="37" count="1" selected="0">
            <x v="1"/>
          </reference>
          <reference field="38" count="0" selected="0"/>
          <reference field="39" count="1">
            <x v="34"/>
          </reference>
        </references>
      </pivotArea>
    </format>
    <format dxfId="1641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7"/>
          </reference>
          <reference field="37" count="1" selected="0">
            <x v="1"/>
          </reference>
          <reference field="38" count="0" selected="0"/>
          <reference field="39" count="1">
            <x v="74"/>
          </reference>
        </references>
      </pivotArea>
    </format>
    <format dxfId="1641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8"/>
          </reference>
          <reference field="37" count="1" selected="0">
            <x v="1"/>
          </reference>
          <reference field="38" count="0" selected="0"/>
          <reference field="39" count="1">
            <x v="78"/>
          </reference>
        </references>
      </pivotArea>
    </format>
    <format dxfId="1641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2"/>
          </reference>
          <reference field="38" count="0" selected="0"/>
          <reference field="39" count="1">
            <x v="72"/>
          </reference>
        </references>
      </pivotArea>
    </format>
    <format dxfId="1641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136"/>
          </reference>
        </references>
      </pivotArea>
    </format>
    <format dxfId="1641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1"/>
          </reference>
          <reference field="38" count="0" selected="0"/>
          <reference field="39" count="1">
            <x v="92"/>
          </reference>
        </references>
      </pivotArea>
    </format>
    <format dxfId="1641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2"/>
          </reference>
          <reference field="38" count="0" selected="0"/>
          <reference field="39" count="1">
            <x v="80"/>
          </reference>
        </references>
      </pivotArea>
    </format>
    <format dxfId="1641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3"/>
          </reference>
          <reference field="38" count="0" selected="0"/>
          <reference field="39" count="1">
            <x v="79"/>
          </reference>
        </references>
      </pivotArea>
    </format>
    <format dxfId="1640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1640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1640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40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 selected="0">
            <x v="31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40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 selected="0">
            <x v="317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40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 selected="0">
            <x v="31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40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40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40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 selected="0">
            <x v="315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40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 selected="0">
            <x v="316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39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 selected="0">
            <x v="31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639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 selected="0">
            <x v="1"/>
          </reference>
          <reference field="38" count="0" selected="0"/>
          <reference field="39" count="1">
            <x v="12"/>
          </reference>
        </references>
      </pivotArea>
    </format>
    <format dxfId="1639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1639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1639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1639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1639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 selected="0">
            <x v="1"/>
          </reference>
          <reference field="38" count="0" selected="0"/>
          <reference field="39" count="1">
            <x v="93"/>
          </reference>
        </references>
      </pivotArea>
    </format>
    <format dxfId="1639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2"/>
          </reference>
          <reference field="38" count="0" selected="0"/>
          <reference field="39" count="1">
            <x v="95"/>
          </reference>
        </references>
      </pivotArea>
    </format>
    <format dxfId="1639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 selected="0">
            <x v="1"/>
          </reference>
          <reference field="38" count="0" selected="0"/>
          <reference field="39" count="1">
            <x v="33"/>
          </reference>
        </references>
      </pivotArea>
    </format>
    <format dxfId="1639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1"/>
          </reference>
          <reference field="37" count="1" selected="0">
            <x v="1"/>
          </reference>
          <reference field="38" count="0" selected="0"/>
          <reference field="39" count="1">
            <x v="15"/>
          </reference>
        </references>
      </pivotArea>
    </format>
    <format dxfId="1638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4"/>
          </reference>
        </references>
      </pivotArea>
    </format>
    <format dxfId="1638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6387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16386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 selected="0">
            <x v="1"/>
          </reference>
          <reference field="38" count="0" selected="0"/>
          <reference field="39" count="1">
            <x v="45"/>
          </reference>
        </references>
      </pivotArea>
    </format>
    <format dxfId="16385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3"/>
          </reference>
        </references>
      </pivotArea>
    </format>
    <format dxfId="16384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6383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2"/>
          </reference>
        </references>
      </pivotArea>
    </format>
    <format dxfId="16382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0"/>
          </reference>
        </references>
      </pivotArea>
    </format>
    <format dxfId="16381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6380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5"/>
          </reference>
          <reference field="37" count="1" selected="0">
            <x v="1"/>
          </reference>
          <reference field="38" count="0" selected="0"/>
          <reference field="39" count="1">
            <x v="177"/>
          </reference>
        </references>
      </pivotArea>
    </format>
    <format dxfId="16379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6378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7"/>
          </reference>
        </references>
      </pivotArea>
    </format>
    <format dxfId="16377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8"/>
          </reference>
        </references>
      </pivotArea>
    </format>
    <format dxfId="16376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16375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1"/>
          </reference>
        </references>
      </pivotArea>
    </format>
    <format dxfId="16374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8"/>
          </reference>
        </references>
      </pivotArea>
    </format>
    <format dxfId="16373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7"/>
          </reference>
        </references>
      </pivotArea>
    </format>
    <format dxfId="16372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371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5"/>
          </reference>
        </references>
      </pivotArea>
    </format>
    <format dxfId="16370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636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36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36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36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36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36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36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36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36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36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35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635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3"/>
          </reference>
          <reference field="38" count="0" selected="0"/>
          <reference field="39" count="1">
            <x v="174"/>
          </reference>
        </references>
      </pivotArea>
    </format>
    <format dxfId="1635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4"/>
          </reference>
          <reference field="38" count="0" selected="0"/>
          <reference field="39" count="1">
            <x v="50"/>
          </reference>
        </references>
      </pivotArea>
    </format>
    <format dxfId="1635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3"/>
          </reference>
        </references>
      </pivotArea>
    </format>
    <format dxfId="1635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635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635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1"/>
          </reference>
          <reference field="38" count="0" selected="0"/>
          <reference field="39" count="1">
            <x v="49"/>
          </reference>
        </references>
      </pivotArea>
    </format>
    <format dxfId="1635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6"/>
          </reference>
        </references>
      </pivotArea>
    </format>
    <format dxfId="1635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635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5"/>
          </reference>
          <reference field="38" count="0" selected="0"/>
          <reference field="39" count="1">
            <x v="47"/>
          </reference>
        </references>
      </pivotArea>
    </format>
    <format dxfId="1634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2"/>
          </reference>
          <reference field="38" count="0" selected="0"/>
          <reference field="39" count="1">
            <x v="48"/>
          </reference>
        </references>
      </pivotArea>
    </format>
    <format dxfId="1634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3"/>
          </reference>
        </references>
      </pivotArea>
    </format>
    <format dxfId="1634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1"/>
          </reference>
          <reference field="38" count="0" selected="0"/>
          <reference field="39" count="1">
            <x v="40"/>
          </reference>
        </references>
      </pivotArea>
    </format>
    <format dxfId="1634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2"/>
          </reference>
          <reference field="38" count="0" selected="0"/>
          <reference field="39" count="1">
            <x v="41"/>
          </reference>
        </references>
      </pivotArea>
    </format>
    <format dxfId="1634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634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11"/>
          </reference>
        </references>
      </pivotArea>
    </format>
    <format dxfId="1634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634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634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34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10"/>
          </reference>
        </references>
      </pivotArea>
    </format>
    <format dxfId="1633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633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52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633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633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33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33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33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33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33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33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32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32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32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32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32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632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7"/>
          </reference>
        </references>
      </pivotArea>
    </format>
    <format dxfId="1632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9"/>
          </reference>
        </references>
      </pivotArea>
    </format>
    <format dxfId="1632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3"/>
          </reference>
        </references>
      </pivotArea>
    </format>
    <format dxfId="1632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632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20"/>
          </reference>
        </references>
      </pivotArea>
    </format>
    <format dxfId="16319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6318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6317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6316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6"/>
          </reference>
        </references>
      </pivotArea>
    </format>
    <format dxfId="1631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31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31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31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31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31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30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30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30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30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30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30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30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1630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630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1630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1"/>
          </reference>
          <reference field="37" count="1" selected="0">
            <x v="1"/>
          </reference>
          <reference field="38" count="0" selected="0"/>
          <reference field="39" count="1">
            <x v="96"/>
          </reference>
        </references>
      </pivotArea>
    </format>
    <format dxfId="1629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629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629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629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629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629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629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629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629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629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4"/>
          </reference>
        </references>
      </pivotArea>
    </format>
    <format dxfId="1628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628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9"/>
          </reference>
        </references>
      </pivotArea>
    </format>
    <format dxfId="1628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87"/>
          </reference>
        </references>
      </pivotArea>
    </format>
    <format dxfId="1628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5"/>
          </reference>
        </references>
      </pivotArea>
    </format>
    <format dxfId="1628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628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28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6282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6281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6280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9"/>
          </reference>
          <reference field="38" count="0" selected="0"/>
          <reference field="39" count="1">
            <x v="153"/>
          </reference>
        </references>
      </pivotArea>
    </format>
    <format dxfId="1627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27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27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27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27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27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27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27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27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27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26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26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626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626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626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26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8"/>
          </reference>
        </references>
      </pivotArea>
    </format>
    <format dxfId="1626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626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8"/>
          </reference>
        </references>
      </pivotArea>
    </format>
    <format dxfId="1626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1626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6259">
      <pivotArea dataOnly="0" labelOnly="1" outline="0" fieldPosition="0">
        <references count="1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6258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16257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6256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16255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16254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6253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16252">
      <pivotArea dataOnly="0" labelOnly="1" outline="0" fieldPosition="0">
        <references count="1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6251">
      <pivotArea dataOnly="0" labelOnly="1" outline="0" fieldPosition="0">
        <references count="1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4"/>
          </reference>
        </references>
      </pivotArea>
    </format>
    <format dxfId="16250">
      <pivotArea dataOnly="0" labelOnly="1" outline="0" fieldPosition="0">
        <references count="15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6249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9"/>
          </reference>
        </references>
      </pivotArea>
    </format>
    <format dxfId="16248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6247">
      <pivotArea dataOnly="0" labelOnly="1" outline="0" fieldPosition="0">
        <references count="15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 selected="0">
            <x v="2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6246">
      <pivotArea dataOnly="0" labelOnly="1" outline="0" fieldPosition="0">
        <references count="1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6"/>
          </reference>
        </references>
      </pivotArea>
    </format>
    <format dxfId="16245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16244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6243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16242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6241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 selected="0">
            <x v="1"/>
          </reference>
          <reference field="38" count="0" selected="0"/>
          <reference field="39" count="1">
            <x v="3"/>
          </reference>
        </references>
      </pivotArea>
    </format>
    <format dxfId="1624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23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23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237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6236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87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6235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86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6234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85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623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6232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5"/>
          </reference>
        </references>
      </pivotArea>
    </format>
    <format dxfId="16231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1"/>
          </reference>
          <reference field="38" count="0" selected="0"/>
          <reference field="39" count="1">
            <x v="135"/>
          </reference>
        </references>
      </pivotArea>
    </format>
    <format dxfId="1623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5"/>
          </reference>
        </references>
      </pivotArea>
    </format>
    <format dxfId="1622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7"/>
          </reference>
        </references>
      </pivotArea>
    </format>
    <format dxfId="16228">
      <pivotArea dataOnly="0" labelOnly="1" outline="0" fieldPosition="0">
        <references count="1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9"/>
          </reference>
        </references>
      </pivotArea>
    </format>
    <format dxfId="16227">
      <pivotArea dataOnly="0" labelOnly="1" outline="0" fieldPosition="0">
        <references count="1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5"/>
          </reference>
        </references>
      </pivotArea>
    </format>
    <format dxfId="16226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1"/>
          </reference>
        </references>
      </pivotArea>
    </format>
    <format dxfId="16225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1"/>
          </reference>
        </references>
      </pivotArea>
    </format>
    <format dxfId="16224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0"/>
          </reference>
        </references>
      </pivotArea>
    </format>
    <format dxfId="16223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3"/>
          </reference>
        </references>
      </pivotArea>
    </format>
    <format dxfId="16222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16221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16220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16219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16218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9"/>
          </reference>
        </references>
      </pivotArea>
    </format>
    <format dxfId="1621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21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21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21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21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21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21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21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20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20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20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20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20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5"/>
          </reference>
        </references>
      </pivotArea>
    </format>
    <format dxfId="1620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2"/>
          </reference>
        </references>
      </pivotArea>
    </format>
    <format dxfId="1620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8"/>
          </reference>
        </references>
      </pivotArea>
    </format>
    <format dxfId="1620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620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4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620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4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619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619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3"/>
          </reference>
          <reference field="38" count="0" selected="0"/>
          <reference field="39" count="1">
            <x v="83"/>
          </reference>
        </references>
      </pivotArea>
    </format>
    <format dxfId="1619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19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7"/>
          </reference>
        </references>
      </pivotArea>
    </format>
    <format dxfId="1619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2"/>
          </reference>
        </references>
      </pivotArea>
    </format>
    <format dxfId="1619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619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6"/>
          </reference>
        </references>
      </pivotArea>
    </format>
    <format dxfId="1619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 selected="0">
            <x v="3"/>
          </reference>
          <reference field="38" count="0" selected="0"/>
          <reference field="39" count="1">
            <x v="82"/>
          </reference>
        </references>
      </pivotArea>
    </format>
    <format dxfId="1619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1619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3"/>
          </reference>
          <reference field="38" count="0" selected="0"/>
          <reference field="39" count="1">
            <x v="191"/>
          </reference>
        </references>
      </pivotArea>
    </format>
    <format dxfId="1618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4"/>
          </reference>
          <reference field="38" count="0" selected="0"/>
          <reference field="39" count="1">
            <x v="192"/>
          </reference>
        </references>
      </pivotArea>
    </format>
    <format dxfId="1618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1618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1618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618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18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18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18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18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18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17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17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17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17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17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17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109"/>
          </reference>
        </references>
      </pivotArea>
    </format>
    <format dxfId="1617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617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617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617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7"/>
          </reference>
        </references>
      </pivotArea>
    </format>
    <format dxfId="1616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56"/>
          </reference>
        </references>
      </pivotArea>
    </format>
    <format dxfId="1616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616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1616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03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1616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616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616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16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16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2">
            <x v="98"/>
            <x v="99"/>
          </reference>
        </references>
      </pivotArea>
    </format>
    <format dxfId="1616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1615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9"/>
          </reference>
        </references>
      </pivotArea>
    </format>
    <format dxfId="1615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87"/>
          </reference>
          <reference field="37" count="1" selected="0">
            <x v="1"/>
          </reference>
          <reference field="38" count="0" selected="0"/>
          <reference field="39" count="1">
            <x v="16"/>
          </reference>
        </references>
      </pivotArea>
    </format>
    <format dxfId="1615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6156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16155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16154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615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15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15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15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14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148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147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14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14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14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614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614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614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614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613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613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613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613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613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613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613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8"/>
          </reference>
        </references>
      </pivotArea>
    </format>
    <format dxfId="1613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97"/>
          </reference>
        </references>
      </pivotArea>
    </format>
    <format dxfId="16131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100"/>
          </reference>
        </references>
      </pivotArea>
    </format>
    <format dxfId="16130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6129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1"/>
          </reference>
        </references>
      </pivotArea>
    </format>
    <format dxfId="16128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6127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6126">
      <pivotArea field="36" type="button" dataOnly="0" labelOnly="1" outline="0" axis="axisRow" fieldPosition="11"/>
    </format>
    <format dxfId="16125">
      <pivotArea field="37" type="button" dataOnly="0" labelOnly="1" outline="0" axis="axisRow" fieldPosition="12"/>
    </format>
    <format dxfId="1612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12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612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12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612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11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11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611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611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611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11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611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6112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611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11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10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610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610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610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10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10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10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610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610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610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609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609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09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09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09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09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609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609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609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609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08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608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608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608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608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608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608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608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08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608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079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607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607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607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6075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6074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607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07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07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07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06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06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606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606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06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606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606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06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606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06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605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058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6057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605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6055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6054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05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605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605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605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04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604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604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604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604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604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604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604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604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604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603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603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603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603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603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603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603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603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603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603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602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602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602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602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602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602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602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02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6021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602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01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01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601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601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01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01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601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601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011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601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600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6008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007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600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6005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600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00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00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00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00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99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99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99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599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599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99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599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99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599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599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598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598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598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598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598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598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598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98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598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98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97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97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97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97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97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597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597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97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597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5970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96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596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96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96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96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96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96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96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596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96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95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95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595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95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95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95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95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95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595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595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594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94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594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94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5945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944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594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94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94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94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93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93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93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593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93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593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93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593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593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5930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929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5928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5927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5926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592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592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592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592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5921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920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5919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91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5917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591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91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591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91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91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91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91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90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590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90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90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590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590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590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590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90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90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589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589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589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589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89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589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89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89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89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89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88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588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88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88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88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588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8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588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88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88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587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587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587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7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587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587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587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587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587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587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586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586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6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586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586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64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6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586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6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586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59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5858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585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5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585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85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85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85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585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85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584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584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5847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4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584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4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84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84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84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84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83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583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583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83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83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583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83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83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83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83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82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82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582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82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82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82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582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582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582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582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81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581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81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581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5815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581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1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581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1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581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80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80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580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580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80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80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580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580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01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0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579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79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579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79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579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579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79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579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579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579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578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8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578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578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578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578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5783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5782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578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780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5779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577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7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77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577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577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577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577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577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577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576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576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6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5766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5765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576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6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576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76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576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575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575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575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575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575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575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575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575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575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575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574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574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574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574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574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5744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5743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5742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5741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5740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573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573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3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73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573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73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573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573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573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573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572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572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572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5726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25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724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5723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72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2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72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71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571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571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71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571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71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571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71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571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71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570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570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70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5706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5705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70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570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570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70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70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569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569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69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569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5695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5694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5693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5692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5691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5690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5689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688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5687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5686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5685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684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5683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5682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5681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5680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5679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67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67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67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67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567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567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567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567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567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566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566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566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566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566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566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66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66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566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566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565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565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565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565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565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565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565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565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565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565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564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5648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5647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5646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5645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5644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643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5642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564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5640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5639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563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63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63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63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563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563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5632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5631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5630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562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62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5627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626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5625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562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562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5622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5621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5620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561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561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561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561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561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561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561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561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561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561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560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560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560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560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560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560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5603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5602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5601">
      <pivotArea field="30" type="button" dataOnly="0" labelOnly="1" outline="0" axis="axisRow" fieldPosition="5"/>
    </format>
    <format dxfId="15600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559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559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559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559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559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559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559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559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559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559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558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558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5587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558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558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558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58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8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558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558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57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57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557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557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557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57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5573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557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557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557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556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568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556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556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556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556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5563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556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56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556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5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555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555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555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55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55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555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55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5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55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54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554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54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554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54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54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554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54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54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4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553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553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53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53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53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53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3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53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53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553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2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52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52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52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52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2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52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52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52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52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1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551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51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51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51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51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51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12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51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551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550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50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50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550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550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50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50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502">
      <pivotArea field="30" type="button" dataOnly="0" labelOnly="1" outline="0" axis="axisRow" fieldPosition="5"/>
    </format>
    <format dxfId="15501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5500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549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549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549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5496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549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549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549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549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5491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549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548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5488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5487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548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5485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48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8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548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548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48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47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547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547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547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475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547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5473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547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547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547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469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5468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546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546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5465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546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546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46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546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6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545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545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545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45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45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545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45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5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45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45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544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448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544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44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445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544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44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442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4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544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543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43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43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43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43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3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43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432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543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3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42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428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42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42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2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42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42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42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42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2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541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418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41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41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41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41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13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412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541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541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40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408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540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540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40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40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403">
      <pivotArea field="26" type="button" dataOnly="0" labelOnly="1" outline="0" axis="axisRow" fieldPosition="1"/>
    </format>
    <format dxfId="15402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5401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15400">
      <pivotArea field="29" type="button" dataOnly="0" labelOnly="1" outline="0" axis="axisRow" fieldPosition="4"/>
    </format>
    <format dxfId="15399">
      <pivotArea field="30" type="button" dataOnly="0" labelOnly="1" outline="0" axis="axisRow" fieldPosition="5"/>
    </format>
    <format dxfId="15398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5397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5396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5395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5394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5393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5392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5391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5390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5389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5388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5387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5386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5385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5384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5383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5382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5381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5380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5379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5378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5377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5376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5375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5374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5373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5372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5371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5370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5369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5368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5367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5366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5365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5364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5363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5362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5361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5360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5359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5358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5357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5356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5355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5354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5353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5352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5351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5350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534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534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534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5346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534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534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534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534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5341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534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533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5338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5337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533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5335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33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33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533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533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33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32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532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532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532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325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532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5323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532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532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532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319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5318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531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531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5315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531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531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31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531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31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530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530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530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30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30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530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30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30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30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30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529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298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529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29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295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529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29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292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29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529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528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28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28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28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28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28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28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282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528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28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27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278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27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27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27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27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27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27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27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27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526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5268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526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526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526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26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263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5262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526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526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525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5258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525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525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525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525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5253">
      <pivotArea field="32" type="button" dataOnly="0" labelOnly="1" outline="0" axis="axisRow" fieldPosition="7"/>
    </format>
    <format dxfId="15252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15251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15250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15249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15248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15247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1524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15245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15244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5243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15242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15241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1524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1523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1523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1523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1523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1523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1523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1523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1523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1523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1523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1522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1522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1522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1522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1522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1522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1522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1522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1522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1522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15219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15218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15217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15216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15215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15214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1521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1521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521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521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520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520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1520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1520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1520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1520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1520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1520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1520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1520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15199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15198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15197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15196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15195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15194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15193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5192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5191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5190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518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1518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1518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1518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1518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1518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1518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518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1518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1518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1517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1517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1517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1517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1517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1517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1517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1517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1517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1517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1516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1516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1516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1516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1516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516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1516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1516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1516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1516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1515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1515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1515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1515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1515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1515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1515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1515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1515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1515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15149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15148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15147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15146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15145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15144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15143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15142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1514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15140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15139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15138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15137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15136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15135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15134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15133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15132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15131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15130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15129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1512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1512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1512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1512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1512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1512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1512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1512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1512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1511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1511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1511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1511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1511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1511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1511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1511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1511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1511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1510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1510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1510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1510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1510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1510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1510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1510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1510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1510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1509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1509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1509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15096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15095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15094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1509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1509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1509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1509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1508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1508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1508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1508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1508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1508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1508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1508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1508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1508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1507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1507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1507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1507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1507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1507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1507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15072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15071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1507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1506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1506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1506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1506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1506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1506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1506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1506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1506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1506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1505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1505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1505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15056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15055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15054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15053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15052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15051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15050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15049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15048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15047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15046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15045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15044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15043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5042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15041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15040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15039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1503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503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1503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15035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15034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15033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15032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15031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15030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15029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1502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502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1502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1502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1502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1502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502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1502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1502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1501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1501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1501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1501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1501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1501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1501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1501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1501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1501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1500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1500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1500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1500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1500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1500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1500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1500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1500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1500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1499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1499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1499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1499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1499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1499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1499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1499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1499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1499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1498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1498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1498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1498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1498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1498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1498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1498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1498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1498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14979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14978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14977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14976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14975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1497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1497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14972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14971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14970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14969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14968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14967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14966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14965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14964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1496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1496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1496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1496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1495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1495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1495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1495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1495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1495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1495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1495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1495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14950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14949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14948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14947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14946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1494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1494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1494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1494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1494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1494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1493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1493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1493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1493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1493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1493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1493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1493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1493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1493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1492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1492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1492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1492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1492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1492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1492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1492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1492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1492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1491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1491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1491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1491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1491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1491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1491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1491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1491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1491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1490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1490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1490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1490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1490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14904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14903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14902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14901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14900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1489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1489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1489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1489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1489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1489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1489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1489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1489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1489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1488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14888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14887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1488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14885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14884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14883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1488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1488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1488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1487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14878">
      <pivotArea field="33" type="button" dataOnly="0" labelOnly="1" outline="0" axis="axisRow" fieldPosition="8"/>
    </format>
    <format dxfId="14877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4876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4875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4874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487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487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487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487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486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486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486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486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486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486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4863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4862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486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486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485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485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485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485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485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485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4853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4852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4851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4850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484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484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484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484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484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484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484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1484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1484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1484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1483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1483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1483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1483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14835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14834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1483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14832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14831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14830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14829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14828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1482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1482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1482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1482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1482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1482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1482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1482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14819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1481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1481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14816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1481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481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4813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4812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4811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4810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4809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4808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4807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4806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4805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4804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4803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4802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4801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4800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4799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4798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4797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4796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4795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4794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4793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4792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4791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4790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478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478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478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478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478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478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478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478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478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478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477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477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477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477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477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4774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4773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477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477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4770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4769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4768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4767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4766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4765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4764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476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476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4761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4760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475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475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475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475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475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475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4753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4752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4751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14750">
      <pivotArea field="36" type="button" dataOnly="0" labelOnly="1" outline="0" axis="axisRow" fieldPosition="11"/>
    </format>
    <format dxfId="14749">
      <pivotArea field="37" type="button" dataOnly="0" labelOnly="1" outline="0" axis="axisRow" fieldPosition="12"/>
    </format>
    <format dxfId="1474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74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474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474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474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474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74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474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474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473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473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473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473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4735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734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733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4732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473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473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72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72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72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472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472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472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472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472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72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72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71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71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471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471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471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471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71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471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471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471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470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470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470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470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70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470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703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4702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4701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4700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4699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4698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4697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69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69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69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69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69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469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469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68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468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468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68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468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468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468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682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4681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4680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4679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467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4677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4676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4675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674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467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467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467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467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466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466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466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466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466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466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466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466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466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466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465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465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465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465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465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465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465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465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465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465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464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464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464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64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4645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644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643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4642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464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464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63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638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463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463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635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4634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633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632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631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4630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4629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628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627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4626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62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62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62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62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62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462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461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61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461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61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461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461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461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461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461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461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460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60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460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60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60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60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60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60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60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460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59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459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459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59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459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4594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4593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4592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59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59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58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58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58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458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458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58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58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58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458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58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457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457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457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457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457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457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57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57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457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57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4569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4568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456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56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56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56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56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456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56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456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55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55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55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455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55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4554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553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4552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4551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455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4549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4548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4547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4546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4545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544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4543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542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4541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4540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53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453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53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53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53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53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53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453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53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53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452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452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452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52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52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52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452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52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452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52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51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451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51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51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51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51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451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451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51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51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50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50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50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450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50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50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450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50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50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50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449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449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449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449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49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49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449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449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9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449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48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8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8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48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85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484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83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482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4481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8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447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47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47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47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447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47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447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47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4471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70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469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68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46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46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46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46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46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446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446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46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45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445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45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45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45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45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45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445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445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45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44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44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44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444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44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444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44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444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44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444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4439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43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37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436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3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443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43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43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443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43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42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42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442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442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25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2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42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2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42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2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41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441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1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41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441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441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441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41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441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441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440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440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4407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4406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4405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404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4403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440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40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40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439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439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439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439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439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439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439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439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39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4390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4389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438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38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438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385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438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438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438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438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438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437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437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437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437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437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437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437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437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437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437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436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4368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4367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4366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4365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4364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4363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436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36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36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435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35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435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435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435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435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435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435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435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4350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349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348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4347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4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34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34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34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434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434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4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433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3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433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3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433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3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433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433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33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433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4329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28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432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432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32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32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432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432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2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432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4319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4318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4317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4316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4315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4314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4313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12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4311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4310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4309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0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4307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4306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430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4304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4303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30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30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30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29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429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429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429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429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429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429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429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429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429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428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428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28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28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428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428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428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428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428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428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427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427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427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427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427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427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427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4272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4271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4270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4269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426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26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426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4265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4264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4263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426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26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26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25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425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425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425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425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425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4253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252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425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25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424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4248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4247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424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424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4244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4243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424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424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424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423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423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423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423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423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423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423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423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423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423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422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4228">
      <pivotArea field="26" type="button" dataOnly="0" labelOnly="1" outline="0" axis="axisRow" fieldPosition="1"/>
    </format>
    <format dxfId="14227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4226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14225">
      <pivotArea field="29" type="button" dataOnly="0" labelOnly="1" outline="0" axis="axisRow" fieldPosition="4"/>
    </format>
    <format dxfId="14224">
      <pivotArea field="30" type="button" dataOnly="0" labelOnly="1" outline="0" axis="axisRow" fieldPosition="5"/>
    </format>
    <format dxfId="14223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4222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4221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4220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4219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4218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4217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4216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4215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4214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4213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4212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4211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4210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4209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4208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4207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4206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4205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4204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4203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4202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4201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4200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4199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4198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4197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4196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4195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4194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4193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4192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4191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4190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4189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4188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4187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4186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4185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4184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4183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4182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4181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4180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4179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4178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4177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4176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417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417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4173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4172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417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417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416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416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4167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416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416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4164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4163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4162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4161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4160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4159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15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415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415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415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415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415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415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415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415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4149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414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414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4146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4145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4144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414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414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4141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4140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4139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413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413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413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13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413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413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413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413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413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412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412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12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412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412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412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412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412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4121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412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411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4118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4117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116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411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411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411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411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411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411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10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410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410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410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10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4104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410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410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4101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10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409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409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409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409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09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409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409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409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409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409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408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088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408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408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4085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4084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408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408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408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408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4079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4078">
      <pivotArea field="33" type="button" dataOnly="0" labelOnly="1" outline="0" axis="axisRow" fieldPosition="8"/>
    </format>
    <format dxfId="14077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4076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4075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4074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407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407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407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407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406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406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406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406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406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406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4063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4062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406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406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405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405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405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405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405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405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4053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4052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4051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4050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404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404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404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404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404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404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404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1404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1404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1404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1403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1403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1403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1403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14035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14034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1403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14032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14031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14030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14029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14028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1402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1402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1402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1402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1402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1402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1402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1402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14019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1401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1401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14016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1401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401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4013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4012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4011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4010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4009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4008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4007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4006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4005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4004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4003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4002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4001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4000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3999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3998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3997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3996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3995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3994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3993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3992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3991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3990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398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398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398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398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398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398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398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398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398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398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397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397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397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397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397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3974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3973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397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397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3970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3969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3968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3967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3966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3965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3964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396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396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3961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3960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395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395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395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395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395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395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3953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3952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3951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13950">
      <pivotArea field="32" type="button" dataOnly="0" labelOnly="1" outline="0" axis="axisRow" fieldPosition="7"/>
    </format>
    <format dxfId="13949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13948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13947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1394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13945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13944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13943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13942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13941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394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1393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1393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13937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13936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13935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1393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1393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1393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1393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1393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1392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1392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1392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1392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1392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1392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1392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1392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1392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1392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1391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1391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1391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13916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13915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13914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13913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13912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13911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1391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1390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390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390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390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390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1390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1390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1390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1390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1390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1389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1389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1389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13896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13895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13894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13893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13892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13891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13890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1388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1388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1388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13886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13885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13884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1388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1388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1388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1388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387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1387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1387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1387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1387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1387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1387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1387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1387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1387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1386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1386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1386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1386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1386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1386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1386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1386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1386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1386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1385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1385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1385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1385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1385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1385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1385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1385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1385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1385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1384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1384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1384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13846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13845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13844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13843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13842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1384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13840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13839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13838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13837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13836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13835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13834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13833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13832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13831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13830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13829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13828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13827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13826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1382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1382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1382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1382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1382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1382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1381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1381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1381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1381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1381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1381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1381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1381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1381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1381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1380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1380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1380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1380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1380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1380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1380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1380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1380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1380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1379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1379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1379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1379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1379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1379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13793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13792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13791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1379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1378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1378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1378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1378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1378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1378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1378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1378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1378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1378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1377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1377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1377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1377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1377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1377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1377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1377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1377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1377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13769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13768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1376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1376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1376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1376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1376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1376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1376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1376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1375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1375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1375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1375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1375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1375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13753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13752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13751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13750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13749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13748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13747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13746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13745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13744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13743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13742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13741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13740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3739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1373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1373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1373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13735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13734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13733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13732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13731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13730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13729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13728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13727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13726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1372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372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1372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1372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1372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1372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1371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1371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1371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1371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1371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1371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1371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1371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1371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1371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1370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1370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1370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1370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1370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1370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1370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1370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1370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1370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1369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1369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1369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1369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1369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1369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1369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1369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1369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1369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1368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1368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1368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1368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1368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1368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1368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1368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1368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1368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1367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1367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1367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13676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13675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1367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1367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13672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13671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13670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13669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13668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13667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13666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13665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13664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13663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13662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13661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1366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1365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1365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1365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1365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1365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1365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1365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1365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1365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1365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1364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1364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13647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13646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13645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13644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13643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1364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1364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1364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1363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1363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1363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1363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1363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1363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1363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1363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1363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1363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1362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1362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1362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1362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1362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1362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1362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1362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1362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1362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1361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1361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1361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1361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1361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1361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1361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1361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1361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1361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1360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1360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1360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1360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1360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1360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1360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1360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13601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13600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13599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13598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13597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1359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1359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1359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1359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1359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1359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1359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1358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1358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1358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1358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13585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13584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13583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1358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1358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1358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1357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13578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13577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1357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13575">
      <pivotArea field="36" type="button" dataOnly="0" labelOnly="1" outline="0" axis="axisRow" fieldPosition="11"/>
    </format>
    <format dxfId="13574">
      <pivotArea field="37" type="button" dataOnly="0" labelOnly="1" outline="0" axis="axisRow" fieldPosition="12"/>
    </format>
    <format dxfId="1357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57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357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57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356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56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56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356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356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356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56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356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356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356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55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55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355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355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355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55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55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55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355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355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354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354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354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54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54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54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54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354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354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354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353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53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353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353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353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353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353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353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353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53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352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52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352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352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352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3524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352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352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352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52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51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51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51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351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351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51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351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351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351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351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350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350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507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350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350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3504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350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50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350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350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349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34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349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349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349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349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349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349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349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349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348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348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348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348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348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348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348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348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348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348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347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347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347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347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347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347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347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347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347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347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46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46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346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346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346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46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46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346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346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46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345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45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457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45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345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345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45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345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345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45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44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44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44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44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344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344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44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344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44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344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343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343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343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343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343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343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343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343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343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43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42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42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42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42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342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42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342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342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42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342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341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341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341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341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41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41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41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41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341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341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40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40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40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340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40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340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340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340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340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340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339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339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339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339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39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3394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339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339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39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39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38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38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338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38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338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38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338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38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338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338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3379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378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3377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337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337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337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37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337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337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3370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369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336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36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336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336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36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336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36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36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36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35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35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335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35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35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335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335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335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335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35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334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334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334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334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334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334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334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34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34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34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33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333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333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33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33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33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33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33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333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33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32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332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332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332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32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332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332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332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332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32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31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331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331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31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331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331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31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31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31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31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30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308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30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330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30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330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30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30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30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330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29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329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329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329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29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29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29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329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29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29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28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28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328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328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28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28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328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28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28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28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27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27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327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327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27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27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27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327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327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327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326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26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326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26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326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326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26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26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26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26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325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25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25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325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25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25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25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325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325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250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24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24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24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24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24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24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324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24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24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324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323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323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23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323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323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323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323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3232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323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323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229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3228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322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22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22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322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322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322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322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322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321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321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321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21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3215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3214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321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21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321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21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320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320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320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320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320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320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320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320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320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320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319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319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319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319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319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319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3193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192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3191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3190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318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318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318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18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18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318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18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318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318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318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317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317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317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317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3175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17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173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317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7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17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16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16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316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316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6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316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6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316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6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316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5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315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315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15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3155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315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5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315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315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15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14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314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314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4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314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3144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3143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3142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3141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3140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3139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3138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37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3136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3135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3134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33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3132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313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3130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3129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3128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2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12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12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12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312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312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312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312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311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311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311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311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311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311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311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11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11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311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310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310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10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310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310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310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310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310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310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310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09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309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3097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3096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095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3094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3093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092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309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309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3089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3088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308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08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08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08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308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308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3081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080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07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307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07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3076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075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307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307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307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3071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3070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06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306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306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06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306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306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306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306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306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306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305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305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05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305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05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305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3053">
      <pivotArea field="36" type="button" dataOnly="0" labelOnly="1" outline="0" axis="axisRow" fieldPosition="11"/>
    </format>
    <format dxfId="13052">
      <pivotArea field="37" type="button" dataOnly="0" labelOnly="1" outline="0" axis="axisRow" fieldPosition="12"/>
    </format>
    <format dxfId="1305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05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304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04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304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04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04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304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304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304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304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304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303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303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03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03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3035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303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303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03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03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03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302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302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302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302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302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02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02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02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02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302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301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301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301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01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301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301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301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301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301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301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300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00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300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00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300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3004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3003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300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3001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3000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99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99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99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99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99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299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99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99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299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299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98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298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98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298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98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2984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2983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2982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298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298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297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297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977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97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297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297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297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297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297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297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296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296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296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296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296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296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296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296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296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296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295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295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295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295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295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295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295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295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295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295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94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294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94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946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945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294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294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94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94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294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293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93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2937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936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93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934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933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293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93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930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929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92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92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92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92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92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292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292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92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292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91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291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291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291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291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291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291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291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91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291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90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90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90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90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90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90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90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90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90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290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89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289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289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896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895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89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89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89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89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89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88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288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88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88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88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288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88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88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88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88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87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87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287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87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87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287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87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872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871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287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86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86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86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86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86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86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286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86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86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86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285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85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857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856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2855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2854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285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285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285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85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2849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2848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84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2846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845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2844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2843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84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284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84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83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83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83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83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283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83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83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283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83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283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82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82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82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282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82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282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82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82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82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82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81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81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81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81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281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81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81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81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81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81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280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80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80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280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80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80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80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80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280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280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279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79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79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279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279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9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279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79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79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9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78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8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78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78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785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2784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78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78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78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78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77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277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77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277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77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277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7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772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771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77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76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76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76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76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276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276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76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76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276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76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75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75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75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75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75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275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75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75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75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75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274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74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74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74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274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74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274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274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74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40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739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73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73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73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73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273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73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73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73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273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72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728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2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72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2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72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72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72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272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72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71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271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271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271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71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271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71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271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271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271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2709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2708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707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2706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270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70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70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270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270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270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269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269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269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269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269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69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2693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2692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269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69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268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68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268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268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268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268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268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268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268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268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267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267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267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267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267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267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267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267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2671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670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669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266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266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666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266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66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66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266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66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266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265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265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265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265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265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265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265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652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65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65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4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64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64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64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64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64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4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64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4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64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3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63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3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63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263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63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263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632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3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263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262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62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62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262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62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2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62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2622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621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2620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619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2618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617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616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15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614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2613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612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1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261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260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2608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260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260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0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60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60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60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60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260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259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59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259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59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259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59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259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259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259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59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58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258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58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258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58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258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258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258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258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258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257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57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57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257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2575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574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573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572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257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57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56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56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567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566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256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56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56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56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256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56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55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55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55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55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55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55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55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55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255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255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254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254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54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54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254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54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254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54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54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54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53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253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253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253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53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253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53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253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2531">
      <pivotArea field="36" type="button" dataOnly="0" labelOnly="1" outline="0" axis="axisRow" fieldPosition="11"/>
    </format>
    <format dxfId="12530">
      <pivotArea field="37" type="button" dataOnly="0" labelOnly="1" outline="0" axis="axisRow" fieldPosition="12"/>
    </format>
    <format dxfId="1252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52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252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252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252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252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52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252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52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252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251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251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251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251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515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514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2513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251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251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51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50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50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250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250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250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250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250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50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50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50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49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249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249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249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249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49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249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249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249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249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248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248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248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48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248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484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2483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2482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2481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2480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2479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2478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47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47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47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47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47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247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47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47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246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246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46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246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46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246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463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2462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2461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2460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245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245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2457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2456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455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45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245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245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245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245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244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244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244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244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244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244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244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244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244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244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243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243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243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243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243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243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243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243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243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243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242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242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42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2426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425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424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423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242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242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42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41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2418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241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416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2415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414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413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412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411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2410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409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408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407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40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40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40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40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40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240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240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39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239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39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239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239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239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239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239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239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239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38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238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38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38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38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38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38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38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38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38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37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237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37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237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2375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374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373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37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37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37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36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36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36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236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36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36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36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236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36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36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35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35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35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35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235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35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35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235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35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350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2349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234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34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34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34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34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34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34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234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34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33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33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233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33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335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334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2333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2332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233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233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2329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328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2327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2326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325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2324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323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2322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2321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32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231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31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31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31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31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31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231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31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31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231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230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230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30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30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230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230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30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230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230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30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229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29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29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29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29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29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229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29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29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29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28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8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228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28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28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228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228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28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28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28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227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227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227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27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27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227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227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7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227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27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26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6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26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6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265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264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263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2262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26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26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25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25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25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225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25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225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25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2252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51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250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249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224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24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24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24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24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224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224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24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24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223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23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223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223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223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223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223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223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23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23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22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22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222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222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22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22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222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22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222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2220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219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1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217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21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221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221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221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221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21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221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220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220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220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206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0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20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0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220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220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220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219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219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219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219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219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219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9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219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19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219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218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2188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2187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2186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185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2184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218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8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18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218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217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217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217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217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217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217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217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7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2171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2170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216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6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216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16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2165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216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216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216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216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216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215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215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215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215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215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215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215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215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215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215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2149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148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147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2146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2145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144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214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4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14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214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13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213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213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213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213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213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213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213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2131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30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129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128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12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2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12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12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12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12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12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12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11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11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11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11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11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11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211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11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211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11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109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210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210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10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10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210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10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10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10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2100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099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2098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097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2096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095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094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093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092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2091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090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08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208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2087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208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208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2084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08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08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08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08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07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207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207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07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207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07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207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07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207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207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206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06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06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206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06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206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06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206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206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206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205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205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205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5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05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205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2053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52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05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50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204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04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04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04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045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44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204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04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04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04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203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03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03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03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03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03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033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03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03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03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202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2028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202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202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02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24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202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02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202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02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01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1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01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201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201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201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01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201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01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201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2009">
      <pivotArea field="29" type="button" dataOnly="0" labelOnly="1" outline="0" axis="axisRow" fieldPosition="4"/>
    </format>
    <format dxfId="12008">
      <pivotArea field="30" type="button" dataOnly="0" labelOnly="1" outline="0" axis="axisRow" fieldPosition="5"/>
    </format>
    <format dxfId="12007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2006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2005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2004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2003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2002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2001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2000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1999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1998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1997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1996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1995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1994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1993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1992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1991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1990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1989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1988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1987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1986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1985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1984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983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1982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1981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1980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979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1978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1977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976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1975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1974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1973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1972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1971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1970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1969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968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1967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1966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965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964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1963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1962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1961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1960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195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195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195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195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195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195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195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195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195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195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194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194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1947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194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194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194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94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94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194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194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193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93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193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193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193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193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1933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193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193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193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192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928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192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192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192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192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1923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192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92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192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91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191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191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191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91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91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191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91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91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91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90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190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190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190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90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90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190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90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90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90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189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189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89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189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189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89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89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89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89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189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88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88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88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88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88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88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88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188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88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88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87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187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87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87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187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87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87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872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187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187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186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86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86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186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186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86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86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1862">
      <pivotArea field="29" type="button" dataOnly="0" labelOnly="1" outline="0" axis="axisRow" fieldPosition="4"/>
    </format>
    <format dxfId="11861">
      <pivotArea field="30" type="button" dataOnly="0" labelOnly="1" outline="0" axis="axisRow" fieldPosition="5"/>
    </format>
    <format dxfId="11860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1859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1858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1857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1856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1855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1854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1853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1852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1851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1850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1849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1848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1847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1846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1845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1844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1843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1842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1841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1840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1839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1838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1837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836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1835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1834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1833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832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1831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1830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829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1828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1827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1826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1825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1824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1823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1822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821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1820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1819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818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817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1816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1815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1814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1813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1812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1811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1810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180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180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1807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1806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180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180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1803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1802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1801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1800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1799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1798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1797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796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9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179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179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179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79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179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178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178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1787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1786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1785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1784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1783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178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781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1780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1779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1778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1777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1776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177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77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177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7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177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177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176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76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76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176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76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6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76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76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176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1760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1759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758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757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1756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755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754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53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175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175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75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174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174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74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4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74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744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1743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42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74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740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739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738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3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73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173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73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73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3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173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173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172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1728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72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72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25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1724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1723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1722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172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72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1719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1718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171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171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1715">
      <pivotArea field="39" type="button" dataOnly="0" labelOnly="1" outline="0" axis="axisRow" fieldPosition="14"/>
    </format>
    <format dxfId="1171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71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171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7"/>
          </reference>
        </references>
      </pivotArea>
    </format>
    <format dxfId="1171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8"/>
          </reference>
        </references>
      </pivotArea>
    </format>
    <format dxfId="1171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70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70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70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70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70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70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70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70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7"/>
          </reference>
          <reference field="37" count="1" selected="0">
            <x v="1"/>
          </reference>
          <reference field="38" count="0" selected="0"/>
          <reference field="39" count="1">
            <x v="85"/>
          </reference>
        </references>
      </pivotArea>
    </format>
    <format dxfId="1170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170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83"/>
          </reference>
        </references>
      </pivotArea>
    </format>
    <format dxfId="1169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169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169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169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144"/>
          </reference>
        </references>
      </pivotArea>
    </format>
    <format dxfId="1169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169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9"/>
          </reference>
        </references>
      </pivotArea>
    </format>
    <format dxfId="1169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1"/>
          </reference>
          <reference field="38" count="0" selected="0"/>
          <reference field="39" count="1">
            <x v="113"/>
          </reference>
        </references>
      </pivotArea>
    </format>
    <format dxfId="1169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1"/>
          </reference>
          <reference field="38" count="0" selected="0"/>
          <reference field="39" count="1">
            <x v="158"/>
          </reference>
        </references>
      </pivotArea>
    </format>
    <format dxfId="1169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 selected="0">
            <x v="13"/>
          </reference>
          <reference field="38" count="0" selected="0"/>
          <reference field="39" count="1">
            <x v="193"/>
          </reference>
        </references>
      </pivotArea>
    </format>
    <format dxfId="11690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8"/>
          </reference>
        </references>
      </pivotArea>
    </format>
    <format dxfId="11689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2"/>
          </reference>
          <reference field="38" count="0" selected="0"/>
          <reference field="39" count="1">
            <x v="172"/>
          </reference>
        </references>
      </pivotArea>
    </format>
    <format dxfId="11688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687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686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685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684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683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682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7"/>
          </reference>
          <reference field="37" count="1" selected="0">
            <x v="1"/>
          </reference>
          <reference field="38" count="0" selected="0"/>
          <reference field="39" count="1">
            <x v="108"/>
          </reference>
        </references>
      </pivotArea>
    </format>
    <format dxfId="1168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71"/>
          </reference>
        </references>
      </pivotArea>
    </format>
    <format dxfId="1168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67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67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67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67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67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67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67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67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1"/>
          </reference>
          <reference field="38" count="0" selected="0"/>
          <reference field="39" count="1">
            <x v="152"/>
          </reference>
        </references>
      </pivotArea>
    </format>
    <format dxfId="1167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167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166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2"/>
          </reference>
        </references>
      </pivotArea>
    </format>
    <format dxfId="1166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166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66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66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66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66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66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66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66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65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65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65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165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65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2"/>
          </reference>
          <reference field="38" count="0" selected="0"/>
          <reference field="39" count="1">
            <x v="151"/>
          </reference>
        </references>
      </pivotArea>
    </format>
    <format dxfId="1165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1165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1165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4"/>
          </reference>
        </references>
      </pivotArea>
    </format>
    <format dxfId="1165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165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1164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164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164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164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164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164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164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164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1164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7"/>
          </reference>
        </references>
      </pivotArea>
    </format>
    <format dxfId="1164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63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75"/>
          </reference>
        </references>
      </pivotArea>
    </format>
    <format dxfId="1163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1637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11636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11635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1634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7"/>
          </reference>
        </references>
      </pivotArea>
    </format>
    <format dxfId="11633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1632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2"/>
          </reference>
          <reference field="37" count="1" selected="0">
            <x v="1"/>
          </reference>
          <reference field="38" count="0" selected="0"/>
          <reference field="39" count="1">
            <x v="156"/>
          </reference>
        </references>
      </pivotArea>
    </format>
    <format dxfId="11631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8"/>
          </reference>
          <reference field="37" count="1" selected="0">
            <x v="1"/>
          </reference>
          <reference field="38" count="0" selected="0"/>
          <reference field="39" count="1">
            <x v="42"/>
          </reference>
        </references>
      </pivotArea>
    </format>
    <format dxfId="11630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3"/>
          </reference>
          <reference field="37" count="1" selected="0">
            <x v="1"/>
          </reference>
          <reference field="38" count="0" selected="0"/>
          <reference field="39" count="1">
            <x v="13"/>
          </reference>
        </references>
      </pivotArea>
    </format>
    <format dxfId="11629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0"/>
          </reference>
        </references>
      </pivotArea>
    </format>
    <format dxfId="11628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6"/>
          </reference>
        </references>
      </pivotArea>
    </format>
    <format dxfId="11627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 selected="0">
            <x v="1"/>
          </reference>
          <reference field="38" count="0" selected="0"/>
          <reference field="39" count="1">
            <x v="6"/>
          </reference>
        </references>
      </pivotArea>
    </format>
    <format dxfId="11626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5"/>
          </reference>
        </references>
      </pivotArea>
    </format>
    <format dxfId="1162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62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62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62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62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62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61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61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61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61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61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61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161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1"/>
          </reference>
        </references>
      </pivotArea>
    </format>
    <format dxfId="1161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0"/>
          </reference>
        </references>
      </pivotArea>
    </format>
    <format dxfId="1161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 selected="0">
            <x v="1"/>
          </reference>
          <reference field="38" count="0" selected="0"/>
          <reference field="39" count="1">
            <x v="51"/>
          </reference>
        </references>
      </pivotArea>
    </format>
    <format dxfId="1161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160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160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1160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1160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1160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1160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160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1602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"/>
          </reference>
          <reference field="38" count="0" selected="0"/>
          <reference field="39" count="1">
            <x v="148"/>
          </reference>
        </references>
      </pivotArea>
    </format>
    <format dxfId="11601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1"/>
          </reference>
        </references>
      </pivotArea>
    </format>
    <format dxfId="11600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9"/>
          </reference>
        </references>
      </pivotArea>
    </format>
    <format dxfId="11599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8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7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6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5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4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3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2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1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90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11589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1588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1587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1586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1585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584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11583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582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581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11580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11579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0"/>
          </reference>
        </references>
      </pivotArea>
    </format>
    <format dxfId="1157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1"/>
          </reference>
          <reference field="38" count="0" selected="0"/>
          <reference field="39" count="1">
            <x v="17"/>
          </reference>
        </references>
      </pivotArea>
    </format>
    <format dxfId="1157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 selected="0">
            <x v="1"/>
          </reference>
          <reference field="38" count="0" selected="0"/>
          <reference field="39" count="1">
            <x v="91"/>
          </reference>
        </references>
      </pivotArea>
    </format>
    <format dxfId="1157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32"/>
          </reference>
        </references>
      </pivotArea>
    </format>
    <format dxfId="1157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6"/>
          </reference>
          <reference field="37" count="1" selected="0">
            <x v="1"/>
          </reference>
          <reference field="38" count="0" selected="0"/>
          <reference field="39" count="1">
            <x v="169"/>
          </reference>
        </references>
      </pivotArea>
    </format>
    <format dxfId="1157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1157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 selected="0">
            <x v="1"/>
          </reference>
          <reference field="38" count="0" selected="0"/>
          <reference field="39" count="1">
            <x v="161"/>
          </reference>
        </references>
      </pivotArea>
    </format>
    <format dxfId="1157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2"/>
          </reference>
        </references>
      </pivotArea>
    </format>
    <format dxfId="1157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77"/>
          </reference>
        </references>
      </pivotArea>
    </format>
    <format dxfId="1157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9"/>
          </reference>
          <reference field="37" count="1" selected="0">
            <x v="1"/>
          </reference>
          <reference field="38" count="0" selected="0"/>
          <reference field="39" count="1">
            <x v="75"/>
          </reference>
        </references>
      </pivotArea>
    </format>
    <format dxfId="1156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0"/>
          </reference>
          <reference field="37" count="1" selected="0">
            <x v="1"/>
          </reference>
          <reference field="38" count="0" selected="0"/>
          <reference field="39" count="1">
            <x v="69"/>
          </reference>
        </references>
      </pivotArea>
    </format>
    <format dxfId="1156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1"/>
          </reference>
          <reference field="38" count="0" selected="0"/>
          <reference field="39" count="1">
            <x v="73"/>
          </reference>
        </references>
      </pivotArea>
    </format>
    <format dxfId="1156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2"/>
          </reference>
          <reference field="37" count="1" selected="0">
            <x v="1"/>
          </reference>
          <reference field="38" count="0" selected="0"/>
          <reference field="39" count="1">
            <x v="70"/>
          </reference>
        </references>
      </pivotArea>
    </format>
    <format dxfId="1156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3"/>
          </reference>
          <reference field="37" count="1" selected="0">
            <x v="1"/>
          </reference>
          <reference field="38" count="0" selected="0"/>
          <reference field="39" count="1">
            <x v="76"/>
          </reference>
        </references>
      </pivotArea>
    </format>
    <format dxfId="1156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4"/>
          </reference>
          <reference field="37" count="1" selected="0">
            <x v="1"/>
          </reference>
          <reference field="38" count="0" selected="0"/>
          <reference field="39" count="1">
            <x v="81"/>
          </reference>
        </references>
      </pivotArea>
    </format>
    <format dxfId="1156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5"/>
          </reference>
          <reference field="37" count="1" selected="0">
            <x v="1"/>
          </reference>
          <reference field="38" count="0" selected="0"/>
          <reference field="39" count="1">
            <x v="71"/>
          </reference>
        </references>
      </pivotArea>
    </format>
    <format dxfId="1156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6"/>
          </reference>
          <reference field="37" count="1" selected="0">
            <x v="1"/>
          </reference>
          <reference field="38" count="0" selected="0"/>
          <reference field="39" count="1">
            <x v="34"/>
          </reference>
        </references>
      </pivotArea>
    </format>
    <format dxfId="1156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7"/>
          </reference>
          <reference field="37" count="1" selected="0">
            <x v="1"/>
          </reference>
          <reference field="38" count="0" selected="0"/>
          <reference field="39" count="1">
            <x v="74"/>
          </reference>
        </references>
      </pivotArea>
    </format>
    <format dxfId="1156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8"/>
          </reference>
          <reference field="37" count="1" selected="0">
            <x v="1"/>
          </reference>
          <reference field="38" count="0" selected="0"/>
          <reference field="39" count="1">
            <x v="78"/>
          </reference>
        </references>
      </pivotArea>
    </format>
    <format dxfId="1156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2"/>
          </reference>
          <reference field="38" count="0" selected="0"/>
          <reference field="39" count="1">
            <x v="72"/>
          </reference>
        </references>
      </pivotArea>
    </format>
    <format dxfId="1155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136"/>
          </reference>
        </references>
      </pivotArea>
    </format>
    <format dxfId="1155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1"/>
          </reference>
          <reference field="38" count="0" selected="0"/>
          <reference field="39" count="1">
            <x v="92"/>
          </reference>
        </references>
      </pivotArea>
    </format>
    <format dxfId="1155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2"/>
          </reference>
          <reference field="38" count="0" selected="0"/>
          <reference field="39" count="1">
            <x v="80"/>
          </reference>
        </references>
      </pivotArea>
    </format>
    <format dxfId="1155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3"/>
          </reference>
          <reference field="38" count="0" selected="0"/>
          <reference field="39" count="1">
            <x v="79"/>
          </reference>
        </references>
      </pivotArea>
    </format>
    <format dxfId="1155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1155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1155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5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 selected="0">
            <x v="31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5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 selected="0">
            <x v="317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5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 selected="0">
            <x v="31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4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4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4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 selected="0">
            <x v="315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4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 selected="0">
            <x v="316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4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 selected="0">
            <x v="31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1154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 selected="0">
            <x v="1"/>
          </reference>
          <reference field="38" count="0" selected="0"/>
          <reference field="39" count="1">
            <x v="12"/>
          </reference>
        </references>
      </pivotArea>
    </format>
    <format dxfId="1154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1154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1154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1154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1153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 selected="0">
            <x v="1"/>
          </reference>
          <reference field="38" count="0" selected="0"/>
          <reference field="39" count="1">
            <x v="93"/>
          </reference>
        </references>
      </pivotArea>
    </format>
    <format dxfId="1153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2"/>
          </reference>
          <reference field="38" count="0" selected="0"/>
          <reference field="39" count="1">
            <x v="95"/>
          </reference>
        </references>
      </pivotArea>
    </format>
    <format dxfId="1153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 selected="0">
            <x v="1"/>
          </reference>
          <reference field="38" count="0" selected="0"/>
          <reference field="39" count="1">
            <x v="33"/>
          </reference>
        </references>
      </pivotArea>
    </format>
    <format dxfId="1153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1"/>
          </reference>
          <reference field="37" count="1" selected="0">
            <x v="1"/>
          </reference>
          <reference field="38" count="0" selected="0"/>
          <reference field="39" count="1">
            <x v="15"/>
          </reference>
        </references>
      </pivotArea>
    </format>
    <format dxfId="1153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4"/>
          </reference>
        </references>
      </pivotArea>
    </format>
    <format dxfId="1153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1533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195"/>
          </reference>
        </references>
      </pivotArea>
    </format>
    <format dxfId="11532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196"/>
          </reference>
        </references>
      </pivotArea>
    </format>
    <format dxfId="11531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197"/>
          </reference>
        </references>
      </pivotArea>
    </format>
    <format dxfId="11530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11529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79"/>
          </reference>
          <reference field="37" count="1" selected="0">
            <x v="1"/>
          </reference>
          <reference field="38" count="0" selected="0"/>
          <reference field="39" count="1">
            <x v="198"/>
          </reference>
        </references>
      </pivotArea>
    </format>
    <format dxfId="11528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 selected="0">
            <x v="1"/>
          </reference>
          <reference field="38" count="0" selected="0"/>
          <reference field="39" count="1">
            <x v="45"/>
          </reference>
        </references>
      </pivotArea>
    </format>
    <format dxfId="11527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3"/>
          </reference>
        </references>
      </pivotArea>
    </format>
    <format dxfId="11526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1525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2"/>
          </reference>
        </references>
      </pivotArea>
    </format>
    <format dxfId="11524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0"/>
          </reference>
        </references>
      </pivotArea>
    </format>
    <format dxfId="11523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1522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5"/>
          </reference>
          <reference field="37" count="1" selected="0">
            <x v="1"/>
          </reference>
          <reference field="38" count="0" selected="0"/>
          <reference field="39" count="1">
            <x v="177"/>
          </reference>
        </references>
      </pivotArea>
    </format>
    <format dxfId="11521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1520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00"/>
          </reference>
        </references>
      </pivotArea>
    </format>
    <format dxfId="11519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199"/>
          </reference>
        </references>
      </pivotArea>
    </format>
    <format dxfId="11518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21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199"/>
          </reference>
        </references>
      </pivotArea>
    </format>
    <format dxfId="11517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01"/>
          </reference>
        </references>
      </pivotArea>
    </format>
    <format dxfId="11516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02"/>
          </reference>
        </references>
      </pivotArea>
    </format>
    <format dxfId="11515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02"/>
          </reference>
        </references>
      </pivotArea>
    </format>
    <format dxfId="11514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7"/>
          </reference>
        </references>
      </pivotArea>
    </format>
    <format dxfId="11513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8"/>
          </reference>
        </references>
      </pivotArea>
    </format>
    <format dxfId="11512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11511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1"/>
          </reference>
        </references>
      </pivotArea>
    </format>
    <format dxfId="11510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8"/>
          </reference>
        </references>
      </pivotArea>
    </format>
    <format dxfId="11509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7"/>
          </reference>
        </references>
      </pivotArea>
    </format>
    <format dxfId="11508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1507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5"/>
          </reference>
        </references>
      </pivotArea>
    </format>
    <format dxfId="11506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150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50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50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50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50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50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49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49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49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49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49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149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3"/>
          </reference>
          <reference field="38" count="0" selected="0"/>
          <reference field="39" count="1">
            <x v="174"/>
          </reference>
        </references>
      </pivotArea>
    </format>
    <format dxfId="1149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4"/>
          </reference>
          <reference field="38" count="0" selected="0"/>
          <reference field="39" count="1">
            <x v="50"/>
          </reference>
        </references>
      </pivotArea>
    </format>
    <format dxfId="1149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3"/>
          </reference>
        </references>
      </pivotArea>
    </format>
    <format dxfId="1149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149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148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1"/>
          </reference>
          <reference field="38" count="0" selected="0"/>
          <reference field="39" count="1">
            <x v="49"/>
          </reference>
        </references>
      </pivotArea>
    </format>
    <format dxfId="1148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6"/>
          </reference>
        </references>
      </pivotArea>
    </format>
    <format dxfId="1148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148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5"/>
          </reference>
          <reference field="38" count="0" selected="0"/>
          <reference field="39" count="1">
            <x v="47"/>
          </reference>
        </references>
      </pivotArea>
    </format>
    <format dxfId="1148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2"/>
          </reference>
          <reference field="38" count="0" selected="0"/>
          <reference field="39" count="1">
            <x v="48"/>
          </reference>
        </references>
      </pivotArea>
    </format>
    <format dxfId="1148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3"/>
          </reference>
        </references>
      </pivotArea>
    </format>
    <format dxfId="1148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1"/>
          </reference>
          <reference field="38" count="0" selected="0"/>
          <reference field="39" count="1">
            <x v="40"/>
          </reference>
        </references>
      </pivotArea>
    </format>
    <format dxfId="1148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2"/>
          </reference>
          <reference field="38" count="0" selected="0"/>
          <reference field="39" count="1">
            <x v="41"/>
          </reference>
        </references>
      </pivotArea>
    </format>
    <format dxfId="1148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148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11"/>
          </reference>
        </references>
      </pivotArea>
    </format>
    <format dxfId="1147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147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147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147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10"/>
          </reference>
        </references>
      </pivotArea>
    </format>
    <format dxfId="1147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147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52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1147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147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47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47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46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46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46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46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46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46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46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46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46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146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7"/>
          </reference>
        </references>
      </pivotArea>
    </format>
    <format dxfId="1145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9"/>
          </reference>
        </references>
      </pivotArea>
    </format>
    <format dxfId="1145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3"/>
          </reference>
        </references>
      </pivotArea>
    </format>
    <format dxfId="1145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1145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20"/>
          </reference>
        </references>
      </pivotArea>
    </format>
    <format dxfId="11455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11454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1453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1452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1451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6"/>
          </reference>
        </references>
      </pivotArea>
    </format>
    <format dxfId="1145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44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44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44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44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44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44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44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44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44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44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43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43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1143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143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1143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1"/>
          </reference>
          <reference field="37" count="1" selected="0">
            <x v="1"/>
          </reference>
          <reference field="38" count="0" selected="0"/>
          <reference field="39" count="1">
            <x v="96"/>
          </reference>
        </references>
      </pivotArea>
    </format>
    <format dxfId="1143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143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1143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143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143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1142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142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142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1142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142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142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1142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142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142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4"/>
          </reference>
        </references>
      </pivotArea>
    </format>
    <format dxfId="1142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141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9"/>
          </reference>
        </references>
      </pivotArea>
    </format>
    <format dxfId="1141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87"/>
          </reference>
        </references>
      </pivotArea>
    </format>
    <format dxfId="1141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5"/>
          </reference>
        </references>
      </pivotArea>
    </format>
    <format dxfId="1141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1141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41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1413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11412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11411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11410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9"/>
          </reference>
          <reference field="38" count="0" selected="0"/>
          <reference field="39" count="1">
            <x v="153"/>
          </reference>
        </references>
      </pivotArea>
    </format>
    <format dxfId="1140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40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40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40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40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40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40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40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40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40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39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39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139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139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139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139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8"/>
          </reference>
        </references>
      </pivotArea>
    </format>
    <format dxfId="1139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139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8"/>
          </reference>
        </references>
      </pivotArea>
    </format>
    <format dxfId="1139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1139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1389">
      <pivotArea dataOnly="0" labelOnly="1" outline="0" fieldPosition="0">
        <references count="1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1388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11387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1386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11385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11384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1383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11382">
      <pivotArea dataOnly="0" labelOnly="1" outline="0" fieldPosition="0">
        <references count="1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1381">
      <pivotArea dataOnly="0" labelOnly="1" outline="0" fieldPosition="0">
        <references count="1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4"/>
          </reference>
        </references>
      </pivotArea>
    </format>
    <format dxfId="11380">
      <pivotArea dataOnly="0" labelOnly="1" outline="0" fieldPosition="0">
        <references count="15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1379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9"/>
          </reference>
        </references>
      </pivotArea>
    </format>
    <format dxfId="11378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1377">
      <pivotArea dataOnly="0" labelOnly="1" outline="0" fieldPosition="0">
        <references count="15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 selected="0">
            <x v="2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11376">
      <pivotArea dataOnly="0" labelOnly="1" outline="0" fieldPosition="0">
        <references count="1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6"/>
          </reference>
        </references>
      </pivotArea>
    </format>
    <format dxfId="11375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11374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1373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11372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11371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 selected="0">
            <x v="1"/>
          </reference>
          <reference field="38" count="0" selected="0"/>
          <reference field="39" count="1">
            <x v="3"/>
          </reference>
        </references>
      </pivotArea>
    </format>
    <format dxfId="1137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36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36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367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1366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87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1365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86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1364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85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136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11362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5"/>
          </reference>
        </references>
      </pivotArea>
    </format>
    <format dxfId="11361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1"/>
          </reference>
          <reference field="38" count="0" selected="0"/>
          <reference field="39" count="1">
            <x v="135"/>
          </reference>
        </references>
      </pivotArea>
    </format>
    <format dxfId="1136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5"/>
          </reference>
        </references>
      </pivotArea>
    </format>
    <format dxfId="1135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7"/>
          </reference>
        </references>
      </pivotArea>
    </format>
    <format dxfId="11358">
      <pivotArea dataOnly="0" labelOnly="1" outline="0" fieldPosition="0">
        <references count="1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9"/>
          </reference>
        </references>
      </pivotArea>
    </format>
    <format dxfId="11357">
      <pivotArea dataOnly="0" labelOnly="1" outline="0" fieldPosition="0">
        <references count="1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5"/>
          </reference>
        </references>
      </pivotArea>
    </format>
    <format dxfId="11356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1"/>
          </reference>
        </references>
      </pivotArea>
    </format>
    <format dxfId="11355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1"/>
          </reference>
        </references>
      </pivotArea>
    </format>
    <format dxfId="11354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0"/>
          </reference>
        </references>
      </pivotArea>
    </format>
    <format dxfId="11353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3"/>
          </reference>
        </references>
      </pivotArea>
    </format>
    <format dxfId="11352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11351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11350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11349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11348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9"/>
          </reference>
        </references>
      </pivotArea>
    </format>
    <format dxfId="1134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34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34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34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34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34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34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34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33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33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33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33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33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5"/>
          </reference>
        </references>
      </pivotArea>
    </format>
    <format dxfId="1133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2"/>
          </reference>
        </references>
      </pivotArea>
    </format>
    <format dxfId="1133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8"/>
          </reference>
        </references>
      </pivotArea>
    </format>
    <format dxfId="1133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133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4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133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4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1132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1132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3"/>
          </reference>
          <reference field="38" count="0" selected="0"/>
          <reference field="39" count="1">
            <x v="83"/>
          </reference>
        </references>
      </pivotArea>
    </format>
    <format dxfId="1132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132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7"/>
          </reference>
        </references>
      </pivotArea>
    </format>
    <format dxfId="1132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2"/>
          </reference>
        </references>
      </pivotArea>
    </format>
    <format dxfId="1132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1132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6"/>
          </reference>
        </references>
      </pivotArea>
    </format>
    <format dxfId="1132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 selected="0">
            <x v="3"/>
          </reference>
          <reference field="38" count="0" selected="0"/>
          <reference field="39" count="1">
            <x v="82"/>
          </reference>
        </references>
      </pivotArea>
    </format>
    <format dxfId="1132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1132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3"/>
          </reference>
          <reference field="38" count="0" selected="0"/>
          <reference field="39" count="1">
            <x v="191"/>
          </reference>
        </references>
      </pivotArea>
    </format>
    <format dxfId="1131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4"/>
          </reference>
          <reference field="38" count="0" selected="0"/>
          <reference field="39" count="1">
            <x v="192"/>
          </reference>
        </references>
      </pivotArea>
    </format>
    <format dxfId="1131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1131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1131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1131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31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31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31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31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31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30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30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30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30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30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30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109"/>
          </reference>
        </references>
      </pivotArea>
    </format>
    <format dxfId="1130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1130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130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1130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7"/>
          </reference>
        </references>
      </pivotArea>
    </format>
    <format dxfId="1129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56"/>
          </reference>
        </references>
      </pivotArea>
    </format>
    <format dxfId="1129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1129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09"/>
          </reference>
        </references>
      </pivotArea>
    </format>
    <format dxfId="1129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10"/>
          </reference>
        </references>
      </pivotArea>
    </format>
    <format dxfId="1129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03"/>
          </reference>
        </references>
      </pivotArea>
    </format>
    <format dxfId="1129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04"/>
          </reference>
        </references>
      </pivotArea>
    </format>
    <format dxfId="1129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05"/>
          </reference>
        </references>
      </pivotArea>
    </format>
    <format dxfId="1129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06"/>
          </reference>
        </references>
      </pivotArea>
    </format>
    <format dxfId="1129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07"/>
          </reference>
        </references>
      </pivotArea>
    </format>
    <format dxfId="1129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7"/>
          </reference>
          <reference field="38" count="0" selected="0"/>
          <reference field="39" count="1">
            <x v="208"/>
          </reference>
        </references>
      </pivotArea>
    </format>
    <format dxfId="1128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11"/>
          </reference>
        </references>
      </pivotArea>
    </format>
    <format dxfId="1128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12"/>
          </reference>
        </references>
      </pivotArea>
    </format>
    <format dxfId="1128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1128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03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1128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128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1128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213"/>
          </reference>
        </references>
      </pivotArea>
    </format>
    <format dxfId="1128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1128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14"/>
          </reference>
        </references>
      </pivotArea>
    </format>
    <format dxfId="1128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2">
            <x v="98"/>
            <x v="99"/>
          </reference>
        </references>
      </pivotArea>
    </format>
    <format dxfId="1127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1127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15"/>
          </reference>
        </references>
      </pivotArea>
    </format>
    <format dxfId="1127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9"/>
          </reference>
        </references>
      </pivotArea>
    </format>
    <format dxfId="1127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87"/>
          </reference>
          <reference field="37" count="1" selected="0">
            <x v="1"/>
          </reference>
          <reference field="38" count="0" selected="0"/>
          <reference field="39" count="1">
            <x v="16"/>
          </reference>
        </references>
      </pivotArea>
    </format>
    <format dxfId="1127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83"/>
          </reference>
          <reference field="37" count="1" selected="0">
            <x v="1"/>
          </reference>
          <reference field="38" count="0" selected="0"/>
          <reference field="39" count="1">
            <x v="216"/>
          </reference>
        </references>
      </pivotArea>
    </format>
    <format dxfId="1127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 selected="0">
            <x v="5"/>
          </reference>
          <reference field="38" count="0" selected="0"/>
          <reference field="39" count="1">
            <x v="217"/>
          </reference>
        </references>
      </pivotArea>
    </format>
    <format dxfId="1127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1272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7"/>
          </reference>
          <reference field="38" count="0" selected="0"/>
          <reference field="39" count="1">
            <x v="218"/>
          </reference>
        </references>
      </pivotArea>
    </format>
    <format dxfId="11271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19"/>
          </reference>
        </references>
      </pivotArea>
    </format>
    <format dxfId="11270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19"/>
          </reference>
        </references>
      </pivotArea>
    </format>
    <format dxfId="11269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0"/>
          </reference>
        </references>
      </pivotArea>
    </format>
    <format dxfId="11268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21"/>
          </reference>
        </references>
      </pivotArea>
    </format>
    <format dxfId="11267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22"/>
          </reference>
        </references>
      </pivotArea>
    </format>
    <format dxfId="11266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23"/>
          </reference>
        </references>
      </pivotArea>
    </format>
    <format dxfId="11265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24"/>
          </reference>
        </references>
      </pivotArea>
    </format>
    <format dxfId="11264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25"/>
          </reference>
        </references>
      </pivotArea>
    </format>
    <format dxfId="11263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6"/>
          </reference>
        </references>
      </pivotArea>
    </format>
    <format dxfId="11262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11261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11260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27"/>
          </reference>
        </references>
      </pivotArea>
    </format>
    <format dxfId="11259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8"/>
          </reference>
        </references>
      </pivotArea>
    </format>
    <format dxfId="11258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32"/>
          </reference>
        </references>
      </pivotArea>
    </format>
    <format dxfId="11257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8"/>
          </reference>
        </references>
      </pivotArea>
    </format>
    <format dxfId="11256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33"/>
          </reference>
        </references>
      </pivotArea>
    </format>
    <format dxfId="11255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29"/>
          </reference>
        </references>
      </pivotArea>
    </format>
    <format dxfId="11254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30"/>
          </reference>
        </references>
      </pivotArea>
    </format>
    <format dxfId="11253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31"/>
          </reference>
        </references>
      </pivotArea>
    </format>
    <format dxfId="11252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8"/>
          </reference>
        </references>
      </pivotArea>
    </format>
    <format dxfId="11251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34"/>
          </reference>
        </references>
      </pivotArea>
    </format>
    <format dxfId="11250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35"/>
          </reference>
        </references>
      </pivotArea>
    </format>
    <format dxfId="11249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41"/>
          </reference>
        </references>
      </pivotArea>
    </format>
    <format dxfId="11248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36"/>
          </reference>
        </references>
      </pivotArea>
    </format>
    <format dxfId="11247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37"/>
          </reference>
        </references>
      </pivotArea>
    </format>
    <format dxfId="11246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38"/>
          </reference>
        </references>
      </pivotArea>
    </format>
    <format dxfId="11245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39"/>
          </reference>
        </references>
      </pivotArea>
    </format>
    <format dxfId="11244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40"/>
          </reference>
        </references>
      </pivotArea>
    </format>
    <format dxfId="11243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42"/>
          </reference>
        </references>
      </pivotArea>
    </format>
    <format dxfId="11242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102"/>
          </reference>
          <reference field="37" count="1" selected="0">
            <x v="1"/>
          </reference>
          <reference field="38" count="0" selected="0"/>
          <reference field="39" count="1">
            <x v="243"/>
          </reference>
        </references>
      </pivotArea>
    </format>
    <format dxfId="11241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44"/>
          </reference>
        </references>
      </pivotArea>
    </format>
    <format dxfId="11240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45"/>
          </reference>
        </references>
      </pivotArea>
    </format>
    <format dxfId="11239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46"/>
          </reference>
        </references>
      </pivotArea>
    </format>
    <format dxfId="11238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47"/>
          </reference>
        </references>
      </pivotArea>
    </format>
    <format dxfId="11237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48"/>
          </reference>
        </references>
      </pivotArea>
    </format>
    <format dxfId="11236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11235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7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11234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51"/>
          </reference>
        </references>
      </pivotArea>
    </format>
    <format dxfId="11233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45"/>
          </reference>
        </references>
      </pivotArea>
    </format>
    <format dxfId="11232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50"/>
          </reference>
        </references>
      </pivotArea>
    </format>
    <format dxfId="11231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11230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11229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11228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52"/>
          </reference>
        </references>
      </pivotArea>
    </format>
    <format dxfId="11227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53"/>
          </reference>
        </references>
      </pivotArea>
    </format>
    <format dxfId="11226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54"/>
          </reference>
        </references>
      </pivotArea>
    </format>
    <format dxfId="11225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255"/>
          </reference>
        </references>
      </pivotArea>
    </format>
    <format dxfId="11224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56"/>
          </reference>
        </references>
      </pivotArea>
    </format>
    <format dxfId="11223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61"/>
          </reference>
        </references>
      </pivotArea>
    </format>
    <format dxfId="11222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56"/>
          </reference>
        </references>
      </pivotArea>
    </format>
    <format dxfId="11221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57"/>
          </reference>
        </references>
      </pivotArea>
    </format>
    <format dxfId="11220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58"/>
          </reference>
        </references>
      </pivotArea>
    </format>
    <format dxfId="11219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59"/>
          </reference>
        </references>
      </pivotArea>
    </format>
    <format dxfId="11218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60"/>
          </reference>
        </references>
      </pivotArea>
    </format>
    <format dxfId="11217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62"/>
          </reference>
        </references>
      </pivotArea>
    </format>
    <format dxfId="11216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63"/>
          </reference>
        </references>
      </pivotArea>
    </format>
    <format dxfId="11215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264"/>
          </reference>
        </references>
      </pivotArea>
    </format>
    <format dxfId="1121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21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21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21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21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20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208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207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20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20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65"/>
          </reference>
        </references>
      </pivotArea>
    </format>
    <format dxfId="1120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66"/>
          </reference>
        </references>
      </pivotArea>
    </format>
    <format dxfId="1120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67"/>
          </reference>
        </references>
      </pivotArea>
    </format>
    <format dxfId="1120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67"/>
          </reference>
        </references>
      </pivotArea>
    </format>
    <format dxfId="1120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65"/>
          </reference>
        </references>
      </pivotArea>
    </format>
    <format dxfId="1120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71"/>
          </reference>
        </references>
      </pivotArea>
    </format>
    <format dxfId="1119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69"/>
          </reference>
        </references>
      </pivotArea>
    </format>
    <format dxfId="11198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70"/>
          </reference>
        </references>
      </pivotArea>
    </format>
    <format dxfId="11197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1119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25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1119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2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1119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24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1119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72"/>
          </reference>
        </references>
      </pivotArea>
    </format>
    <format dxfId="1119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1119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1119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1118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1118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1118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1118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1118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1118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1118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1118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1118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73"/>
          </reference>
        </references>
      </pivotArea>
    </format>
    <format dxfId="1118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75"/>
          </reference>
        </references>
      </pivotArea>
    </format>
    <format dxfId="1117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76"/>
          </reference>
        </references>
      </pivotArea>
    </format>
    <format dxfId="1117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74"/>
          </reference>
        </references>
      </pivotArea>
    </format>
    <format dxfId="1117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77"/>
          </reference>
        </references>
      </pivotArea>
    </format>
    <format dxfId="1117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78"/>
          </reference>
        </references>
      </pivotArea>
    </format>
    <format dxfId="1117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73"/>
          </reference>
        </references>
      </pivotArea>
    </format>
    <format dxfId="1117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1117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33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1117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34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1117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336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1117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80"/>
          </reference>
        </references>
      </pivotArea>
    </format>
    <format dxfId="1116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81"/>
          </reference>
        </references>
      </pivotArea>
    </format>
    <format dxfId="1116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8"/>
          </reference>
        </references>
      </pivotArea>
    </format>
    <format dxfId="1116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97"/>
          </reference>
        </references>
      </pivotArea>
    </format>
    <format dxfId="1116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81"/>
          </reference>
        </references>
      </pivotArea>
    </format>
    <format dxfId="11165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82"/>
          </reference>
        </references>
      </pivotArea>
    </format>
    <format dxfId="11164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84"/>
          </reference>
        </references>
      </pivotArea>
    </format>
    <format dxfId="11163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85"/>
          </reference>
        </references>
      </pivotArea>
    </format>
    <format dxfId="11162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86"/>
          </reference>
        </references>
      </pivotArea>
    </format>
    <format dxfId="11161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87"/>
          </reference>
        </references>
      </pivotArea>
    </format>
    <format dxfId="11160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82"/>
          </reference>
        </references>
      </pivotArea>
    </format>
    <format dxfId="11159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11158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35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11157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43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11156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36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11155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289"/>
          </reference>
        </references>
      </pivotArea>
    </format>
    <format dxfId="11154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90"/>
          </reference>
        </references>
      </pivotArea>
    </format>
    <format dxfId="11153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91"/>
          </reference>
        </references>
      </pivotArea>
    </format>
    <format dxfId="11152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100"/>
          </reference>
        </references>
      </pivotArea>
    </format>
    <format dxfId="11151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2"/>
          </reference>
          <reference field="38" count="0" selected="0"/>
          <reference field="39" count="1">
            <x v="292"/>
          </reference>
        </references>
      </pivotArea>
    </format>
    <format dxfId="11150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7"/>
          </reference>
          <reference field="38" count="0" selected="0"/>
          <reference field="39" count="1">
            <x v="293"/>
          </reference>
        </references>
      </pivotArea>
    </format>
    <format dxfId="11149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94"/>
          </reference>
        </references>
      </pivotArea>
    </format>
    <format dxfId="11148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7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94"/>
          </reference>
        </references>
      </pivotArea>
    </format>
    <format dxfId="11147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300"/>
          </reference>
        </references>
      </pivotArea>
    </format>
    <format dxfId="11146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94"/>
          </reference>
        </references>
      </pivotArea>
    </format>
    <format dxfId="11145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95"/>
          </reference>
        </references>
      </pivotArea>
    </format>
    <format dxfId="11144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96"/>
          </reference>
        </references>
      </pivotArea>
    </format>
    <format dxfId="11143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97"/>
          </reference>
        </references>
      </pivotArea>
    </format>
    <format dxfId="11142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98"/>
          </reference>
        </references>
      </pivotArea>
    </format>
    <format dxfId="11141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99"/>
          </reference>
        </references>
      </pivotArea>
    </format>
    <format dxfId="11140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301"/>
          </reference>
        </references>
      </pivotArea>
    </format>
    <format dxfId="11139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302"/>
          </reference>
        </references>
      </pivotArea>
    </format>
    <format dxfId="11138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303"/>
          </reference>
        </references>
      </pivotArea>
    </format>
    <format dxfId="11137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304"/>
          </reference>
        </references>
      </pivotArea>
    </format>
    <format dxfId="11136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305"/>
          </reference>
        </references>
      </pivotArea>
    </format>
    <format dxfId="11135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305"/>
          </reference>
        </references>
      </pivotArea>
    </format>
    <format dxfId="11134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308"/>
          </reference>
        </references>
      </pivotArea>
    </format>
    <format dxfId="11133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307"/>
          </reference>
        </references>
      </pivotArea>
    </format>
    <format dxfId="11132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306"/>
          </reference>
        </references>
      </pivotArea>
    </format>
    <format dxfId="11131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315"/>
          </reference>
        </references>
      </pivotArea>
    </format>
    <format dxfId="11130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09"/>
          </reference>
        </references>
      </pivotArea>
    </format>
    <format dxfId="11129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310"/>
          </reference>
        </references>
      </pivotArea>
    </format>
    <format dxfId="11128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311"/>
          </reference>
        </references>
      </pivotArea>
    </format>
    <format dxfId="11127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312"/>
          </reference>
        </references>
      </pivotArea>
    </format>
    <format dxfId="11126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313"/>
          </reference>
        </references>
      </pivotArea>
    </format>
    <format dxfId="11125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314"/>
          </reference>
        </references>
      </pivotArea>
    </format>
    <format dxfId="11124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306"/>
          </reference>
        </references>
      </pivotArea>
    </format>
    <format dxfId="11123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52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306"/>
          </reference>
        </references>
      </pivotArea>
    </format>
    <format dxfId="11122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316"/>
          </reference>
        </references>
      </pivotArea>
    </format>
    <format dxfId="11121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11120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1"/>
          </reference>
        </references>
      </pivotArea>
    </format>
    <format dxfId="11119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317"/>
          </reference>
        </references>
      </pivotArea>
    </format>
    <format dxfId="11118">
      <pivotArea dataOnly="0" labelOnly="1" outline="0" fieldPosition="0">
        <references count="1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18"/>
          </reference>
        </references>
      </pivotArea>
    </format>
    <format dxfId="11117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319"/>
          </reference>
        </references>
      </pivotArea>
    </format>
    <format dxfId="11116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 selected="0">
            <x v="246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319"/>
          </reference>
        </references>
      </pivotArea>
    </format>
    <format dxfId="11115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20"/>
          </reference>
        </references>
      </pivotArea>
    </format>
    <format dxfId="11114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324"/>
          </reference>
        </references>
      </pivotArea>
    </format>
    <format dxfId="11113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20"/>
          </reference>
        </references>
      </pivotArea>
    </format>
    <format dxfId="11112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321"/>
          </reference>
        </references>
      </pivotArea>
    </format>
    <format dxfId="11111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322"/>
          </reference>
        </references>
      </pivotArea>
    </format>
    <format dxfId="11110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323"/>
          </reference>
        </references>
      </pivotArea>
    </format>
    <format dxfId="11109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20"/>
          </reference>
        </references>
      </pivotArea>
    </format>
    <format dxfId="11108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325"/>
          </reference>
        </references>
      </pivotArea>
    </format>
    <format dxfId="11107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326"/>
          </reference>
        </references>
      </pivotArea>
    </format>
    <format dxfId="11106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327"/>
          </reference>
        </references>
      </pivotArea>
    </format>
    <format dxfId="11105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11104">
      <pivotArea field="33" type="button" dataOnly="0" labelOnly="1" outline="0" axis="axisRow" fieldPosition="8"/>
    </format>
    <format dxfId="11103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1102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1101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1100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109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109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109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109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109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109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109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109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109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109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1089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1088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108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108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108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108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108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108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108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108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1079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1078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1077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1076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107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107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107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107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107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107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106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1106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1106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1106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1106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1106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1106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1106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11061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11060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11059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11058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11057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11056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11055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1105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11053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11052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11051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1105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1104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11048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11047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11046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11045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11044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11043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11042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1104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104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1039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1038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1037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1036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1035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1034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1033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1032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1031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1030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1029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1028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1027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1026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1025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1024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1023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1022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1021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1020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1019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1018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1017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1016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101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101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101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101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101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101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100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100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100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100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100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100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100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100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100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100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099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099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099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0996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0995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0994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0993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0992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099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099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098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0988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0987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0986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098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098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098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098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098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098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0979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0978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0977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10976">
      <pivotArea field="33" type="button" dataOnly="0" labelOnly="1" outline="0" axis="axisRow" fieldPosition="8"/>
    </format>
    <format dxfId="10975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0974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0973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0972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097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097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096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096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096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096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096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096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096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096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0961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0960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095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095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095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095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095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095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095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095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0951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0950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0949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0948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094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094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094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094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094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094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094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1094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1093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1093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1093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1093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1093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1093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1093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10932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10931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10930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10929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10928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10927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1092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1092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1092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10923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1092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1092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1092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1091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10918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1091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1091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10915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10914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1091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091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0911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0910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0909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0908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0907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0906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0905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0904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0903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0902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0901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0900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0899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0898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0897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0896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0895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0894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0893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0892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0891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0890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0889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0888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088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088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088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088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088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088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088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088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087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087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087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087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087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087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087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087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087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087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086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0868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0867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0866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0865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0864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086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086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086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086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0859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0858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085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085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085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085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085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085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0851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0850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0849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BFC4A-2B7E-426E-A6CA-DE8F81A1615B}" name="Tableau croisé dynamique4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A3:R878" firstHeaderRow="0" firstDataRow="1" firstDataCol="15"/>
  <pivotFields count="4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31"/>
        <item x="32"/>
        <item x="33"/>
        <item x="34"/>
        <item x="36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4"/>
        <item x="17"/>
        <item x="0"/>
        <item x="1"/>
        <item x="2"/>
        <item x="8"/>
        <item x="3"/>
        <item x="5"/>
        <item x="16"/>
        <item x="18"/>
        <item x="6"/>
        <item x="30"/>
        <item x="53"/>
        <item x="25"/>
        <item x="24"/>
        <item x="54"/>
        <item x="9"/>
        <item x="10"/>
        <item x="19"/>
        <item x="44"/>
        <item x="45"/>
        <item x="34"/>
        <item x="11"/>
        <item x="31"/>
        <item x="20"/>
        <item x="33"/>
        <item x="26"/>
        <item x="21"/>
        <item x="57"/>
        <item x="22"/>
        <item x="27"/>
        <item x="7"/>
        <item x="35"/>
        <item x="36"/>
        <item x="37"/>
        <item x="38"/>
        <item x="39"/>
        <item x="28"/>
        <item x="40"/>
        <item x="41"/>
        <item x="42"/>
        <item x="46"/>
        <item x="47"/>
        <item x="48"/>
        <item x="49"/>
        <item x="55"/>
        <item x="23"/>
        <item x="50"/>
        <item x="12"/>
        <item x="13"/>
        <item x="56"/>
        <item x="43"/>
        <item x="32"/>
        <item x="51"/>
        <item x="52"/>
        <item x="14"/>
        <item x="29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6"/>
        <item x="7"/>
        <item x="8"/>
        <item x="9"/>
        <item x="10"/>
        <item x="11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5">
        <item x="4"/>
        <item x="272"/>
        <item x="271"/>
        <item x="273"/>
        <item x="270"/>
        <item x="281"/>
        <item x="278"/>
        <item x="275"/>
        <item x="276"/>
        <item x="284"/>
        <item x="274"/>
        <item x="277"/>
        <item x="282"/>
        <item x="287"/>
        <item x="283"/>
        <item x="285"/>
        <item x="279"/>
        <item x="29"/>
        <item x="59"/>
        <item x="74"/>
        <item x="45"/>
        <item x="26"/>
        <item x="25"/>
        <item x="24"/>
        <item x="27"/>
        <item x="23"/>
        <item x="64"/>
        <item x="36"/>
        <item x="124"/>
        <item x="85"/>
        <item x="212"/>
        <item x="408"/>
        <item x="172"/>
        <item x="142"/>
        <item x="173"/>
        <item x="280"/>
        <item x="62"/>
        <item x="34"/>
        <item x="63"/>
        <item x="418"/>
        <item x="146"/>
        <item x="121"/>
        <item x="152"/>
        <item x="151"/>
        <item x="227"/>
        <item x="226"/>
        <item x="228"/>
        <item x="225"/>
        <item x="235"/>
        <item x="233"/>
        <item x="230"/>
        <item x="231"/>
        <item x="232"/>
        <item x="229"/>
        <item x="238"/>
        <item x="234"/>
        <item x="237"/>
        <item x="236"/>
        <item x="239"/>
        <item x="57"/>
        <item x="32"/>
        <item x="12"/>
        <item x="149"/>
        <item x="148"/>
        <item x="127"/>
        <item x="128"/>
        <item x="126"/>
        <item x="90"/>
        <item x="52"/>
        <item x="37"/>
        <item x="51"/>
        <item x="47"/>
        <item x="77"/>
        <item x="499"/>
        <item x="250"/>
        <item x="242"/>
        <item x="241"/>
        <item x="243"/>
        <item x="240"/>
        <item x="251"/>
        <item x="248"/>
        <item x="245"/>
        <item x="244"/>
        <item x="247"/>
        <item x="253"/>
        <item x="246"/>
        <item x="252"/>
        <item x="249"/>
        <item x="254"/>
        <item x="39"/>
        <item x="17"/>
        <item x="202"/>
        <item x="201"/>
        <item x="203"/>
        <item x="200"/>
        <item x="213"/>
        <item x="214"/>
        <item x="198"/>
        <item x="216"/>
        <item x="215"/>
        <item x="217"/>
        <item x="197"/>
        <item x="195"/>
        <item x="210"/>
        <item x="205"/>
        <item x="196"/>
        <item x="206"/>
        <item x="221"/>
        <item x="209"/>
        <item x="204"/>
        <item x="218"/>
        <item x="220"/>
        <item x="219"/>
        <item x="222"/>
        <item x="224"/>
        <item x="211"/>
        <item x="199"/>
        <item x="307"/>
        <item x="308"/>
        <item x="306"/>
        <item x="314"/>
        <item x="304"/>
        <item x="315"/>
        <item x="303"/>
        <item x="312"/>
        <item x="310"/>
        <item x="302"/>
        <item x="311"/>
        <item x="309"/>
        <item x="316"/>
        <item x="317"/>
        <item x="313"/>
        <item x="301"/>
        <item x="305"/>
        <item x="290"/>
        <item x="289"/>
        <item x="291"/>
        <item x="288"/>
        <item x="298"/>
        <item x="296"/>
        <item x="293"/>
        <item x="294"/>
        <item x="299"/>
        <item x="295"/>
        <item x="292"/>
        <item x="297"/>
        <item x="300"/>
        <item x="56"/>
        <item x="556"/>
        <item x="503"/>
        <item x="393"/>
        <item x="388"/>
        <item x="385"/>
        <item x="380"/>
        <item x="376"/>
        <item x="378"/>
        <item x="377"/>
        <item x="379"/>
        <item x="374"/>
        <item x="373"/>
        <item x="375"/>
        <item x="389"/>
        <item x="392"/>
        <item x="390"/>
        <item x="384"/>
        <item x="381"/>
        <item x="383"/>
        <item x="382"/>
        <item x="386"/>
        <item x="387"/>
        <item x="391"/>
        <item x="571"/>
        <item x="554"/>
        <item x="255"/>
        <item x="3"/>
        <item x="0"/>
        <item x="2"/>
        <item x="5"/>
        <item x="7"/>
        <item x="1"/>
        <item x="6"/>
        <item x="574"/>
        <item x="573"/>
        <item x="575"/>
        <item x="572"/>
        <item x="570"/>
        <item x="569"/>
        <item x="568"/>
        <item x="567"/>
        <item x="33"/>
        <item x="10"/>
        <item x="541"/>
        <item x="540"/>
        <item x="543"/>
        <item x="542"/>
        <item x="544"/>
        <item x="28"/>
        <item x="560"/>
        <item x="482"/>
        <item x="485"/>
        <item x="88"/>
        <item x="86"/>
        <item x="35"/>
        <item x="258"/>
        <item x="257"/>
        <item x="259"/>
        <item x="256"/>
        <item x="266"/>
        <item x="264"/>
        <item x="261"/>
        <item x="262"/>
        <item x="268"/>
        <item x="260"/>
        <item x="263"/>
        <item x="267"/>
        <item x="269"/>
        <item x="265"/>
        <item x="60"/>
        <item x="559"/>
        <item x="558"/>
        <item x="557"/>
        <item x="519"/>
        <item x="520"/>
        <item x="521"/>
        <item x="524"/>
        <item x="525"/>
        <item x="526"/>
        <item x="537"/>
        <item x="529"/>
        <item x="530"/>
        <item x="522"/>
        <item x="527"/>
        <item x="528"/>
        <item x="531"/>
        <item x="536"/>
        <item x="539"/>
        <item x="523"/>
        <item x="532"/>
        <item x="534"/>
        <item x="533"/>
        <item x="517"/>
        <item x="516"/>
        <item x="515"/>
        <item x="518"/>
        <item x="514"/>
        <item x="535"/>
        <item x="403"/>
        <item x="545"/>
        <item x="546"/>
        <item x="547"/>
        <item x="549"/>
        <item x="548"/>
        <item x="550"/>
        <item x="551"/>
        <item x="552"/>
        <item x="61"/>
        <item x="75"/>
        <item x="46"/>
        <item x="147"/>
        <item x="176"/>
        <item x="169"/>
        <item x="171"/>
        <item x="174"/>
        <item x="175"/>
        <item x="178"/>
        <item x="170"/>
        <item x="177"/>
        <item x="179"/>
        <item x="73"/>
        <item x="44"/>
        <item x="108"/>
        <item x="81"/>
        <item x="84"/>
        <item x="30"/>
        <item x="58"/>
        <item x="13"/>
        <item x="131"/>
        <item x="150"/>
        <item x="407"/>
        <item x="409"/>
        <item x="405"/>
        <item x="402"/>
        <item x="411"/>
        <item x="404"/>
        <item x="410"/>
        <item x="406"/>
        <item x="93"/>
        <item x="97"/>
        <item x="98"/>
        <item x="106"/>
        <item x="102"/>
        <item x="100"/>
        <item x="95"/>
        <item x="94"/>
        <item x="92"/>
        <item x="96"/>
        <item x="99"/>
        <item x="91"/>
        <item x="101"/>
        <item x="105"/>
        <item x="22"/>
        <item x="43"/>
        <item x="141"/>
        <item x="18"/>
        <item x="38"/>
        <item x="82"/>
        <item x="65"/>
        <item x="119"/>
        <item x="87"/>
        <item x="109"/>
        <item x="110"/>
        <item x="114"/>
        <item x="115"/>
        <item x="116"/>
        <item x="111"/>
        <item x="117"/>
        <item x="118"/>
        <item x="113"/>
        <item x="112"/>
        <item x="401"/>
        <item x="397"/>
        <item x="396"/>
        <item x="398"/>
        <item x="394"/>
        <item x="395"/>
        <item x="400"/>
        <item x="399"/>
        <item x="325"/>
        <item x="324"/>
        <item x="326"/>
        <item x="323"/>
        <item x="332"/>
        <item x="333"/>
        <item x="321"/>
        <item x="334"/>
        <item x="320"/>
        <item x="330"/>
        <item x="328"/>
        <item x="319"/>
        <item x="327"/>
        <item x="329"/>
        <item x="335"/>
        <item x="336"/>
        <item x="338"/>
        <item x="337"/>
        <item x="339"/>
        <item x="340"/>
        <item x="331"/>
        <item x="322"/>
        <item x="318"/>
        <item x="76"/>
        <item x="104"/>
        <item x="502"/>
        <item x="508"/>
        <item x="488"/>
        <item x="501"/>
        <item x="474"/>
        <item x="484"/>
        <item x="483"/>
        <item x="493"/>
        <item x="492"/>
        <item x="489"/>
        <item x="487"/>
        <item x="478"/>
        <item x="496"/>
        <item x="491"/>
        <item x="500"/>
        <item x="481"/>
        <item x="511"/>
        <item x="476"/>
        <item x="475"/>
        <item x="477"/>
        <item x="512"/>
        <item x="480"/>
        <item x="479"/>
        <item x="494"/>
        <item x="490"/>
        <item x="510"/>
        <item x="497"/>
        <item x="495"/>
        <item x="513"/>
        <item x="507"/>
        <item x="505"/>
        <item x="486"/>
        <item x="504"/>
        <item x="498"/>
        <item x="506"/>
        <item x="553"/>
        <item x="463"/>
        <item x="464"/>
        <item x="467"/>
        <item x="466"/>
        <item x="468"/>
        <item x="472"/>
        <item x="465"/>
        <item x="469"/>
        <item x="470"/>
        <item x="473"/>
        <item x="461"/>
        <item x="460"/>
        <item x="459"/>
        <item x="458"/>
        <item x="471"/>
        <item x="462"/>
        <item x="89"/>
        <item x="78"/>
        <item x="66"/>
        <item x="71"/>
        <item x="70"/>
        <item x="20"/>
        <item x="72"/>
        <item x="103"/>
        <item x="180"/>
        <item x="181"/>
        <item x="185"/>
        <item x="186"/>
        <item x="184"/>
        <item x="187"/>
        <item x="182"/>
        <item x="188"/>
        <item x="190"/>
        <item x="183"/>
        <item x="191"/>
        <item x="192"/>
        <item x="194"/>
        <item x="193"/>
        <item x="189"/>
        <item x="343"/>
        <item x="342"/>
        <item x="344"/>
        <item x="341"/>
        <item x="350"/>
        <item x="351"/>
        <item x="349"/>
        <item x="352"/>
        <item x="346"/>
        <item x="348"/>
        <item x="345"/>
        <item x="347"/>
        <item x="353"/>
        <item x="354"/>
        <item x="355"/>
        <item x="356"/>
        <item x="122"/>
        <item x="123"/>
        <item x="137"/>
        <item x="139"/>
        <item x="120"/>
        <item x="143"/>
        <item x="565"/>
        <item x="564"/>
        <item x="562"/>
        <item x="563"/>
        <item x="561"/>
        <item x="566"/>
        <item x="107"/>
        <item x="54"/>
        <item x="68"/>
        <item x="286"/>
        <item x="79"/>
        <item x="42"/>
        <item x="140"/>
        <item x="623"/>
        <item x="538"/>
        <item x="48"/>
        <item x="21"/>
        <item x="412"/>
        <item x="509"/>
        <item x="69"/>
        <item x="15"/>
        <item x="16"/>
        <item x="593"/>
        <item x="590"/>
        <item x="591"/>
        <item x="11"/>
        <item x="592"/>
        <item x="594"/>
        <item x="581"/>
        <item x="582"/>
        <item x="580"/>
        <item x="583"/>
        <item x="14"/>
        <item x="135"/>
        <item x="420"/>
        <item x="83"/>
        <item x="41"/>
        <item x="136"/>
        <item x="8"/>
        <item x="130"/>
        <item x="133"/>
        <item x="132"/>
        <item x="129"/>
        <item x="439"/>
        <item x="447"/>
        <item x="448"/>
        <item x="432"/>
        <item x="434"/>
        <item x="435"/>
        <item x="433"/>
        <item x="451"/>
        <item x="449"/>
        <item x="457"/>
        <item x="450"/>
        <item x="452"/>
        <item x="454"/>
        <item x="456"/>
        <item x="455"/>
        <item x="431"/>
        <item x="428"/>
        <item x="429"/>
        <item x="430"/>
        <item x="440"/>
        <item x="444"/>
        <item x="443"/>
        <item x="441"/>
        <item x="442"/>
        <item x="438"/>
        <item x="445"/>
        <item x="425"/>
        <item x="424"/>
        <item x="446"/>
        <item x="423"/>
        <item x="427"/>
        <item x="436"/>
        <item x="437"/>
        <item x="426"/>
        <item x="422"/>
        <item x="453"/>
        <item x="9"/>
        <item x="80"/>
        <item x="55"/>
        <item x="620"/>
        <item x="615"/>
        <item x="602"/>
        <item x="603"/>
        <item x="601"/>
        <item x="610"/>
        <item x="609"/>
        <item x="598"/>
        <item x="613"/>
        <item x="597"/>
        <item x="606"/>
        <item x="596"/>
        <item x="600"/>
        <item x="605"/>
        <item x="604"/>
        <item x="608"/>
        <item x="612"/>
        <item x="614"/>
        <item x="599"/>
        <item x="611"/>
        <item x="621"/>
        <item x="624"/>
        <item x="607"/>
        <item x="595"/>
        <item x="622"/>
        <item x="617"/>
        <item x="616"/>
        <item x="618"/>
        <item x="619"/>
        <item x="577"/>
        <item x="578"/>
        <item x="579"/>
        <item x="576"/>
        <item x="555"/>
        <item x="588"/>
        <item x="587"/>
        <item x="586"/>
        <item x="585"/>
        <item x="584"/>
        <item x="589"/>
        <item x="414"/>
        <item x="413"/>
        <item x="415"/>
        <item x="138"/>
        <item x="366"/>
        <item x="368"/>
        <item x="361"/>
        <item x="364"/>
        <item x="370"/>
        <item x="360"/>
        <item x="363"/>
        <item x="369"/>
        <item x="371"/>
        <item x="365"/>
        <item x="358"/>
        <item x="359"/>
        <item x="357"/>
        <item x="362"/>
        <item x="367"/>
        <item x="372"/>
        <item x="207"/>
        <item x="208"/>
        <item x="223"/>
        <item x="125"/>
        <item x="67"/>
        <item x="134"/>
        <item x="53"/>
        <item x="50"/>
        <item x="31"/>
        <item x="153"/>
        <item x="159"/>
        <item x="160"/>
        <item x="154"/>
        <item x="165"/>
        <item x="158"/>
        <item x="163"/>
        <item x="162"/>
        <item x="157"/>
        <item x="164"/>
        <item x="161"/>
        <item x="168"/>
        <item x="155"/>
        <item x="166"/>
        <item x="167"/>
        <item x="156"/>
        <item x="144"/>
        <item x="145"/>
        <item x="49"/>
        <item x="417"/>
        <item x="419"/>
        <item x="416"/>
        <item x="421"/>
        <item x="1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0">
        <item x="29"/>
        <item x="27"/>
        <item x="30"/>
        <item x="47"/>
        <item x="1"/>
        <item x="0"/>
        <item x="2"/>
        <item x="6"/>
        <item x="4"/>
        <item x="5"/>
        <item x="7"/>
        <item x="28"/>
        <item x="31"/>
        <item x="40"/>
        <item x="35"/>
        <item x="42"/>
        <item x="44"/>
        <item x="10"/>
        <item x="25"/>
        <item x="46"/>
        <item x="19"/>
        <item x="37"/>
        <item x="66"/>
        <item x="56"/>
        <item x="57"/>
        <item x="58"/>
        <item x="59"/>
        <item x="61"/>
        <item x="63"/>
        <item x="60"/>
        <item x="3"/>
        <item x="18"/>
        <item x="16"/>
        <item x="17"/>
        <item x="50"/>
        <item x="33"/>
        <item x="62"/>
        <item x="64"/>
        <item x="65"/>
        <item x="68"/>
        <item x="11"/>
        <item x="15"/>
        <item x="34"/>
        <item x="20"/>
        <item x="69"/>
        <item x="55"/>
        <item x="53"/>
        <item x="54"/>
        <item x="52"/>
        <item x="51"/>
        <item x="8"/>
        <item x="49"/>
        <item x="12"/>
        <item x="14"/>
        <item x="23"/>
        <item x="26"/>
        <item x="67"/>
        <item x="24"/>
        <item x="22"/>
        <item x="32"/>
        <item x="38"/>
        <item x="36"/>
        <item x="39"/>
        <item x="41"/>
        <item x="43"/>
        <item x="45"/>
        <item x="48"/>
        <item x="9"/>
        <item x="13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3">
        <item x="16"/>
        <item x="91"/>
        <item x="9"/>
        <item x="0"/>
        <item x="15"/>
        <item x="6"/>
        <item x="1"/>
        <item x="4"/>
        <item x="3"/>
        <item x="2"/>
        <item x="11"/>
        <item x="17"/>
        <item x="5"/>
        <item x="30"/>
        <item x="31"/>
        <item x="82"/>
        <item x="38"/>
        <item x="8"/>
        <item x="39"/>
        <item x="10"/>
        <item x="12"/>
        <item x="21"/>
        <item x="47"/>
        <item x="40"/>
        <item x="93"/>
        <item x="94"/>
        <item x="83"/>
        <item x="78"/>
        <item x="33"/>
        <item x="95"/>
        <item x="45"/>
        <item x="98"/>
        <item x="32"/>
        <item x="34"/>
        <item x="7"/>
        <item x="53"/>
        <item x="50"/>
        <item x="41"/>
        <item x="42"/>
        <item x="49"/>
        <item x="68"/>
        <item x="69"/>
        <item x="20"/>
        <item x="80"/>
        <item x="75"/>
        <item x="81"/>
        <item x="51"/>
        <item x="99"/>
        <item x="36"/>
        <item x="52"/>
        <item x="96"/>
        <item x="13"/>
        <item x="44"/>
        <item x="70"/>
        <item x="24"/>
        <item x="23"/>
        <item x="25"/>
        <item x="19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26"/>
        <item x="37"/>
        <item x="27"/>
        <item x="46"/>
        <item x="100"/>
        <item x="102"/>
        <item x="14"/>
        <item x="74"/>
        <item x="66"/>
        <item x="77"/>
        <item x="72"/>
        <item x="73"/>
        <item x="76"/>
        <item x="87"/>
        <item x="89"/>
        <item x="86"/>
        <item x="92"/>
        <item x="88"/>
        <item x="97"/>
        <item x="67"/>
        <item x="28"/>
        <item x="35"/>
        <item x="101"/>
        <item x="71"/>
        <item x="43"/>
        <item x="79"/>
        <item x="29"/>
        <item x="18"/>
        <item x="48"/>
        <item x="22"/>
        <item x="84"/>
        <item x="85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2"/>
        <item x="0"/>
        <item x="1"/>
        <item x="5"/>
        <item x="9"/>
        <item x="3"/>
        <item x="7"/>
        <item x="10"/>
        <item x="6"/>
        <item x="11"/>
        <item x="12"/>
        <item x="13"/>
        <item x="4"/>
        <item x="8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8">
        <item x="10"/>
        <item x="17"/>
        <item x="72"/>
        <item x="300"/>
        <item x="32"/>
        <item x="54"/>
        <item x="48"/>
        <item x="287"/>
        <item x="305"/>
        <item x="6"/>
        <item x="61"/>
        <item x="7"/>
        <item x="89"/>
        <item x="45"/>
        <item x="18"/>
        <item x="94"/>
        <item x="135"/>
        <item x="63"/>
        <item x="0"/>
        <item x="288"/>
        <item x="274"/>
        <item x="2"/>
        <item x="3"/>
        <item x="4"/>
        <item x="5"/>
        <item x="256"/>
        <item x="47"/>
        <item x="55"/>
        <item x="201"/>
        <item x="133"/>
        <item x="62"/>
        <item x="239"/>
        <item x="67"/>
        <item x="93"/>
        <item x="80"/>
        <item x="304"/>
        <item x="36"/>
        <item x="303"/>
        <item x="262"/>
        <item x="271"/>
        <item x="266"/>
        <item x="267"/>
        <item x="44"/>
        <item x="126"/>
        <item x="280"/>
        <item x="102"/>
        <item x="60"/>
        <item x="263"/>
        <item x="264"/>
        <item x="260"/>
        <item x="258"/>
        <item x="53"/>
        <item x="14"/>
        <item x="104"/>
        <item x="31"/>
        <item x="28"/>
        <item x="115"/>
        <item x="113"/>
        <item x="317"/>
        <item x="114"/>
        <item x="52"/>
        <item x="51"/>
        <item x="316"/>
        <item x="259"/>
        <item x="283"/>
        <item x="302"/>
        <item x="15"/>
        <item x="272"/>
        <item x="252"/>
        <item x="74"/>
        <item x="76"/>
        <item x="79"/>
        <item x="83"/>
        <item x="75"/>
        <item x="81"/>
        <item x="73"/>
        <item x="77"/>
        <item x="71"/>
        <item x="82"/>
        <item x="87"/>
        <item x="86"/>
        <item x="78"/>
        <item x="322"/>
        <item x="318"/>
        <item x="42"/>
        <item x="22"/>
        <item x="24"/>
        <item x="23"/>
        <item x="25"/>
        <item x="26"/>
        <item x="276"/>
        <item x="66"/>
        <item x="85"/>
        <item x="95"/>
        <item x="88"/>
        <item x="92"/>
        <item x="281"/>
        <item x="202"/>
        <item x="129"/>
        <item x="130"/>
        <item x="213"/>
        <item x="131"/>
        <item x="50"/>
        <item x="265"/>
        <item x="40"/>
        <item x="315"/>
        <item x="261"/>
        <item x="319"/>
        <item x="9"/>
        <item x="112"/>
        <item x="269"/>
        <item x="268"/>
        <item x="16"/>
        <item x="326"/>
        <item x="293"/>
        <item x="294"/>
        <item x="295"/>
        <item x="255"/>
        <item x="290"/>
        <item x="314"/>
        <item x="309"/>
        <item x="253"/>
        <item x="105"/>
        <item x="103"/>
        <item x="277"/>
        <item x="307"/>
        <item x="298"/>
        <item x="251"/>
        <item x="254"/>
        <item x="306"/>
        <item x="46"/>
        <item x="310"/>
        <item x="320"/>
        <item x="273"/>
        <item x="296"/>
        <item x="301"/>
        <item x="84"/>
        <item x="299"/>
        <item x="97"/>
        <item x="90"/>
        <item x="91"/>
        <item x="58"/>
        <item x="312"/>
        <item x="313"/>
        <item x="282"/>
        <item x="39"/>
        <item x="278"/>
        <item x="41"/>
        <item x="57"/>
        <item x="297"/>
        <item x="13"/>
        <item x="27"/>
        <item x="12"/>
        <item x="289"/>
        <item x="29"/>
        <item x="30"/>
        <item x="43"/>
        <item x="37"/>
        <item x="327"/>
        <item x="59"/>
        <item x="21"/>
        <item x="70"/>
        <item x="8"/>
        <item x="325"/>
        <item x="270"/>
        <item x="286"/>
        <item x="279"/>
        <item x="64"/>
        <item x="20"/>
        <item x="68"/>
        <item x="69"/>
        <item x="11"/>
        <item x="1"/>
        <item x="19"/>
        <item x="257"/>
        <item x="38"/>
        <item x="56"/>
        <item x="107"/>
        <item x="33"/>
        <item x="34"/>
        <item x="106"/>
        <item x="308"/>
        <item x="35"/>
        <item x="311"/>
        <item x="96"/>
        <item x="49"/>
        <item x="321"/>
        <item x="285"/>
        <item x="291"/>
        <item x="284"/>
        <item x="292"/>
        <item x="323"/>
        <item x="324"/>
        <item x="65"/>
        <item x="275"/>
        <item x="98"/>
        <item x="99"/>
        <item x="100"/>
        <item x="101"/>
        <item x="108"/>
        <item x="109"/>
        <item x="110"/>
        <item x="111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32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5">
    <field x="25"/>
    <field x="26"/>
    <field x="27"/>
    <field x="28"/>
    <field x="29"/>
    <field x="30"/>
    <field x="31"/>
    <field x="32"/>
    <field x="33"/>
    <field x="34"/>
    <field x="35"/>
    <field x="36"/>
    <field x="37"/>
    <field x="38"/>
    <field x="39"/>
  </rowFields>
  <rowItems count="875">
    <i>
      <x/>
      <x/>
      <x/>
      <x/>
      <x/>
      <x/>
      <x/>
      <x/>
      <x v="5"/>
      <x/>
      <x/>
      <x v="7"/>
      <x v="1"/>
      <x/>
      <x v="24"/>
    </i>
    <i r="8">
      <x v="7"/>
      <x/>
      <x/>
      <x v="57"/>
      <x v="1"/>
      <x/>
      <x v="87"/>
    </i>
    <i r="11">
      <x v="73"/>
      <x v="2"/>
      <x/>
      <x v="167"/>
    </i>
    <i r="8">
      <x v="8"/>
      <x/>
      <x/>
      <x v="57"/>
      <x v="1"/>
      <x/>
      <x v="88"/>
    </i>
    <i r="8">
      <x v="9"/>
      <x/>
      <x/>
      <x v="4"/>
      <x v="1"/>
      <x/>
      <x v="173"/>
    </i>
    <i r="12">
      <x v="12"/>
      <x/>
      <x v="168"/>
    </i>
    <i r="11">
      <x v="5"/>
      <x v="1"/>
      <x/>
      <x v="11"/>
    </i>
    <i r="11">
      <x v="6"/>
      <x v="1"/>
      <x/>
      <x v="21"/>
    </i>
    <i r="11">
      <x v="7"/>
      <x v="1"/>
      <x/>
      <x v="24"/>
    </i>
    <i r="11">
      <x v="8"/>
      <x v="1"/>
      <x/>
      <x v="23"/>
    </i>
    <i r="11">
      <x v="9"/>
      <x v="1"/>
      <x/>
      <x v="22"/>
    </i>
    <i r="11">
      <x v="34"/>
      <x v="1"/>
      <x/>
      <x v="162"/>
    </i>
    <i r="11">
      <x v="97"/>
      <x v="1"/>
      <x/>
      <x v="85"/>
    </i>
    <i r="8">
      <x v="10"/>
      <x/>
      <x/>
      <x v="57"/>
      <x v="1"/>
      <x/>
      <x v="86"/>
    </i>
    <i r="8">
      <x v="15"/>
      <x/>
      <x/>
      <x v="18"/>
      <x v="3"/>
      <x/>
      <x v="283"/>
    </i>
    <i r="8">
      <x v="44"/>
      <x/>
      <x/>
      <x v="47"/>
      <x v="1"/>
      <x/>
      <x v="7"/>
    </i>
    <i r="8">
      <x v="45"/>
      <x/>
      <x/>
      <x v="47"/>
      <x v="1"/>
      <x/>
      <x v="7"/>
    </i>
    <i r="11">
      <x v="88"/>
      <x v="1"/>
      <x/>
      <x v="146"/>
    </i>
    <i r="8">
      <x v="46"/>
      <x/>
      <x/>
      <x v="36"/>
      <x v="1"/>
      <x/>
      <x v="144"/>
    </i>
    <i r="11">
      <x v="47"/>
      <x v="1"/>
      <x/>
      <x v="7"/>
    </i>
    <i r="8">
      <x v="50"/>
      <x/>
      <x/>
      <x v="57"/>
      <x v="1"/>
      <x/>
      <x v="89"/>
    </i>
    <i r="8">
      <x v="52"/>
      <x/>
      <x/>
      <x v="51"/>
      <x v="11"/>
      <x/>
      <x v="113"/>
    </i>
    <i r="11">
      <x v="72"/>
      <x v="11"/>
      <x/>
      <x v="158"/>
    </i>
    <i r="8">
      <x v="69"/>
      <x/>
      <x/>
      <x v="98"/>
      <x v="13"/>
      <x/>
      <x v="193"/>
    </i>
    <i r="1">
      <x v="1"/>
      <x/>
      <x/>
      <x v="2"/>
      <x/>
      <x/>
      <x v="175"/>
      <x v="5"/>
      <x/>
      <x/>
      <x v="3"/>
      <x v="1"/>
      <x/>
      <x v="18"/>
    </i>
    <i r="4">
      <x v="3"/>
      <x/>
      <x/>
      <x v="179"/>
      <x v="5"/>
      <x/>
      <x/>
      <x v="3"/>
      <x v="2"/>
      <x/>
      <x v="172"/>
    </i>
    <i r="4">
      <x v="4"/>
      <x/>
      <x/>
      <x v="176"/>
      <x v="5"/>
      <x/>
      <x/>
      <x v="6"/>
      <x v="1"/>
      <x/>
      <x v="21"/>
    </i>
    <i r="11">
      <x v="9"/>
      <x v="1"/>
      <x/>
      <x v="22"/>
    </i>
    <i r="4">
      <x v="6"/>
      <x/>
      <x/>
      <x v="174"/>
      <x v="5"/>
      <x/>
      <x/>
      <x v="8"/>
      <x v="1"/>
      <x/>
      <x v="23"/>
    </i>
    <i r="4">
      <x v="7"/>
      <x/>
      <x/>
      <x v="177"/>
      <x v="5"/>
      <x/>
      <x/>
      <x v="5"/>
      <x v="1"/>
      <x/>
      <x v="11"/>
    </i>
    <i r="11">
      <x v="12"/>
      <x v="1"/>
      <x/>
      <x v="9"/>
    </i>
    <i r="11">
      <x v="34"/>
      <x v="1"/>
      <x/>
      <x v="162"/>
    </i>
    <i r="4">
      <x v="10"/>
      <x/>
      <x/>
      <x v="180"/>
      <x v="5"/>
      <x/>
      <x/>
      <x v="17"/>
      <x v="1"/>
      <x/>
      <x v="108"/>
    </i>
    <i r="4">
      <x v="31"/>
      <x v="1"/>
      <x/>
      <x v="178"/>
      <x v="4"/>
      <x/>
      <x/>
      <x v="2"/>
      <x/>
      <x/>
      <x/>
    </i>
    <i r="1">
      <x v="2"/>
      <x/>
      <x/>
      <x v="2"/>
      <x/>
      <x/>
      <x v="487"/>
      <x v="4"/>
      <x/>
      <x/>
      <x v="2"/>
      <x/>
      <x/>
      <x/>
    </i>
    <i r="4">
      <x v="3"/>
      <x/>
      <x/>
      <x v="528"/>
      <x v="6"/>
      <x/>
      <x/>
      <x v="3"/>
      <x v="1"/>
      <x/>
      <x v="171"/>
    </i>
    <i r="4">
      <x v="4"/>
      <x/>
      <x/>
      <x v="190"/>
      <x v="6"/>
      <x/>
      <x/>
      <x v="6"/>
      <x v="1"/>
      <x/>
      <x v="21"/>
    </i>
    <i r="11">
      <x v="9"/>
      <x v="1"/>
      <x/>
      <x v="22"/>
    </i>
    <i r="4">
      <x v="5"/>
      <x/>
      <x/>
      <x v="474"/>
      <x v="6"/>
      <x/>
      <x/>
      <x v="7"/>
      <x v="1"/>
      <x/>
      <x v="24"/>
    </i>
    <i r="4">
      <x v="6"/>
      <x/>
      <x/>
      <x v="61"/>
      <x v="6"/>
      <x/>
      <x/>
      <x v="8"/>
      <x v="1"/>
      <x/>
      <x v="23"/>
    </i>
    <i r="4">
      <x v="7"/>
      <x/>
      <x/>
      <x v="275"/>
      <x v="6"/>
      <x/>
      <x/>
      <x v="5"/>
      <x v="1"/>
      <x/>
      <x v="11"/>
    </i>
    <i r="11">
      <x v="34"/>
      <x v="1"/>
      <x/>
      <x v="162"/>
    </i>
    <i r="4">
      <x v="16"/>
      <x/>
      <x/>
      <x v="481"/>
      <x v="6"/>
      <x/>
      <x/>
      <x v="10"/>
      <x v="1"/>
      <x/>
      <x v="52"/>
    </i>
    <i r="11">
      <x v="12"/>
      <x v="1"/>
      <x/>
      <x v="9"/>
    </i>
    <i r="11">
      <x v="19"/>
      <x v="1"/>
      <x/>
      <x v="152"/>
    </i>
    <i r="12">
      <x v="5"/>
      <x/>
      <x v="150"/>
    </i>
    <i r="4">
      <x v="17"/>
      <x/>
      <x/>
      <x v="469"/>
      <x v="6"/>
      <x/>
      <x/>
      <x v="20"/>
      <x v="1"/>
      <x/>
      <x v="66"/>
    </i>
    <i r="11">
      <x v="51"/>
      <x v="1"/>
      <x/>
      <x v="112"/>
    </i>
    <i r="5">
      <x v="1"/>
      <x/>
      <x v="470"/>
      <x v="4"/>
      <x/>
      <x/>
      <x v="2"/>
      <x/>
      <x/>
      <x v="1"/>
    </i>
    <i r="4">
      <x v="22"/>
      <x/>
      <x/>
      <x v="90"/>
      <x v="4"/>
      <x/>
      <x/>
      <x v="2"/>
      <x/>
      <x/>
      <x v="1"/>
    </i>
    <i r="4">
      <x v="31"/>
      <x v="1"/>
      <x/>
      <x v="303"/>
      <x v="4"/>
      <x/>
      <x/>
      <x v="2"/>
      <x/>
      <x/>
      <x v="1"/>
    </i>
    <i r="4">
      <x v="48"/>
      <x/>
      <x/>
      <x v="623"/>
      <x v="30"/>
      <x/>
      <x/>
      <x v="76"/>
      <x v="1"/>
      <x/>
      <x v="14"/>
    </i>
    <i r="4">
      <x v="49"/>
      <x/>
      <x/>
      <x v="409"/>
      <x v="4"/>
      <x/>
      <x/>
      <x v="2"/>
      <x/>
      <x/>
      <x v="1"/>
    </i>
    <i r="4">
      <x v="55"/>
      <x/>
      <x/>
      <x v="465"/>
      <x v="4"/>
      <x/>
      <x/>
      <x v="2"/>
      <x/>
      <x/>
      <x v="1"/>
    </i>
    <i r="4">
      <x v="57"/>
      <x/>
      <x/>
      <x v="300"/>
      <x v="4"/>
      <x/>
      <x/>
      <x v="2"/>
      <x/>
      <x/>
      <x v="1"/>
    </i>
    <i r="1">
      <x v="3"/>
      <x/>
      <x/>
      <x v="1"/>
      <x/>
      <x/>
      <x v="24"/>
      <x v="8"/>
      <x/>
      <x/>
      <x v="11"/>
      <x v="1"/>
      <x/>
      <x v="160"/>
    </i>
    <i r="4">
      <x v="3"/>
      <x/>
      <x/>
      <x v="25"/>
      <x v="8"/>
      <x/>
      <x/>
      <x v="4"/>
      <x v="1"/>
      <x/>
      <x v="173"/>
    </i>
    <i r="12">
      <x v="12"/>
      <x/>
      <x v="168"/>
    </i>
    <i r="4">
      <x v="4"/>
      <x/>
      <x/>
      <x v="23"/>
      <x v="8"/>
      <x/>
      <x/>
      <x v="6"/>
      <x v="1"/>
      <x/>
      <x v="21"/>
    </i>
    <i r="11">
      <x v="9"/>
      <x v="1"/>
      <x/>
      <x v="22"/>
    </i>
    <i r="4">
      <x v="5"/>
      <x/>
      <x/>
      <x v="22"/>
      <x v="8"/>
      <x/>
      <x/>
      <x v="7"/>
      <x v="1"/>
      <x/>
      <x v="24"/>
    </i>
    <i r="4">
      <x v="6"/>
      <x/>
      <x/>
      <x v="21"/>
      <x v="8"/>
      <x/>
      <x/>
      <x v="8"/>
      <x v="1"/>
      <x/>
      <x v="23"/>
    </i>
    <i r="4">
      <x v="7"/>
      <x/>
      <x/>
      <x v="24"/>
      <x v="8"/>
      <x/>
      <x/>
      <x v="5"/>
      <x v="1"/>
      <x/>
      <x v="11"/>
    </i>
    <i r="11">
      <x v="12"/>
      <x v="1"/>
      <x/>
      <x v="9"/>
    </i>
    <i r="11">
      <x v="34"/>
      <x v="1"/>
      <x/>
      <x v="162"/>
    </i>
    <i r="4">
      <x v="8"/>
      <x/>
      <x/>
      <x v="196"/>
      <x v="8"/>
      <x/>
      <x/>
      <x/>
      <x v="5"/>
      <x/>
      <x v="150"/>
    </i>
    <i r="11">
      <x v="10"/>
      <x v="1"/>
      <x/>
      <x v="52"/>
    </i>
    <i r="4">
      <x v="9"/>
      <x/>
      <x/>
      <x v="17"/>
      <x v="4"/>
      <x/>
      <x/>
      <x v="2"/>
      <x/>
      <x/>
      <x v="1"/>
    </i>
    <i r="4">
      <x v="17"/>
      <x/>
      <x/>
      <x v="273"/>
      <x v="9"/>
      <x/>
      <x/>
      <x/>
      <x v="2"/>
      <x/>
      <x v="151"/>
    </i>
    <i r="8">
      <x v="67"/>
      <x/>
      <x/>
      <x v="42"/>
      <x v="1"/>
      <x/>
      <x v="55"/>
    </i>
    <i r="5">
      <x v="1"/>
      <x/>
      <x v="599"/>
      <x v="9"/>
      <x/>
      <x/>
      <x v="19"/>
      <x v="3"/>
      <x/>
      <x v="154"/>
    </i>
    <i r="8">
      <x v="17"/>
      <x/>
      <x/>
      <x v="19"/>
      <x v="3"/>
      <x/>
      <x v="155"/>
    </i>
    <i r="5">
      <x v="2"/>
      <x/>
      <x v="60"/>
      <x v="9"/>
      <x/>
      <x/>
      <x v="21"/>
      <x v="1"/>
      <x/>
      <x v="54"/>
    </i>
    <i r="4">
      <x v="18"/>
      <x/>
      <x/>
      <x v="189"/>
      <x v="9"/>
      <x/>
      <x/>
      <x/>
      <x v="5"/>
      <x/>
      <x v="150"/>
    </i>
    <i r="8">
      <x v="10"/>
      <x/>
      <x/>
      <x v="19"/>
      <x v="5"/>
      <x/>
      <x v="150"/>
    </i>
    <i r="4">
      <x v="24"/>
      <x/>
      <x/>
      <x v="37"/>
      <x v="8"/>
      <x/>
      <x/>
      <x v="99"/>
      <x v="8"/>
      <x/>
      <x v="4"/>
    </i>
    <i r="4">
      <x v="27"/>
      <x/>
      <x/>
      <x v="202"/>
      <x v="40"/>
      <x/>
      <x/>
      <x v="54"/>
      <x v="1"/>
      <x/>
      <x v="179"/>
    </i>
    <i r="11">
      <x v="55"/>
      <x v="1"/>
      <x/>
      <x v="178"/>
    </i>
    <i r="11">
      <x v="56"/>
      <x v="1"/>
      <x/>
      <x v="182"/>
    </i>
    <i r="5">
      <x v="1"/>
      <x/>
      <x v="27"/>
      <x v="40"/>
      <x/>
      <x/>
      <x v="54"/>
      <x v="1"/>
      <x/>
      <x v="179"/>
    </i>
    <i r="11">
      <x v="55"/>
      <x v="1"/>
      <x/>
      <x v="178"/>
    </i>
    <i r="11">
      <x v="56"/>
      <x v="1"/>
      <x/>
      <x v="182"/>
    </i>
    <i r="4">
      <x v="29"/>
      <x/>
      <x/>
      <x v="69"/>
      <x v="4"/>
      <x/>
      <x/>
      <x v="2"/>
      <x/>
      <x/>
      <x/>
    </i>
    <i r="4">
      <x v="31"/>
      <x v="1"/>
      <x/>
      <x v="304"/>
      <x v="4"/>
      <x/>
      <x/>
      <x v="2"/>
      <x/>
      <x/>
      <x/>
    </i>
    <i r="4">
      <x v="46"/>
      <x/>
      <x/>
      <x v="89"/>
      <x v="50"/>
      <x/>
      <x/>
      <x v="70"/>
      <x v="1"/>
      <x/>
      <x v="36"/>
    </i>
    <i r="4">
      <x v="48"/>
      <x/>
      <x/>
      <x v="624"/>
      <x v="9"/>
      <x/>
      <x/>
      <x v="72"/>
      <x v="1"/>
      <x/>
      <x v="157"/>
    </i>
    <i r="4">
      <x v="49"/>
      <x/>
      <x/>
      <x v="485"/>
      <x v="9"/>
      <x/>
      <x/>
      <x v="4"/>
      <x v="12"/>
      <x/>
      <x v="168"/>
    </i>
    <i r="8">
      <x v="52"/>
      <x/>
      <x/>
      <x v="90"/>
      <x v="1"/>
      <x/>
      <x v="175"/>
    </i>
    <i r="4">
      <x v="55"/>
      <x/>
      <x/>
      <x v="460"/>
      <x v="68"/>
      <x/>
      <x/>
      <x v="96"/>
      <x v="1"/>
      <x/>
      <x v="145"/>
    </i>
    <i r="4">
      <x v="57"/>
      <x/>
      <x/>
      <x v="301"/>
      <x v="4"/>
      <x/>
      <x/>
      <x v="2"/>
      <x/>
      <x/>
      <x/>
    </i>
    <i r="1">
      <x v="4"/>
      <x/>
      <x/>
      <x v="9"/>
      <x/>
      <x/>
      <x v="269"/>
      <x v="6"/>
      <x/>
      <x/>
      <x v="14"/>
      <x v="1"/>
      <x/>
      <x v="84"/>
    </i>
    <i r="8">
      <x v="8"/>
      <x/>
      <x/>
      <x v="14"/>
      <x v="1"/>
      <x/>
      <x v="84"/>
    </i>
    <i r="8">
      <x v="9"/>
      <x/>
      <x/>
      <x v="13"/>
      <x v="1"/>
      <x/>
      <x v="104"/>
    </i>
    <i r="11">
      <x v="19"/>
      <x v="6"/>
      <x/>
      <x v="147"/>
    </i>
    <i r="11">
      <x v="20"/>
      <x v="1"/>
      <x/>
      <x v="66"/>
    </i>
    <i r="4">
      <x v="10"/>
      <x/>
      <x/>
      <x v="20"/>
      <x v="9"/>
      <x/>
      <x/>
      <x v="32"/>
      <x v="1"/>
      <x/>
      <x v="156"/>
    </i>
    <i r="4">
      <x v="14"/>
      <x/>
      <x/>
      <x v="257"/>
      <x v="9"/>
      <x/>
      <x/>
      <x v="28"/>
      <x v="1"/>
      <x/>
      <x v="42"/>
    </i>
    <i r="11">
      <x v="33"/>
      <x v="1"/>
      <x/>
      <x v="13"/>
    </i>
    <i r="4">
      <x v="29"/>
      <x/>
      <x/>
      <x v="71"/>
      <x v="4"/>
      <x/>
      <x/>
      <x v="2"/>
      <x/>
      <x/>
      <x/>
    </i>
    <i r="4">
      <x v="55"/>
      <x/>
      <x/>
      <x v="464"/>
      <x v="4"/>
      <x/>
      <x/>
      <x v="2"/>
      <x/>
      <x/>
      <x/>
    </i>
    <i r="1">
      <x v="5"/>
      <x/>
      <x/>
      <x v="13"/>
      <x/>
      <x/>
      <x v="618"/>
      <x v="4"/>
      <x/>
      <x/>
      <x v="2"/>
      <x/>
      <x/>
      <x/>
    </i>
    <i r="4">
      <x v="26"/>
      <x/>
      <x/>
      <x v="598"/>
      <x v="53"/>
      <x/>
      <x/>
      <x v="51"/>
      <x v="1"/>
      <x/>
      <x v="130"/>
    </i>
    <i r="11">
      <x v="91"/>
      <x v="1"/>
      <x/>
      <x v="26"/>
    </i>
    <i r="4">
      <x v="29"/>
      <x/>
      <x/>
      <x v="70"/>
      <x v="4"/>
      <x/>
      <x/>
      <x v="2"/>
      <x/>
      <x/>
      <x/>
    </i>
    <i r="4">
      <x v="30"/>
      <x/>
      <x/>
      <x v="68"/>
      <x v="53"/>
      <x/>
      <x/>
      <x v="48"/>
      <x v="1"/>
      <x/>
      <x v="6"/>
    </i>
    <i r="4">
      <x v="37"/>
      <x/>
      <x/>
      <x v="597"/>
      <x v="53"/>
      <x/>
      <x/>
      <x v="71"/>
      <x v="1"/>
      <x/>
      <x v="185"/>
    </i>
    <i r="4">
      <x v="56"/>
      <x/>
      <x/>
      <x v="456"/>
      <x v="4"/>
      <x/>
      <x/>
      <x v="2"/>
      <x/>
      <x/>
      <x/>
    </i>
    <i r="1">
      <x v="6"/>
      <x/>
      <x/>
      <x v="3"/>
      <x/>
      <x/>
      <x v="530"/>
      <x v="41"/>
      <x/>
      <x/>
      <x v="4"/>
      <x v="1"/>
      <x/>
      <x v="173"/>
    </i>
    <i r="4">
      <x v="4"/>
      <x/>
      <x/>
      <x v="190"/>
      <x v="41"/>
      <x/>
      <x/>
      <x v="6"/>
      <x v="1"/>
      <x/>
      <x v="21"/>
    </i>
    <i r="11">
      <x v="9"/>
      <x v="1"/>
      <x/>
      <x v="22"/>
    </i>
    <i r="4">
      <x v="5"/>
      <x/>
      <x/>
      <x v="147"/>
      <x v="41"/>
      <x/>
      <x/>
      <x v="7"/>
      <x v="1"/>
      <x/>
      <x v="24"/>
    </i>
    <i r="4">
      <x v="6"/>
      <x/>
      <x/>
      <x v="59"/>
      <x v="41"/>
      <x/>
      <x/>
      <x v="8"/>
      <x v="1"/>
      <x/>
      <x v="23"/>
    </i>
    <i r="4">
      <x v="7"/>
      <x/>
      <x/>
      <x v="274"/>
      <x v="41"/>
      <x/>
      <x/>
      <x v="4"/>
      <x v="12"/>
      <x/>
      <x v="168"/>
    </i>
    <i r="11">
      <x v="5"/>
      <x v="1"/>
      <x/>
      <x v="11"/>
    </i>
    <i r="11">
      <x v="10"/>
      <x v="1"/>
      <x/>
      <x v="52"/>
    </i>
    <i r="11">
      <x v="11"/>
      <x v="1"/>
      <x/>
      <x v="160"/>
    </i>
    <i r="11">
      <x v="12"/>
      <x v="1"/>
      <x/>
      <x v="9"/>
    </i>
    <i r="11">
      <x v="34"/>
      <x v="1"/>
      <x/>
      <x v="162"/>
    </i>
    <i r="4">
      <x v="10"/>
      <x/>
      <x/>
      <x v="18"/>
      <x v="32"/>
      <x/>
      <x/>
      <x v="16"/>
      <x v="1"/>
      <x/>
      <x v="102"/>
    </i>
    <i r="4">
      <x v="11"/>
      <x/>
      <x/>
      <x v="217"/>
      <x v="32"/>
      <x/>
      <x/>
      <x v="18"/>
      <x v="2"/>
      <x/>
      <x v="61"/>
    </i>
    <i r="8">
      <x v="33"/>
      <x/>
      <x/>
      <x v="18"/>
      <x v="2"/>
      <x/>
      <x v="60"/>
    </i>
    <i r="4">
      <x v="13"/>
      <x/>
      <x/>
      <x v="255"/>
      <x v="32"/>
      <x/>
      <x/>
      <x v="23"/>
      <x v="1"/>
      <x/>
      <x v="51"/>
    </i>
    <i r="4">
      <x v="23"/>
      <x/>
      <x/>
      <x v="36"/>
      <x v="32"/>
      <x/>
      <x/>
      <x v="37"/>
      <x v="8"/>
      <x/>
      <x v="5"/>
    </i>
    <i r="4">
      <x v="24"/>
      <x/>
      <x/>
      <x v="38"/>
      <x v="32"/>
      <x/>
      <x/>
      <x v="38"/>
      <x v="8"/>
      <x/>
      <x v="4"/>
    </i>
    <i r="4">
      <x v="27"/>
      <x/>
      <x/>
      <x v="26"/>
      <x v="31"/>
      <x/>
      <x/>
      <x v="54"/>
      <x v="1"/>
      <x/>
      <x v="179"/>
    </i>
    <i r="11">
      <x v="55"/>
      <x v="1"/>
      <x/>
      <x v="178"/>
    </i>
    <i r="11">
      <x v="56"/>
      <x v="1"/>
      <x/>
      <x v="182"/>
    </i>
    <i r="4">
      <x v="31"/>
      <x v="1"/>
      <x/>
      <x v="306"/>
      <x v="4"/>
      <x/>
      <x/>
      <x v="2"/>
      <x/>
      <x/>
      <x/>
    </i>
    <i r="4">
      <x v="49"/>
      <x/>
      <x/>
      <x v="406"/>
      <x v="32"/>
      <x/>
      <x/>
      <x v="91"/>
      <x v="1"/>
      <x/>
      <x v="27"/>
    </i>
    <i r="4">
      <x v="52"/>
      <x/>
      <x/>
      <x v="595"/>
      <x v="20"/>
      <x/>
      <x/>
      <x v="94"/>
      <x v="1"/>
      <x/>
      <x v="176"/>
    </i>
    <i r="4">
      <x v="55"/>
      <x/>
      <x/>
      <x v="457"/>
      <x v="68"/>
      <x/>
      <x/>
      <x v="96"/>
      <x v="1"/>
      <x/>
      <x v="145"/>
    </i>
    <i r="1">
      <x v="7"/>
      <x/>
      <x/>
      <x v="17"/>
      <x/>
      <x/>
      <x v="468"/>
      <x v="43"/>
      <x/>
      <x/>
      <x/>
      <x v="1"/>
      <x/>
      <x v="148"/>
    </i>
    <i r="4">
      <x v="25"/>
      <x/>
      <x/>
      <x v="408"/>
      <x v="43"/>
      <x/>
      <x/>
      <x v="52"/>
      <x v="1"/>
      <x/>
      <x v="141"/>
    </i>
    <i r="5">
      <x v="1"/>
      <x/>
      <x v="407"/>
      <x v="4"/>
      <x/>
      <x/>
      <x v="2"/>
      <x/>
      <x/>
      <x/>
    </i>
    <i r="4">
      <x v="49"/>
      <x/>
      <x/>
      <x v="410"/>
      <x v="43"/>
      <x/>
      <x/>
      <x v="72"/>
      <x v="1"/>
      <x/>
      <x v="159"/>
    </i>
    <i r="1">
      <x v="8"/>
      <x/>
      <x/>
      <x v="9"/>
      <x/>
      <x/>
      <x v="268"/>
      <x v="4"/>
      <x/>
      <x/>
      <x v="2"/>
      <x/>
      <x/>
      <x/>
    </i>
    <i r="4">
      <x v="10"/>
      <x/>
      <x/>
      <x v="19"/>
      <x v="7"/>
      <x/>
      <x/>
      <x v="30"/>
      <x v="1"/>
      <x/>
      <x v="46"/>
    </i>
    <i r="8">
      <x v="8"/>
      <x/>
      <x/>
      <x v="30"/>
      <x v="1"/>
      <x/>
      <x v="46"/>
    </i>
    <i r="8">
      <x v="9"/>
      <x/>
      <x/>
      <x v="30"/>
      <x v="1"/>
      <x/>
      <x v="46"/>
    </i>
    <i r="8">
      <x v="10"/>
      <x/>
      <x/>
      <x v="30"/>
      <x v="1"/>
      <x/>
      <x v="46"/>
    </i>
    <i r="8">
      <x v="50"/>
      <x/>
      <x/>
      <x v="30"/>
      <x v="1"/>
      <x/>
      <x v="46"/>
    </i>
    <i r="4">
      <x v="14"/>
      <x/>
      <x/>
      <x v="256"/>
      <x v="4"/>
      <x/>
      <x/>
      <x v="2"/>
      <x/>
      <x/>
      <x v="1"/>
    </i>
    <i r="4">
      <x v="17"/>
      <x/>
      <x/>
      <x v="350"/>
      <x v="7"/>
      <x/>
      <x/>
      <x v="30"/>
      <x v="1"/>
      <x/>
      <x v="46"/>
    </i>
    <i r="8">
      <x v="8"/>
      <x/>
      <x/>
      <x v="30"/>
      <x v="1"/>
      <x/>
      <x v="46"/>
    </i>
    <i r="8">
      <x v="9"/>
      <x/>
      <x/>
      <x v="30"/>
      <x v="1"/>
      <x/>
      <x v="46"/>
    </i>
    <i r="8">
      <x v="10"/>
      <x/>
      <x/>
      <x v="30"/>
      <x v="1"/>
      <x/>
      <x v="46"/>
    </i>
    <i r="8">
      <x v="50"/>
      <x/>
      <x/>
      <x v="30"/>
      <x v="1"/>
      <x/>
      <x v="46"/>
    </i>
    <i r="4">
      <x v="29"/>
      <x/>
      <x/>
      <x v="72"/>
      <x v="4"/>
      <x/>
      <x/>
      <x v="2"/>
      <x/>
      <x/>
      <x v="1"/>
    </i>
    <i r="4">
      <x v="49"/>
      <x/>
      <x/>
      <x v="405"/>
      <x v="4"/>
      <x/>
      <x/>
      <x v="2"/>
      <x/>
      <x/>
      <x v="1"/>
    </i>
    <i r="4">
      <x v="52"/>
      <x/>
      <x/>
      <x v="595"/>
      <x v="4"/>
      <x/>
      <x/>
      <x v="2"/>
      <x/>
      <x/>
      <x v="1"/>
    </i>
    <i r="4">
      <x v="55"/>
      <x/>
      <x/>
      <x v="459"/>
      <x v="4"/>
      <x/>
      <x/>
      <x v="2"/>
      <x/>
      <x/>
      <x v="1"/>
    </i>
    <i r="1">
      <x v="9"/>
      <x/>
      <x/>
      <x v="3"/>
      <x/>
      <x/>
      <x v="529"/>
      <x v="7"/>
      <x/>
      <x/>
      <x v="57"/>
      <x v="1"/>
      <x/>
      <x v="87"/>
    </i>
    <i r="4">
      <x v="4"/>
      <x/>
      <x/>
      <x v="190"/>
      <x v="7"/>
      <x/>
      <x/>
      <x v="57"/>
      <x v="1"/>
      <x/>
      <x v="87"/>
    </i>
    <i r="4">
      <x v="5"/>
      <x/>
      <x/>
      <x v="147"/>
      <x v="7"/>
      <x/>
      <x/>
      <x v="57"/>
      <x v="1"/>
      <x/>
      <x v="87"/>
    </i>
    <i r="4">
      <x v="6"/>
      <x/>
      <x/>
      <x v="59"/>
      <x v="7"/>
      <x/>
      <x/>
      <x v="57"/>
      <x v="1"/>
      <x/>
      <x v="87"/>
    </i>
    <i r="4">
      <x v="7"/>
      <x/>
      <x/>
      <x v="274"/>
      <x v="7"/>
      <x/>
      <x/>
      <x v="12"/>
      <x v="1"/>
      <x/>
      <x v="9"/>
    </i>
    <i r="11">
      <x v="57"/>
      <x v="1"/>
      <x/>
      <x v="87"/>
    </i>
    <i r="4">
      <x v="8"/>
      <x/>
      <x/>
      <x v="196"/>
      <x v="7"/>
      <x/>
      <x/>
      <x v="10"/>
      <x v="1"/>
      <x/>
      <x v="52"/>
    </i>
    <i r="11">
      <x v="11"/>
      <x v="1"/>
      <x/>
      <x v="160"/>
    </i>
    <i r="4">
      <x v="17"/>
      <x/>
      <x/>
      <x v="271"/>
      <x v="7"/>
      <x/>
      <x/>
      <x v="73"/>
      <x v="1"/>
      <x/>
      <x v="10"/>
    </i>
    <i r="4">
      <x v="31"/>
      <x v="1"/>
      <x/>
      <x v="305"/>
      <x v="4"/>
      <x/>
      <x/>
      <x v="2"/>
      <x/>
      <x/>
      <x/>
    </i>
    <i r="4">
      <x v="49"/>
      <x/>
      <x/>
      <x v="484"/>
      <x v="7"/>
      <x/>
      <x/>
      <x v="73"/>
      <x v="1"/>
      <x/>
      <x v="10"/>
    </i>
    <i r="11">
      <x v="91"/>
      <x v="1"/>
      <x/>
      <x v="30"/>
    </i>
    <i r="1">
      <x v="10"/>
      <x/>
      <x/>
      <x v="17"/>
      <x/>
      <x/>
      <x v="272"/>
      <x v="7"/>
      <x/>
      <x/>
      <x v="22"/>
      <x v="1"/>
      <x/>
      <x v="17"/>
    </i>
    <i r="5">
      <x v="1"/>
      <x/>
      <x v="29"/>
      <x v="4"/>
      <x/>
      <x/>
      <x v="2"/>
      <x/>
      <x/>
      <x v="1"/>
    </i>
    <i r="4">
      <x v="18"/>
      <x/>
      <x/>
      <x v="201"/>
      <x v="4"/>
      <x/>
      <x/>
      <x v="2"/>
      <x/>
      <x/>
      <x v="1"/>
    </i>
    <i r="4">
      <x v="21"/>
      <x/>
      <x/>
      <x v="308"/>
      <x v="58"/>
      <x/>
      <x/>
      <x v="39"/>
      <x v="1"/>
      <x/>
      <x v="91"/>
    </i>
    <i r="4">
      <x v="22"/>
      <x/>
      <x/>
      <x v="200"/>
      <x v="54"/>
      <x/>
      <x/>
      <x v="36"/>
      <x v="1"/>
      <x/>
      <x v="32"/>
    </i>
    <i r="8">
      <x v="58"/>
      <x/>
      <x/>
      <x v="46"/>
      <x v="1"/>
      <x/>
      <x v="169"/>
    </i>
    <i r="4">
      <x v="25"/>
      <x/>
      <x/>
      <x v="404"/>
      <x v="57"/>
      <x/>
      <x/>
      <x v="49"/>
      <x v="4"/>
      <x/>
      <x v="170"/>
    </i>
    <i r="4">
      <x v="29"/>
      <x/>
      <x/>
      <x v="67"/>
      <x v="54"/>
      <x/>
      <x/>
      <x v="35"/>
      <x v="1"/>
      <x/>
      <x v="161"/>
    </i>
    <i r="4">
      <x v="32"/>
      <x/>
      <x/>
      <x v="297"/>
      <x v="7"/>
      <x/>
      <x/>
      <x v="58"/>
      <x v="1"/>
      <x/>
      <x v="2"/>
    </i>
    <i r="8">
      <x v="54"/>
      <x/>
      <x/>
      <x v="58"/>
      <x v="1"/>
      <x/>
      <x v="77"/>
    </i>
    <i r="5">
      <x v="1"/>
      <x/>
      <x v="294"/>
      <x v="54"/>
      <x/>
      <x/>
      <x v="59"/>
      <x v="1"/>
      <x/>
      <x v="75"/>
    </i>
    <i r="5">
      <x v="2"/>
      <x/>
      <x v="286"/>
      <x v="54"/>
      <x/>
      <x/>
      <x v="60"/>
      <x v="1"/>
      <x/>
      <x v="69"/>
    </i>
    <i r="5">
      <x v="3"/>
      <x/>
      <x v="293"/>
      <x v="54"/>
      <x/>
      <x/>
      <x v="61"/>
      <x v="1"/>
      <x/>
      <x v="73"/>
    </i>
    <i r="4">
      <x v="33"/>
      <x v="1"/>
      <x/>
      <x v="292"/>
      <x v="54"/>
      <x/>
      <x/>
      <x v="62"/>
      <x v="1"/>
      <x/>
      <x v="70"/>
    </i>
    <i r="5">
      <x v="2"/>
      <x/>
      <x v="295"/>
      <x v="54"/>
      <x/>
      <x/>
      <x v="63"/>
      <x v="1"/>
      <x/>
      <x v="76"/>
    </i>
    <i r="5">
      <x v="3"/>
      <x/>
      <x v="287"/>
      <x v="54"/>
      <x/>
      <x/>
      <x v="64"/>
      <x v="1"/>
      <x/>
      <x v="81"/>
    </i>
    <i r="4">
      <x v="34"/>
      <x/>
      <x/>
      <x v="288"/>
      <x v="54"/>
      <x/>
      <x/>
      <x v="65"/>
      <x v="1"/>
      <x/>
      <x v="71"/>
    </i>
    <i r="4">
      <x v="35"/>
      <x/>
      <x/>
      <x v="296"/>
      <x v="54"/>
      <x/>
      <x/>
      <x v="66"/>
      <x v="1"/>
      <x/>
      <x v="34"/>
    </i>
    <i r="4">
      <x v="36"/>
      <x/>
      <x/>
      <x v="291"/>
      <x v="54"/>
      <x/>
      <x/>
      <x v="67"/>
      <x v="1"/>
      <x/>
      <x v="74"/>
    </i>
    <i r="4">
      <x v="37"/>
      <x/>
      <x/>
      <x v="298"/>
      <x v="54"/>
      <x/>
      <x/>
      <x v="68"/>
      <x v="1"/>
      <x/>
      <x v="78"/>
    </i>
    <i r="4">
      <x v="38"/>
      <x/>
      <x/>
      <x v="290"/>
      <x v="54"/>
      <x/>
      <x/>
      <x v="61"/>
      <x v="2"/>
      <x/>
      <x v="72"/>
    </i>
    <i r="4">
      <x v="39"/>
      <x/>
      <x/>
      <x v="411"/>
      <x v="18"/>
      <x/>
      <x/>
      <x v="69"/>
      <x v="1"/>
      <x/>
      <x v="136"/>
    </i>
    <i r="4">
      <x v="40"/>
      <x/>
      <x/>
      <x v="351"/>
      <x v="58"/>
      <x/>
      <x/>
      <x v="78"/>
      <x v="1"/>
      <x/>
      <x v="92"/>
    </i>
    <i r="4">
      <x v="51"/>
      <x/>
      <x/>
      <x v="299"/>
      <x v="57"/>
      <x/>
      <x/>
      <x v="89"/>
      <x v="2"/>
      <x/>
      <x v="80"/>
    </i>
    <i r="5">
      <x v="1"/>
      <x/>
      <x v="289"/>
      <x v="57"/>
      <x/>
      <x/>
      <x v="89"/>
      <x v="3"/>
      <x/>
      <x v="79"/>
    </i>
    <i r="4">
      <x v="52"/>
      <x/>
      <x/>
      <x v="404"/>
      <x v="57"/>
      <x/>
      <x/>
      <x v="89"/>
      <x v="4"/>
      <x/>
      <x v="170"/>
    </i>
    <i r="4">
      <x v="55"/>
      <x/>
      <x/>
      <x v="455"/>
      <x v="4"/>
      <x/>
      <x/>
      <x v="2"/>
      <x/>
      <x/>
      <x/>
    </i>
    <i r="1">
      <x v="11"/>
      <x/>
      <x/>
      <x v="17"/>
      <x/>
      <x/>
      <x v="270"/>
      <x v="67"/>
      <x/>
      <x/>
      <x v="42"/>
      <x v="1"/>
      <x/>
      <x v="55"/>
    </i>
    <i r="4">
      <x v="19"/>
      <x/>
      <x/>
      <x v="309"/>
      <x v="58"/>
      <x/>
      <x/>
      <x v="40"/>
      <x v="1"/>
      <x/>
      <x v="94"/>
    </i>
    <i r="4">
      <x v="20"/>
      <x v="3"/>
      <x/>
      <x v="318"/>
      <x v="58"/>
      <x/>
      <x/>
      <x v="40"/>
      <x v="1"/>
      <x/>
      <x v="94"/>
    </i>
    <i r="5">
      <x v="4"/>
      <x/>
      <x v="317"/>
      <x v="58"/>
      <x/>
      <x/>
      <x v="40"/>
      <x v="1"/>
      <x/>
      <x v="94"/>
    </i>
    <i r="5">
      <x v="5"/>
      <x/>
      <x v="311"/>
      <x v="58"/>
      <x/>
      <x/>
      <x v="40"/>
      <x v="1"/>
      <x/>
      <x v="94"/>
    </i>
    <i r="5">
      <x v="6"/>
      <x/>
      <x v="312"/>
      <x v="58"/>
      <x/>
      <x/>
      <x v="40"/>
      <x v="1"/>
      <x/>
      <x v="94"/>
    </i>
    <i r="5">
      <x v="7"/>
      <x/>
      <x v="313"/>
      <x v="58"/>
      <x/>
      <x/>
      <x v="40"/>
      <x v="1"/>
      <x/>
      <x v="94"/>
    </i>
    <i r="5">
      <x v="8"/>
      <x/>
      <x v="315"/>
      <x v="58"/>
      <x/>
      <x/>
      <x v="40"/>
      <x v="1"/>
      <x/>
      <x v="94"/>
    </i>
    <i r="5">
      <x v="9"/>
      <x/>
      <x v="316"/>
      <x v="58"/>
      <x/>
      <x/>
      <x v="40"/>
      <x v="1"/>
      <x/>
      <x v="94"/>
    </i>
    <i r="5">
      <x v="10"/>
      <x/>
      <x v="310"/>
      <x v="58"/>
      <x/>
      <x/>
      <x v="40"/>
      <x v="1"/>
      <x/>
      <x v="94"/>
    </i>
    <i r="5">
      <x v="11"/>
      <x/>
      <x v="314"/>
      <x v="4"/>
      <x/>
      <x/>
      <x v="2"/>
      <x/>
      <x/>
      <x/>
    </i>
    <i r="4">
      <x v="21"/>
      <x/>
      <x/>
      <x v="307"/>
      <x v="55"/>
      <x/>
      <x/>
      <x v="41"/>
      <x v="1"/>
      <x/>
      <x v="12"/>
    </i>
    <i r="4">
      <x v="22"/>
      <x/>
      <x/>
      <x v="447"/>
      <x v="4"/>
      <x/>
      <x/>
      <x v="2"/>
      <x/>
      <x/>
      <x/>
    </i>
    <i r="5">
      <x v="2"/>
      <x/>
      <x v="41"/>
      <x v="4"/>
      <x/>
      <x/>
      <x v="2"/>
      <x/>
      <x/>
      <x/>
    </i>
    <i r="4">
      <x v="26"/>
      <x/>
      <x/>
      <x v="443"/>
      <x v="55"/>
      <x/>
      <x/>
      <x v="53"/>
      <x v="1"/>
      <x/>
      <x v="139"/>
    </i>
    <i r="12">
      <x v="2"/>
      <x/>
      <x v="140"/>
    </i>
    <i r="11">
      <x v="93"/>
      <x v="1"/>
      <x/>
      <x v="139"/>
    </i>
    <i r="12">
      <x v="2"/>
      <x/>
      <x v="140"/>
    </i>
    <i r="5">
      <x v="1"/>
      <x/>
      <x v="444"/>
      <x v="4"/>
      <x/>
      <x/>
      <x v="2"/>
      <x/>
      <x/>
      <x/>
    </i>
    <i r="4">
      <x v="27"/>
      <x/>
      <x/>
      <x v="28"/>
      <x v="4"/>
      <x/>
      <x/>
      <x v="2"/>
      <x/>
      <x/>
      <x/>
    </i>
    <i r="5">
      <x v="1"/>
      <x/>
      <x v="594"/>
      <x v="4"/>
      <x/>
      <x/>
      <x v="2"/>
      <x/>
      <x/>
      <x/>
    </i>
    <i r="4">
      <x v="29"/>
      <x/>
      <x/>
      <x v="66"/>
      <x v="4"/>
      <x/>
      <x/>
      <x v="2"/>
      <x/>
      <x/>
      <x/>
    </i>
    <i r="5">
      <x v="1"/>
      <x/>
      <x v="64"/>
      <x v="4"/>
      <x/>
      <x/>
      <x v="2"/>
      <x/>
      <x/>
      <x/>
    </i>
    <i r="5">
      <x v="2"/>
      <x/>
      <x v="65"/>
      <x v="4"/>
      <x/>
      <x/>
      <x v="2"/>
      <x/>
      <x/>
      <x/>
    </i>
    <i r="4">
      <x v="40"/>
      <x/>
      <x/>
      <x v="491"/>
      <x v="58"/>
      <x/>
      <x/>
      <x v="77"/>
      <x v="1"/>
      <x/>
      <x v="93"/>
    </i>
    <i r="11">
      <x v="78"/>
      <x v="2"/>
      <x/>
      <x v="95"/>
    </i>
    <i r="11">
      <x v="80"/>
      <x v="1"/>
      <x/>
      <x v="33"/>
    </i>
    <i r="11">
      <x v="81"/>
      <x v="1"/>
      <x/>
      <x v="15"/>
    </i>
    <i r="4">
      <x v="41"/>
      <x/>
      <x/>
      <x v="488"/>
      <x v="4"/>
      <x/>
      <x/>
      <x v="2"/>
      <x/>
      <x/>
      <x/>
    </i>
    <i r="4">
      <x v="42"/>
      <x/>
      <x/>
      <x v="276"/>
      <x v="4"/>
      <x/>
      <x/>
      <x v="2"/>
      <x/>
      <x/>
      <x/>
    </i>
    <i r="4">
      <x v="43"/>
      <x/>
      <x/>
      <x v="490"/>
      <x v="4"/>
      <x/>
      <x/>
      <x v="2"/>
      <x/>
      <x/>
      <x/>
    </i>
    <i r="4">
      <x v="44"/>
      <x/>
      <x/>
      <x v="489"/>
      <x v="4"/>
      <x/>
      <x/>
      <x v="2"/>
      <x/>
      <x/>
      <x/>
    </i>
    <i r="4">
      <x v="47"/>
      <x/>
      <x/>
      <x v="596"/>
      <x v="57"/>
      <x/>
      <x/>
      <x v="71"/>
      <x v="1"/>
      <x/>
      <x v="184"/>
    </i>
    <i r="4">
      <x v="51"/>
      <x/>
      <x/>
      <x v="482"/>
      <x v="4"/>
      <x/>
      <x/>
      <x v="2"/>
      <x/>
      <x/>
      <x/>
    </i>
    <i r="4">
      <x v="52"/>
      <x/>
      <x/>
      <x v="486"/>
      <x v="4"/>
      <x/>
      <x/>
      <x v="2"/>
      <x/>
      <x/>
      <x/>
    </i>
    <i r="4">
      <x v="53"/>
      <x/>
      <x/>
      <x v="445"/>
      <x v="4"/>
      <x/>
      <x/>
      <x v="2"/>
      <x/>
      <x/>
      <x/>
    </i>
    <i r="5">
      <x v="1"/>
      <x/>
      <x v="574"/>
      <x v="17"/>
      <x/>
      <x/>
      <x v="90"/>
      <x v="2"/>
      <x/>
      <x v="138"/>
    </i>
    <i r="5">
      <x v="2"/>
      <x/>
      <x v="446"/>
      <x v="4"/>
      <x/>
      <x/>
      <x v="2"/>
      <x/>
      <x/>
      <x/>
    </i>
    <i r="4">
      <x v="54"/>
      <x/>
      <x/>
      <x v="409"/>
      <x v="4"/>
      <x/>
      <x/>
      <x v="2"/>
      <x/>
      <x/>
      <x/>
    </i>
    <i r="4">
      <x v="55"/>
      <x/>
      <x/>
      <x v="461"/>
      <x v="4"/>
      <x/>
      <x/>
      <x v="2"/>
      <x/>
      <x/>
      <x/>
    </i>
    <i r="4">
      <x v="57"/>
      <x v="2"/>
      <x/>
      <x v="302"/>
      <x v="4"/>
      <x/>
      <x/>
      <x v="2"/>
      <x/>
      <x/>
      <x/>
    </i>
    <i r="1">
      <x v="12"/>
      <x/>
      <x/>
      <x v="22"/>
      <x/>
      <x/>
      <x v="33"/>
      <x v="4"/>
      <x/>
      <x/>
      <x v="2"/>
      <x/>
      <x/>
      <x/>
    </i>
    <i r="5">
      <x v="1"/>
      <x/>
      <x v="448"/>
      <x v="4"/>
      <x/>
      <x/>
      <x v="2"/>
      <x/>
      <x/>
      <x/>
    </i>
    <i r="5">
      <x v="2"/>
      <x/>
      <x v="616"/>
      <x v="4"/>
      <x/>
      <x/>
      <x v="2"/>
      <x/>
      <x/>
      <x/>
    </i>
    <i r="4">
      <x v="23"/>
      <x/>
      <x/>
      <x v="617"/>
      <x v="4"/>
      <x/>
      <x/>
      <x v="2"/>
      <x/>
      <x/>
      <x/>
    </i>
    <i r="4">
      <x v="24"/>
      <x/>
      <x/>
      <x v="40"/>
      <x v="4"/>
      <x/>
      <x/>
      <x v="2"/>
      <x/>
      <x/>
      <x/>
    </i>
    <i r="4">
      <x v="29"/>
      <x/>
      <x/>
      <x v="258"/>
      <x v="4"/>
      <x/>
      <x/>
      <x v="2"/>
      <x/>
      <x/>
      <x/>
    </i>
    <i r="5">
      <x v="8"/>
      <x/>
      <x v="63"/>
      <x v="4"/>
      <x/>
      <x/>
      <x v="2"/>
      <x/>
      <x/>
      <x/>
    </i>
    <i r="5">
      <x v="9"/>
      <x/>
      <x v="62"/>
      <x v="4"/>
      <x/>
      <x/>
      <x v="2"/>
      <x/>
      <x/>
      <x/>
    </i>
    <i r="4">
      <x v="42"/>
      <x/>
      <x/>
      <x v="277"/>
      <x v="4"/>
      <x/>
      <x/>
      <x v="2"/>
      <x/>
      <x/>
      <x/>
    </i>
    <i r="4">
      <x v="49"/>
      <x v="1"/>
      <x/>
      <x v="43"/>
      <x v="4"/>
      <x/>
      <x/>
      <x v="2"/>
      <x/>
      <x/>
      <x/>
    </i>
    <i r="4">
      <x v="55"/>
      <x/>
      <x/>
      <x v="42"/>
      <x v="4"/>
      <x/>
      <x/>
      <x v="2"/>
      <x/>
      <x/>
      <x/>
    </i>
    <i r="1">
      <x v="13"/>
      <x/>
      <x/>
      <x v="10"/>
      <x/>
      <x/>
      <x v="600"/>
      <x v="4"/>
      <x/>
      <x/>
      <x v="2"/>
      <x/>
      <x/>
      <x/>
    </i>
    <i r="4">
      <x v="13"/>
      <x/>
      <x/>
      <x v="603"/>
      <x v="4"/>
      <x/>
      <x/>
      <x v="2"/>
      <x/>
      <x/>
      <x/>
    </i>
    <i r="5">
      <x v="1"/>
      <x/>
      <x v="612"/>
      <x v="4"/>
      <x/>
      <x/>
      <x v="2"/>
      <x/>
      <x/>
      <x/>
    </i>
    <i r="5">
      <x v="2"/>
      <x/>
      <x v="615"/>
      <x v="4"/>
      <x/>
      <x/>
      <x v="2"/>
      <x/>
      <x/>
      <x/>
    </i>
    <i r="4">
      <x v="17"/>
      <x/>
      <x/>
      <x v="608"/>
      <x v="4"/>
      <x/>
      <x/>
      <x v="2"/>
      <x/>
      <x/>
      <x/>
    </i>
    <i r="4">
      <x v="25"/>
      <x/>
      <x/>
      <x v="605"/>
      <x v="1"/>
      <x/>
      <x/>
      <x v="44"/>
      <x v="1"/>
      <x/>
      <x v="195"/>
    </i>
    <i r="4">
      <x v="29"/>
      <x/>
      <x/>
      <x v="601"/>
      <x v="4"/>
      <x/>
      <x/>
      <x v="2"/>
      <x/>
      <x/>
      <x/>
    </i>
    <i r="5">
      <x v="1"/>
      <x/>
      <x v="602"/>
      <x v="4"/>
      <x/>
      <x/>
      <x v="2"/>
      <x/>
      <x/>
      <x/>
    </i>
    <i r="4">
      <x v="41"/>
      <x/>
      <x/>
      <x v="610"/>
      <x v="1"/>
      <x/>
      <x/>
      <x v="82"/>
      <x v="1"/>
      <x/>
      <x v="196"/>
    </i>
    <i r="8">
      <x v="11"/>
      <x/>
      <x/>
      <x v="91"/>
      <x v="1"/>
      <x/>
      <x v="197"/>
    </i>
    <i r="8">
      <x v="31"/>
      <x/>
      <x/>
      <x v="91"/>
      <x v="1"/>
      <x/>
      <x v="27"/>
    </i>
    <i r="4">
      <x v="42"/>
      <x/>
      <x/>
      <x v="607"/>
      <x v="1"/>
      <x/>
      <x/>
      <x v="79"/>
      <x v="1"/>
      <x/>
      <x v="198"/>
    </i>
    <i r="5">
      <x v="1"/>
      <x/>
      <x v="606"/>
      <x v="4"/>
      <x/>
      <x/>
      <x v="2"/>
      <x/>
      <x/>
      <x/>
    </i>
    <i r="4">
      <x v="44"/>
      <x/>
      <x/>
      <x v="609"/>
      <x v="4"/>
      <x/>
      <x/>
      <x v="2"/>
      <x/>
      <x/>
      <x/>
    </i>
    <i r="4">
      <x v="49"/>
      <x/>
      <x/>
      <x v="604"/>
      <x v="4"/>
      <x/>
      <x/>
      <x v="2"/>
      <x/>
      <x/>
      <x/>
    </i>
    <i r="4">
      <x v="52"/>
      <x/>
      <x/>
      <x v="613"/>
      <x v="4"/>
      <x/>
      <x/>
      <x v="2"/>
      <x/>
      <x/>
      <x/>
    </i>
    <i r="4">
      <x v="54"/>
      <x/>
      <x/>
      <x v="614"/>
      <x v="4"/>
      <x/>
      <x/>
      <x v="2"/>
      <x/>
      <x/>
      <x/>
    </i>
    <i r="4">
      <x v="55"/>
      <x/>
      <x/>
      <x v="611"/>
      <x v="4"/>
      <x/>
      <x/>
      <x v="2"/>
      <x/>
      <x/>
      <x/>
    </i>
    <i r="1">
      <x v="14"/>
      <x/>
      <x/>
      <x v="13"/>
      <x/>
      <x/>
      <x v="260"/>
      <x/>
      <x/>
      <x/>
      <x v="27"/>
      <x v="1"/>
      <x/>
      <x v="45"/>
    </i>
    <i r="11">
      <x v="51"/>
      <x v="1"/>
      <x/>
      <x v="123"/>
    </i>
    <i r="4">
      <x v="17"/>
      <x/>
      <x/>
      <x v="265"/>
      <x/>
      <x/>
      <x/>
      <x v="21"/>
      <x v="1"/>
      <x/>
      <x v="53"/>
    </i>
    <i r="4">
      <x v="18"/>
      <x/>
      <x/>
      <x v="261"/>
      <x v="4"/>
      <x/>
      <x/>
      <x v="2"/>
      <x/>
      <x/>
      <x/>
    </i>
    <i r="4">
      <x v="23"/>
      <x/>
      <x/>
      <x v="32"/>
      <x v="4"/>
      <x/>
      <x/>
      <x v="2"/>
      <x/>
      <x/>
      <x/>
    </i>
    <i r="4">
      <x v="24"/>
      <x/>
      <x/>
      <x v="34"/>
      <x v="4"/>
      <x/>
      <x/>
      <x v="2"/>
      <x/>
      <x/>
      <x/>
    </i>
    <i r="4">
      <x v="26"/>
      <x/>
      <x/>
      <x v="262"/>
      <x/>
      <x/>
      <x/>
      <x v="51"/>
      <x v="2"/>
      <x/>
      <x v="122"/>
    </i>
    <i r="5">
      <x v="1"/>
      <x/>
      <x v="263"/>
      <x/>
      <x/>
      <x/>
      <x v="54"/>
      <x v="1"/>
      <x/>
      <x v="180"/>
    </i>
    <i r="4">
      <x v="29"/>
      <x/>
      <x/>
      <x v="259"/>
      <x v="4"/>
      <x/>
      <x/>
      <x v="2"/>
      <x/>
      <x/>
      <x/>
    </i>
    <i r="4">
      <x v="48"/>
      <x/>
      <x/>
      <x v="266"/>
      <x v="4"/>
      <x/>
      <x/>
      <x v="2"/>
      <x/>
      <x/>
      <x/>
    </i>
    <i r="4">
      <x v="54"/>
      <x/>
      <x/>
      <x v="264"/>
      <x/>
      <x/>
      <x/>
      <x v="94"/>
      <x v="1"/>
      <x/>
      <x v="176"/>
    </i>
    <i r="11">
      <x v="95"/>
      <x v="1"/>
      <x/>
      <x v="177"/>
    </i>
    <i r="4">
      <x v="55"/>
      <x/>
      <x/>
      <x v="267"/>
      <x v="68"/>
      <x/>
      <x/>
      <x v="96"/>
      <x v="1"/>
      <x/>
      <x v="145"/>
    </i>
    <i r="1">
      <x v="15"/>
      <x/>
      <x/>
      <x v="10"/>
      <x/>
      <x/>
      <x v="412"/>
      <x v="4"/>
      <x/>
      <x/>
      <x v="2"/>
      <x/>
      <x/>
      <x/>
    </i>
    <i r="4">
      <x v="12"/>
      <x/>
      <x/>
      <x v="413"/>
      <x v="4"/>
      <x/>
      <x/>
      <x v="2"/>
      <x/>
      <x/>
      <x/>
    </i>
    <i r="4">
      <x v="13"/>
      <x/>
      <x/>
      <x v="418"/>
      <x v="2"/>
      <x/>
      <x/>
      <x v="43"/>
      <x v="1"/>
      <x/>
      <x v="200"/>
    </i>
    <i r="11">
      <x v="44"/>
      <x v="1"/>
      <x/>
      <x v="199"/>
    </i>
    <i r="5">
      <x v="1"/>
      <x/>
      <x v="421"/>
      <x v="2"/>
      <x/>
      <x/>
      <x v="44"/>
      <x v="1"/>
      <x/>
      <x v="199"/>
    </i>
    <i r="4">
      <x v="17"/>
      <x/>
      <x/>
      <x v="416"/>
      <x v="2"/>
      <x/>
      <x/>
      <x v="45"/>
      <x v="1"/>
      <x/>
      <x v="201"/>
    </i>
    <i r="4">
      <x v="23"/>
      <x/>
      <x/>
      <x v="414"/>
      <x v="4"/>
      <x/>
      <x/>
      <x v="2"/>
      <x/>
      <x/>
      <x/>
    </i>
    <i r="4">
      <x v="24"/>
      <x/>
      <x/>
      <x v="415"/>
      <x v="4"/>
      <x/>
      <x/>
      <x v="2"/>
      <x/>
      <x/>
      <x/>
    </i>
    <i r="4">
      <x v="29"/>
      <x v="1"/>
      <x/>
      <x v="417"/>
      <x v="4"/>
      <x/>
      <x/>
      <x v="2"/>
      <x/>
      <x/>
      <x/>
    </i>
    <i r="4">
      <x v="41"/>
      <x/>
      <x/>
      <x v="419"/>
      <x v="2"/>
      <x/>
      <x/>
      <x v="82"/>
      <x v="1"/>
      <x/>
      <x v="202"/>
    </i>
    <i r="4">
      <x v="48"/>
      <x/>
      <x/>
      <x v="426"/>
      <x v="4"/>
      <x/>
      <x/>
      <x v="2"/>
      <x/>
      <x/>
      <x/>
    </i>
    <i r="4">
      <x v="49"/>
      <x/>
      <x/>
      <x v="420"/>
      <x v="2"/>
      <x/>
      <x/>
      <x v="82"/>
      <x v="1"/>
      <x/>
      <x v="202"/>
    </i>
    <i r="5">
      <x v="1"/>
      <x/>
      <x v="422"/>
      <x v="4"/>
      <x/>
      <x/>
      <x v="2"/>
      <x/>
      <x/>
      <x/>
    </i>
    <i r="4">
      <x v="52"/>
      <x/>
      <x/>
      <x v="423"/>
      <x v="4"/>
      <x/>
      <x/>
      <x v="2"/>
      <x/>
      <x/>
      <x/>
    </i>
    <i r="4">
      <x v="54"/>
      <x/>
      <x/>
      <x v="425"/>
      <x v="4"/>
      <x/>
      <x/>
      <x v="2"/>
      <x/>
      <x/>
      <x/>
    </i>
    <i r="4">
      <x v="55"/>
      <x/>
      <x/>
      <x v="424"/>
      <x v="4"/>
      <x/>
      <x/>
      <x v="2"/>
      <x/>
      <x/>
      <x/>
    </i>
    <i r="1">
      <x v="16"/>
      <x/>
      <x/>
      <x v="9"/>
      <x/>
      <x/>
      <x v="572"/>
      <x v="50"/>
      <x/>
      <x/>
      <x v="51"/>
      <x v="1"/>
      <x/>
      <x v="127"/>
    </i>
    <i r="4">
      <x v="17"/>
      <x/>
      <x/>
      <x v="571"/>
      <x v="50"/>
      <x/>
      <x/>
      <x v="20"/>
      <x v="1"/>
      <x/>
      <x v="68"/>
    </i>
    <i r="4">
      <x v="46"/>
      <x/>
      <x/>
      <x v="573"/>
      <x v="50"/>
      <x/>
      <x/>
      <x v="70"/>
      <x v="1"/>
      <x/>
      <x v="36"/>
    </i>
    <i r="1">
      <x v="17"/>
      <x/>
      <x/>
      <x v="17"/>
      <x/>
      <x/>
      <x v="621"/>
      <x v="51"/>
      <x/>
      <x/>
      <x v="51"/>
      <x v="1"/>
      <x/>
      <x v="121"/>
    </i>
    <i r="12">
      <x v="2"/>
      <x/>
      <x v="128"/>
    </i>
    <i r="12">
      <x v="3"/>
      <x/>
      <x v="117"/>
    </i>
    <i r="4">
      <x v="23"/>
      <x/>
      <x/>
      <x v="619"/>
      <x v="4"/>
      <x/>
      <x/>
      <x v="2"/>
      <x/>
      <x/>
      <x v="1"/>
    </i>
    <i r="4">
      <x v="24"/>
      <x/>
      <x/>
      <x v="39"/>
      <x v="12"/>
      <x/>
      <x/>
      <x v="38"/>
      <x v="8"/>
      <x/>
      <x v="4"/>
    </i>
    <i r="4">
      <x v="29"/>
      <x/>
      <x/>
      <x v="620"/>
      <x v="4"/>
      <x/>
      <x/>
      <x v="2"/>
      <x/>
      <x/>
      <x v="1"/>
    </i>
    <i r="4">
      <x v="49"/>
      <x/>
      <x/>
      <x v="483"/>
      <x v="51"/>
      <x/>
      <x/>
      <x v="91"/>
      <x v="1"/>
      <x/>
      <x v="25"/>
    </i>
    <i r="4">
      <x v="55"/>
      <x/>
      <x/>
      <x v="622"/>
      <x v="68"/>
      <x/>
      <x/>
      <x v="96"/>
      <x v="1"/>
      <x/>
      <x v="145"/>
    </i>
    <i r="1">
      <x v="18"/>
      <x/>
      <x/>
      <x v="3"/>
      <x/>
      <x/>
      <x v="526"/>
      <x v="41"/>
      <x/>
      <x/>
      <x v="4"/>
      <x v="1"/>
      <x/>
      <x v="173"/>
    </i>
    <i r="12">
      <x v="12"/>
      <x/>
      <x v="168"/>
    </i>
    <i r="4">
      <x v="4"/>
      <x/>
      <x/>
      <x v="521"/>
      <x v="41"/>
      <x/>
      <x/>
      <x v="6"/>
      <x v="1"/>
      <x/>
      <x v="21"/>
    </i>
    <i r="11">
      <x v="9"/>
      <x v="1"/>
      <x/>
      <x v="22"/>
    </i>
    <i r="4">
      <x v="5"/>
      <x/>
      <x/>
      <x v="519"/>
      <x v="41"/>
      <x/>
      <x/>
      <x v="7"/>
      <x v="1"/>
      <x/>
      <x v="24"/>
    </i>
    <i r="4">
      <x v="6"/>
      <x/>
      <x/>
      <x v="518"/>
      <x v="41"/>
      <x/>
      <x/>
      <x v="8"/>
      <x v="1"/>
      <x/>
      <x v="23"/>
    </i>
    <i r="4">
      <x v="7"/>
      <x/>
      <x/>
      <x v="525"/>
      <x v="41"/>
      <x/>
      <x/>
      <x v="12"/>
      <x v="1"/>
      <x/>
      <x v="9"/>
    </i>
    <i r="11">
      <x v="34"/>
      <x v="1"/>
      <x/>
      <x v="162"/>
    </i>
    <i r="4">
      <x v="8"/>
      <x/>
      <x/>
      <x v="522"/>
      <x v="41"/>
      <x/>
      <x/>
      <x v="10"/>
      <x v="1"/>
      <x/>
      <x v="52"/>
    </i>
    <i r="11">
      <x v="11"/>
      <x v="1"/>
      <x/>
      <x v="160"/>
    </i>
    <i r="4">
      <x v="10"/>
      <x/>
      <x/>
      <x v="508"/>
      <x v="41"/>
      <x/>
      <x/>
      <x v="13"/>
      <x v="1"/>
      <x/>
      <x v="104"/>
    </i>
    <i r="5">
      <x v="1"/>
      <x/>
      <x v="510"/>
      <x v="41"/>
      <x/>
      <x/>
      <x v="24"/>
      <x v="3"/>
      <x/>
      <x v="174"/>
    </i>
    <i r="12">
      <x v="4"/>
      <x/>
      <x v="50"/>
    </i>
    <i r="4">
      <x v="11"/>
      <x/>
      <x/>
      <x v="507"/>
      <x v="41"/>
      <x/>
      <x/>
      <x v="18"/>
      <x v="2"/>
      <x/>
      <x v="63"/>
    </i>
    <i r="4">
      <x v="12"/>
      <x/>
      <x/>
      <x v="509"/>
      <x v="41"/>
      <x/>
      <x/>
      <x v="13"/>
      <x v="1"/>
      <x/>
      <x v="104"/>
    </i>
    <i r="11">
      <x v="16"/>
      <x v="1"/>
      <x/>
      <x v="102"/>
    </i>
    <i r="4">
      <x v="13"/>
      <x/>
      <x/>
      <x v="495"/>
      <x v="41"/>
      <x/>
      <x/>
      <x v="24"/>
      <x v="1"/>
      <x/>
      <x v="49"/>
    </i>
    <i r="7">
      <x v="498"/>
      <x v="34"/>
      <x/>
      <x/>
      <x v="13"/>
      <x v="1"/>
      <x/>
      <x v="106"/>
    </i>
    <i r="11">
      <x v="25"/>
      <x v="1"/>
      <x/>
      <x v="38"/>
    </i>
    <i r="5">
      <x v="1"/>
      <x/>
      <x v="496"/>
      <x v="52"/>
      <x/>
      <x/>
      <x v="24"/>
      <x v="5"/>
      <x/>
      <x v="47"/>
    </i>
    <i r="5">
      <x v="2"/>
      <x/>
      <x v="497"/>
      <x v="41"/>
      <x/>
      <x/>
      <x v="24"/>
      <x v="2"/>
      <x/>
      <x v="48"/>
    </i>
    <i r="4">
      <x v="14"/>
      <x/>
      <x/>
      <x v="523"/>
      <x v="41"/>
      <x/>
      <x/>
      <x v="13"/>
      <x v="2"/>
      <x/>
      <x v="103"/>
    </i>
    <i r="11">
      <x v="29"/>
      <x v="1"/>
      <x/>
      <x v="40"/>
    </i>
    <i r="12">
      <x v="2"/>
      <x/>
      <x v="41"/>
    </i>
    <i r="4">
      <x v="17"/>
      <x/>
      <x/>
      <x v="524"/>
      <x v="41"/>
      <x/>
      <x/>
      <x v="21"/>
      <x v="1"/>
      <x/>
      <x v="53"/>
    </i>
    <i r="11">
      <x v="50"/>
      <x v="1"/>
      <x/>
      <x v="111"/>
    </i>
    <i r="4">
      <x v="23"/>
      <x/>
      <x/>
      <x v="492"/>
      <x v="41"/>
      <x/>
      <x/>
      <x v="37"/>
      <x v="8"/>
      <x/>
      <x v="5"/>
    </i>
    <i r="7">
      <x v="516"/>
      <x v="4"/>
      <x/>
      <x/>
      <x v="2"/>
      <x/>
      <x/>
      <x v="1"/>
    </i>
    <i r="5">
      <x v="1"/>
      <x/>
      <x v="514"/>
      <x v="4"/>
      <x/>
      <x/>
      <x v="2"/>
      <x/>
      <x/>
      <x v="1"/>
    </i>
    <i r="5">
      <x v="2"/>
      <x/>
      <x v="515"/>
      <x v="4"/>
      <x/>
      <x/>
      <x v="2"/>
      <x/>
      <x/>
      <x v="1"/>
    </i>
    <i r="5">
      <x v="3"/>
      <x/>
      <x v="513"/>
      <x v="4"/>
      <x/>
      <x/>
      <x v="2"/>
      <x/>
      <x/>
      <x v="1"/>
    </i>
    <i r="5">
      <x v="4"/>
      <x/>
      <x v="512"/>
      <x v="4"/>
      <x/>
      <x/>
      <x v="2"/>
      <x/>
      <x/>
      <x v="1"/>
    </i>
    <i r="5">
      <x v="5"/>
      <x/>
      <x v="511"/>
      <x v="41"/>
      <x/>
      <x/>
      <x v="37"/>
      <x v="8"/>
      <x/>
      <x v="5"/>
    </i>
    <i r="4">
      <x v="24"/>
      <x/>
      <x/>
      <x v="517"/>
      <x v="41"/>
      <x/>
      <x/>
      <x v="38"/>
      <x v="8"/>
      <x/>
      <x v="4"/>
    </i>
    <i r="4">
      <x v="25"/>
      <x/>
      <x/>
      <x v="520"/>
      <x v="41"/>
      <x/>
      <x/>
      <x v="50"/>
      <x v="2"/>
      <x/>
      <x v="110"/>
    </i>
    <i r="4">
      <x v="29"/>
      <x/>
      <x/>
      <x v="493"/>
      <x v="4"/>
      <x/>
      <x/>
      <x v="2"/>
      <x/>
      <x/>
      <x v="1"/>
    </i>
    <i r="5">
      <x v="1"/>
      <x/>
      <x v="494"/>
      <x v="4"/>
      <x/>
      <x/>
      <x v="2"/>
      <x/>
      <x/>
      <x v="1"/>
    </i>
    <i r="4">
      <x v="31"/>
      <x v="1"/>
      <x/>
      <x v="500"/>
      <x v="4"/>
      <x/>
      <x/>
      <x v="2"/>
      <x/>
      <x/>
      <x v="1"/>
    </i>
    <i r="5">
      <x v="2"/>
      <x/>
      <x v="502"/>
      <x v="4"/>
      <x/>
      <x/>
      <x v="2"/>
      <x/>
      <x/>
      <x v="1"/>
    </i>
    <i r="4">
      <x v="42"/>
      <x v="1"/>
      <x/>
      <x v="499"/>
      <x v="4"/>
      <x/>
      <x/>
      <x v="2"/>
      <x/>
      <x/>
      <x v="1"/>
    </i>
    <i r="4">
      <x v="49"/>
      <x/>
      <x/>
      <x v="503"/>
      <x v="41"/>
      <x/>
      <x/>
      <x v="73"/>
      <x v="1"/>
      <x/>
      <x v="164"/>
    </i>
    <i r="5">
      <x v="1"/>
      <x/>
      <x v="527"/>
      <x v="41"/>
      <x/>
      <x/>
      <x v="73"/>
      <x v="1"/>
      <x/>
      <x v="164"/>
    </i>
    <i r="4">
      <x v="52"/>
      <x v="7"/>
      <x/>
      <x v="504"/>
      <x v="4"/>
      <x/>
      <x/>
      <x v="2"/>
      <x/>
      <x/>
      <x v="1"/>
    </i>
    <i r="4">
      <x v="54"/>
      <x/>
      <x/>
      <x v="506"/>
      <x v="4"/>
      <x/>
      <x/>
      <x v="2"/>
      <x/>
      <x/>
      <x v="1"/>
    </i>
    <i r="4">
      <x v="55"/>
      <x/>
      <x/>
      <x v="505"/>
      <x v="68"/>
      <x/>
      <x/>
      <x v="96"/>
      <x v="1"/>
      <x/>
      <x v="145"/>
    </i>
    <i r="4">
      <x v="57"/>
      <x/>
      <x/>
      <x v="501"/>
      <x v="4"/>
      <x/>
      <x/>
      <x v="2"/>
      <x/>
      <x/>
      <x v="1"/>
    </i>
    <i r="1">
      <x v="19"/>
      <x/>
      <x/>
      <x v="3"/>
      <x/>
      <x/>
      <x v="401"/>
      <x v="41"/>
      <x/>
      <x/>
      <x v="4"/>
      <x v="1"/>
      <x/>
      <x v="173"/>
    </i>
    <i r="12">
      <x v="12"/>
      <x/>
      <x v="168"/>
    </i>
    <i r="4">
      <x v="4"/>
      <x/>
      <x/>
      <x v="400"/>
      <x v="41"/>
      <x/>
      <x/>
      <x v="6"/>
      <x v="1"/>
      <x/>
      <x v="21"/>
    </i>
    <i r="11">
      <x v="9"/>
      <x v="1"/>
      <x/>
      <x v="22"/>
    </i>
    <i r="4">
      <x v="5"/>
      <x/>
      <x/>
      <x v="399"/>
      <x v="41"/>
      <x/>
      <x/>
      <x v="7"/>
      <x v="1"/>
      <x/>
      <x v="24"/>
    </i>
    <i r="4">
      <x v="6"/>
      <x/>
      <x/>
      <x v="398"/>
      <x v="41"/>
      <x/>
      <x/>
      <x v="8"/>
      <x v="1"/>
      <x/>
      <x v="23"/>
    </i>
    <i r="4">
      <x v="7"/>
      <x/>
      <x/>
      <x v="403"/>
      <x v="41"/>
      <x/>
      <x/>
      <x v="5"/>
      <x v="1"/>
      <x/>
      <x v="11"/>
    </i>
    <i r="11">
      <x v="10"/>
      <x v="1"/>
      <x/>
      <x v="52"/>
    </i>
    <i r="11">
      <x v="11"/>
      <x v="1"/>
      <x/>
      <x v="160"/>
    </i>
    <i r="11">
      <x v="12"/>
      <x v="1"/>
      <x/>
      <x v="9"/>
    </i>
    <i r="11">
      <x v="34"/>
      <x v="1"/>
      <x/>
      <x v="162"/>
    </i>
    <i r="4">
      <x v="10"/>
      <x/>
      <x/>
      <x v="388"/>
      <x v="49"/>
      <x/>
      <x/>
      <x v="13"/>
      <x v="1"/>
      <x/>
      <x v="104"/>
    </i>
    <i r="4">
      <x v="12"/>
      <x/>
      <x/>
      <x v="389"/>
      <x v="4"/>
      <x/>
      <x/>
      <x v="2"/>
      <x/>
      <x/>
      <x v="1"/>
    </i>
    <i r="4">
      <x v="13"/>
      <x/>
      <x/>
      <x v="394"/>
      <x v="48"/>
      <x/>
      <x/>
      <x v="20"/>
      <x v="1"/>
      <x/>
      <x v="67"/>
    </i>
    <i r="8">
      <x v="49"/>
      <x/>
      <x/>
      <x v="25"/>
      <x v="1"/>
      <x/>
      <x v="39"/>
    </i>
    <i r="4">
      <x v="23"/>
      <x/>
      <x/>
      <x v="391"/>
      <x v="4"/>
      <x/>
      <x/>
      <x v="2"/>
      <x/>
      <x/>
      <x v="1"/>
    </i>
    <i r="4">
      <x v="24"/>
      <x/>
      <x/>
      <x v="390"/>
      <x v="4"/>
      <x/>
      <x/>
      <x v="2"/>
      <x/>
      <x/>
      <x v="1"/>
    </i>
    <i r="4">
      <x v="26"/>
      <x/>
      <x/>
      <x v="392"/>
      <x v="49"/>
      <x/>
      <x/>
      <x v="51"/>
      <x v="1"/>
      <x/>
      <x v="133"/>
    </i>
    <i r="4">
      <x v="31"/>
      <x v="1"/>
      <x/>
      <x v="395"/>
      <x v="4"/>
      <x/>
      <x/>
      <x v="2"/>
      <x/>
      <x/>
      <x v="1"/>
    </i>
    <i r="4">
      <x v="49"/>
      <x/>
      <x/>
      <x v="396"/>
      <x v="4"/>
      <x/>
      <x/>
      <x v="2"/>
      <x/>
      <x/>
      <x v="1"/>
    </i>
    <i r="4">
      <x v="52"/>
      <x/>
      <x/>
      <x v="402"/>
      <x v="49"/>
      <x/>
      <x/>
      <x v="94"/>
      <x v="1"/>
      <x/>
      <x v="176"/>
    </i>
    <i r="4">
      <x v="54"/>
      <x/>
      <x/>
      <x v="393"/>
      <x v="49"/>
      <x/>
      <x/>
      <x v="69"/>
      <x v="1"/>
      <x/>
      <x v="20"/>
    </i>
    <i r="4">
      <x v="55"/>
      <x/>
      <x/>
      <x v="397"/>
      <x v="4"/>
      <x/>
      <x/>
      <x v="2"/>
      <x/>
      <x/>
      <x v="1"/>
    </i>
    <i r="1">
      <x v="20"/>
      <x/>
      <x/>
      <x v="17"/>
      <x v="1"/>
      <x/>
      <x v="356"/>
      <x v="4"/>
      <x/>
      <x/>
      <x v="2"/>
      <x/>
      <x/>
      <x v="1"/>
    </i>
    <i r="5">
      <x v="2"/>
      <x/>
      <x v="370"/>
      <x v="46"/>
      <x/>
      <x/>
      <x/>
      <x v="9"/>
      <x/>
      <x v="194"/>
    </i>
    <i r="12">
      <x v="10"/>
      <x/>
      <x v="90"/>
    </i>
    <i r="11">
      <x v="51"/>
      <x v="1"/>
      <x/>
      <x v="124"/>
    </i>
    <i r="5">
      <x v="3"/>
      <x/>
      <x v="367"/>
      <x v="4"/>
      <x/>
      <x/>
      <x v="2"/>
      <x/>
      <x/>
      <x v="1"/>
    </i>
    <i r="4">
      <x v="30"/>
      <x/>
      <x/>
      <x v="198"/>
      <x v="46"/>
      <x/>
      <x/>
      <x v="88"/>
      <x v="1"/>
      <x/>
      <x v="146"/>
    </i>
    <i r="4">
      <x v="48"/>
      <x/>
      <x/>
      <x v="358"/>
      <x v="46"/>
      <x/>
      <x/>
      <x v="73"/>
      <x v="1"/>
      <x/>
      <x v="166"/>
    </i>
    <i r="4">
      <x v="49"/>
      <x v="3"/>
      <x/>
      <x v="357"/>
      <x v="4"/>
      <x/>
      <x/>
      <x v="2"/>
      <x/>
      <x/>
      <x v="1"/>
    </i>
    <i r="4">
      <x v="56"/>
      <x/>
      <x/>
      <x v="199"/>
      <x v="4"/>
      <x/>
      <x/>
      <x v="2"/>
      <x/>
      <x/>
      <x v="1"/>
    </i>
    <i r="1">
      <x v="21"/>
      <x/>
      <x/>
      <x v="3"/>
      <x/>
      <x/>
      <x v="383"/>
      <x v="46"/>
      <x/>
      <x/>
      <x v="4"/>
      <x v="1"/>
      <x/>
      <x v="173"/>
    </i>
    <i r="12">
      <x v="12"/>
      <x/>
      <x v="168"/>
    </i>
    <i r="4">
      <x v="4"/>
      <x/>
      <x/>
      <x v="362"/>
      <x v="46"/>
      <x/>
      <x/>
      <x v="6"/>
      <x v="1"/>
      <x/>
      <x v="21"/>
    </i>
    <i r="11">
      <x v="9"/>
      <x v="1"/>
      <x/>
      <x v="22"/>
    </i>
    <i r="4">
      <x v="5"/>
      <x/>
      <x/>
      <x v="354"/>
      <x v="46"/>
      <x/>
      <x/>
      <x v="7"/>
      <x v="1"/>
      <x/>
      <x v="24"/>
    </i>
    <i r="4">
      <x v="6"/>
      <x/>
      <x/>
      <x v="361"/>
      <x v="46"/>
      <x/>
      <x/>
      <x v="8"/>
      <x v="1"/>
      <x/>
      <x v="23"/>
    </i>
    <i r="4">
      <x v="7"/>
      <x/>
      <x/>
      <x v="376"/>
      <x v="46"/>
      <x/>
      <x/>
      <x v="5"/>
      <x v="1"/>
      <x/>
      <x v="11"/>
    </i>
    <i r="11">
      <x v="10"/>
      <x v="1"/>
      <x/>
      <x v="52"/>
    </i>
    <i r="11">
      <x v="11"/>
      <x v="1"/>
      <x/>
      <x v="160"/>
    </i>
    <i r="11">
      <x v="12"/>
      <x v="1"/>
      <x/>
      <x v="9"/>
    </i>
    <i r="11">
      <x v="34"/>
      <x v="1"/>
      <x/>
      <x v="162"/>
    </i>
    <i r="4">
      <x v="8"/>
      <x/>
      <x/>
      <x v="365"/>
      <x v="46"/>
      <x/>
      <x/>
      <x v="10"/>
      <x v="1"/>
      <x/>
      <x v="52"/>
    </i>
    <i r="4">
      <x v="10"/>
      <x/>
      <x/>
      <x v="360"/>
      <x v="46"/>
      <x/>
      <x/>
      <x v="26"/>
      <x v="1"/>
      <x/>
      <x v="44"/>
    </i>
    <i r="4">
      <x v="11"/>
      <x/>
      <x/>
      <x v="359"/>
      <x v="46"/>
      <x/>
      <x/>
      <x v="18"/>
      <x v="2"/>
      <x/>
      <x v="59"/>
    </i>
    <i r="4">
      <x v="13"/>
      <x/>
      <x/>
      <x v="375"/>
      <x v="46"/>
      <x/>
      <x/>
      <x v="26"/>
      <x v="1"/>
      <x/>
      <x v="44"/>
    </i>
    <i r="4">
      <x v="15"/>
      <x/>
      <x/>
      <x v="379"/>
      <x v="46"/>
      <x/>
      <x/>
      <x v="31"/>
      <x v="1"/>
      <x/>
      <x v="96"/>
    </i>
    <i r="4">
      <x v="17"/>
      <x/>
      <x/>
      <x v="364"/>
      <x v="46"/>
      <x/>
      <x/>
      <x v="21"/>
      <x v="1"/>
      <x/>
      <x v="53"/>
    </i>
    <i r="7">
      <x v="371"/>
      <x v="46"/>
      <x/>
      <x/>
      <x/>
      <x v="9"/>
      <x/>
      <x v="194"/>
    </i>
    <i r="12">
      <x v="10"/>
      <x/>
      <x v="90"/>
    </i>
    <i r="11">
      <x v="51"/>
      <x v="1"/>
      <x/>
      <x v="124"/>
    </i>
    <i r="5">
      <x v="1"/>
      <x/>
      <x v="363"/>
      <x v="46"/>
      <x/>
      <x/>
      <x/>
      <x v="9"/>
      <x/>
      <x v="194"/>
    </i>
    <i r="12">
      <x v="10"/>
      <x/>
      <x v="90"/>
    </i>
    <i r="11">
      <x v="51"/>
      <x v="1"/>
      <x/>
      <x v="124"/>
    </i>
    <i r="5">
      <x v="2"/>
      <x/>
      <x v="374"/>
      <x v="46"/>
      <x/>
      <x/>
      <x/>
      <x v="9"/>
      <x/>
      <x v="194"/>
    </i>
    <i r="12">
      <x v="10"/>
      <x/>
      <x v="90"/>
    </i>
    <i r="11">
      <x v="51"/>
      <x v="1"/>
      <x/>
      <x v="124"/>
    </i>
    <i r="5">
      <x v="3"/>
      <x/>
      <x v="373"/>
      <x v="46"/>
      <x/>
      <x/>
      <x/>
      <x v="9"/>
      <x/>
      <x v="194"/>
    </i>
    <i r="12">
      <x v="10"/>
      <x/>
      <x v="90"/>
    </i>
    <i r="11">
      <x v="51"/>
      <x v="1"/>
      <x/>
      <x v="124"/>
    </i>
    <i r="5">
      <x v="4"/>
      <x/>
      <x v="378"/>
      <x v="46"/>
      <x/>
      <x/>
      <x v="20"/>
      <x v="1"/>
      <x/>
      <x v="64"/>
    </i>
    <i r="4">
      <x v="18"/>
      <x/>
      <x/>
      <x v="385"/>
      <x v="4"/>
      <x/>
      <x/>
      <x v="2"/>
      <x/>
      <x/>
      <x v="1"/>
    </i>
    <i r="4">
      <x v="30"/>
      <x/>
      <x/>
      <x v="73"/>
      <x v="4"/>
      <x/>
      <x/>
      <x v="2"/>
      <x/>
      <x/>
      <x v="1"/>
    </i>
    <i r="4">
      <x v="31"/>
      <x/>
      <x/>
      <x v="366"/>
      <x v="4"/>
      <x/>
      <x/>
      <x v="2"/>
      <x/>
      <x/>
      <x v="1"/>
    </i>
    <i r="4">
      <x v="45"/>
      <x/>
      <x/>
      <x v="355"/>
      <x v="4"/>
      <x/>
      <x/>
      <x v="2"/>
      <x/>
      <x/>
      <x v="1"/>
    </i>
    <i r="5">
      <x v="1"/>
      <x/>
      <x v="352"/>
      <x v="4"/>
      <x/>
      <x/>
      <x v="2"/>
      <x/>
      <x/>
      <x v="1"/>
    </i>
    <i r="4">
      <x v="46"/>
      <x/>
      <x/>
      <x v="149"/>
      <x v="46"/>
      <x/>
      <x/>
      <x v="76"/>
      <x v="1"/>
      <x/>
      <x v="14"/>
    </i>
    <i r="4">
      <x v="47"/>
      <x/>
      <x/>
      <x v="384"/>
      <x v="46"/>
      <x/>
      <x/>
      <x v="71"/>
      <x v="1"/>
      <x/>
      <x v="189"/>
    </i>
    <i r="12">
      <x v="2"/>
      <x/>
      <x v="187"/>
    </i>
    <i r="4">
      <x v="48"/>
      <x/>
      <x/>
      <x v="382"/>
      <x v="46"/>
      <x/>
      <x/>
      <x v="73"/>
      <x v="2"/>
      <x/>
      <x v="165"/>
    </i>
    <i r="5">
      <x v="1"/>
      <x/>
      <x v="386"/>
      <x v="46"/>
      <x/>
      <x/>
      <x v="76"/>
      <x v="1"/>
      <x/>
      <x v="14"/>
    </i>
    <i r="4">
      <x v="49"/>
      <x/>
      <x/>
      <x v="381"/>
      <x v="41"/>
      <x/>
      <x/>
      <x v="4"/>
      <x v="12"/>
      <x/>
      <x v="168"/>
    </i>
    <i r="4">
      <x v="50"/>
      <x/>
      <x/>
      <x v="353"/>
      <x v="4"/>
      <x/>
      <x/>
      <x v="2"/>
      <x/>
      <x/>
      <x v="1"/>
    </i>
    <i r="4">
      <x v="56"/>
      <x/>
      <x/>
      <x v="467"/>
      <x v="46"/>
      <x/>
      <x/>
      <x v="88"/>
      <x v="1"/>
      <x/>
      <x v="146"/>
    </i>
    <i r="4">
      <x v="57"/>
      <x/>
      <x/>
      <x v="377"/>
      <x v="4"/>
      <x/>
      <x/>
      <x v="2"/>
      <x/>
      <x/>
      <x v="1"/>
    </i>
    <i r="1">
      <x v="22"/>
      <x/>
      <x/>
      <x v="17"/>
      <x/>
      <x/>
      <x v="369"/>
      <x v="46"/>
      <x/>
      <x/>
      <x/>
      <x v="9"/>
      <x/>
      <x v="194"/>
    </i>
    <i r="12">
      <x v="10"/>
      <x/>
      <x v="90"/>
    </i>
    <i r="11">
      <x v="51"/>
      <x v="1"/>
      <x/>
      <x v="124"/>
    </i>
    <i r="5">
      <x v="1"/>
      <x/>
      <x v="368"/>
      <x v="4"/>
      <x/>
      <x/>
      <x v="2"/>
      <x/>
      <x/>
      <x v="19"/>
    </i>
    <i r="5">
      <x v="2"/>
      <x/>
      <x v="372"/>
      <x v="47"/>
      <x/>
      <x/>
      <x v="19"/>
      <x v="9"/>
      <x/>
      <x v="153"/>
    </i>
    <i r="4">
      <x v="49"/>
      <x v="1"/>
      <x/>
      <x v="380"/>
      <x v="4"/>
      <x/>
      <x/>
      <x v="2"/>
      <x/>
      <x/>
      <x v="19"/>
    </i>
    <i r="1">
      <x v="23"/>
      <x/>
      <x/>
      <x v="3"/>
      <x/>
      <x/>
      <x v="244"/>
      <x v="41"/>
      <x/>
      <x/>
      <x v="4"/>
      <x v="1"/>
      <x/>
      <x v="173"/>
    </i>
    <i r="12">
      <x v="12"/>
      <x/>
      <x v="168"/>
    </i>
    <i r="4">
      <x v="4"/>
      <x/>
      <x/>
      <x v="242"/>
      <x v="41"/>
      <x/>
      <x/>
      <x v="6"/>
      <x v="1"/>
      <x/>
      <x v="21"/>
    </i>
    <i r="11">
      <x v="9"/>
      <x v="1"/>
      <x/>
      <x v="22"/>
    </i>
    <i r="4">
      <x v="5"/>
      <x/>
      <x/>
      <x v="241"/>
      <x v="41"/>
      <x/>
      <x/>
      <x v="7"/>
      <x v="1"/>
      <x/>
      <x v="24"/>
    </i>
    <i r="4">
      <x v="6"/>
      <x/>
      <x/>
      <x v="240"/>
      <x v="41"/>
      <x/>
      <x/>
      <x v="8"/>
      <x v="1"/>
      <x/>
      <x v="23"/>
    </i>
    <i r="4">
      <x v="7"/>
      <x/>
      <x/>
      <x v="243"/>
      <x v="41"/>
      <x/>
      <x/>
      <x v="5"/>
      <x v="1"/>
      <x/>
      <x v="11"/>
    </i>
    <i r="11">
      <x v="10"/>
      <x v="1"/>
      <x/>
      <x v="52"/>
    </i>
    <i r="11">
      <x v="11"/>
      <x v="1"/>
      <x/>
      <x v="160"/>
    </i>
    <i r="11">
      <x v="12"/>
      <x v="1"/>
      <x/>
      <x v="9"/>
    </i>
    <i r="11">
      <x v="34"/>
      <x v="1"/>
      <x/>
      <x v="162"/>
    </i>
    <i r="4">
      <x v="10"/>
      <x/>
      <x/>
      <x v="221"/>
      <x v="4"/>
      <x/>
      <x/>
      <x v="2"/>
      <x/>
      <x/>
      <x v="1"/>
    </i>
    <i r="4">
      <x v="11"/>
      <x/>
      <x/>
      <x v="222"/>
      <x v="45"/>
      <x/>
      <x/>
      <x v="18"/>
      <x v="2"/>
      <x/>
      <x v="59"/>
    </i>
    <i r="4">
      <x v="12"/>
      <x/>
      <x/>
      <x v="223"/>
      <x v="4"/>
      <x/>
      <x/>
      <x v="2"/>
      <x/>
      <x/>
      <x v="1"/>
    </i>
    <i r="4">
      <x v="13"/>
      <x/>
      <x/>
      <x v="230"/>
      <x v="45"/>
      <x/>
      <x/>
      <x v="25"/>
      <x v="1"/>
      <x/>
      <x v="38"/>
    </i>
    <i r="4">
      <x v="17"/>
      <x/>
      <x/>
      <x v="236"/>
      <x v="45"/>
      <x/>
      <x/>
      <x v="21"/>
      <x v="1"/>
      <x/>
      <x v="53"/>
    </i>
    <i r="4">
      <x v="22"/>
      <x/>
      <x/>
      <x v="224"/>
      <x v="4"/>
      <x/>
      <x/>
      <x v="2"/>
      <x/>
      <x/>
      <x v="1"/>
    </i>
    <i r="4">
      <x v="23"/>
      <x/>
      <x/>
      <x v="225"/>
      <x v="4"/>
      <x/>
      <x/>
      <x v="2"/>
      <x/>
      <x/>
      <x v="1"/>
    </i>
    <i r="4">
      <x v="24"/>
      <x/>
      <x/>
      <x v="226"/>
      <x v="45"/>
      <x/>
      <x/>
      <x v="38"/>
      <x v="8"/>
      <x/>
      <x v="4"/>
    </i>
    <i r="4">
      <x v="26"/>
      <x/>
      <x/>
      <x v="231"/>
      <x v="45"/>
      <x/>
      <x/>
      <x v="51"/>
      <x v="1"/>
      <x/>
      <x v="118"/>
    </i>
    <i r="5">
      <x v="1"/>
      <x/>
      <x v="232"/>
      <x v="4"/>
      <x/>
      <x/>
      <x v="2"/>
      <x/>
      <x/>
      <x v="1"/>
    </i>
    <i r="4">
      <x v="30"/>
      <x/>
      <x/>
      <x v="228"/>
      <x v="45"/>
      <x/>
      <x/>
      <x v="47"/>
      <x v="1"/>
      <x/>
      <x v="7"/>
    </i>
    <i r="5">
      <x v="1"/>
      <x/>
      <x v="229"/>
      <x v="4"/>
      <x/>
      <x/>
      <x v="2"/>
      <x/>
      <x/>
      <x v="1"/>
    </i>
    <i r="4">
      <x v="31"/>
      <x v="1"/>
      <x/>
      <x v="233"/>
      <x v="4"/>
      <x/>
      <x/>
      <x v="2"/>
      <x/>
      <x/>
      <x v="1"/>
    </i>
    <i r="4">
      <x v="47"/>
      <x/>
      <x/>
      <x v="237"/>
      <x v="45"/>
      <x/>
      <x/>
      <x v="71"/>
      <x v="1"/>
      <x/>
      <x v="188"/>
    </i>
    <i r="5">
      <x v="1"/>
      <x/>
      <x v="239"/>
      <x v="45"/>
      <x/>
      <x/>
      <x v="71"/>
      <x v="2"/>
      <x/>
      <x v="190"/>
    </i>
    <i r="5">
      <x v="3"/>
      <x/>
      <x v="238"/>
      <x v="4"/>
      <x/>
      <x/>
      <x v="2"/>
      <x/>
      <x/>
      <x v="1"/>
    </i>
    <i r="5">
      <x v="4"/>
      <x/>
      <x v="245"/>
      <x v="4"/>
      <x/>
      <x/>
      <x v="2"/>
      <x/>
      <x/>
      <x v="1"/>
    </i>
    <i r="4">
      <x v="49"/>
      <x/>
      <x/>
      <x v="234"/>
      <x v="4"/>
      <x/>
      <x/>
      <x v="2"/>
      <x/>
      <x/>
      <x v="1"/>
    </i>
    <i r="4">
      <x v="53"/>
      <x/>
      <x/>
      <x v="227"/>
      <x v="4"/>
      <x/>
      <x/>
      <x v="2"/>
      <x/>
      <x/>
      <x v="1"/>
    </i>
    <i r="4">
      <x v="55"/>
      <x/>
      <x/>
      <x v="463"/>
      <x v="4"/>
      <x/>
      <x/>
      <x v="2"/>
      <x/>
      <x/>
      <x v="1"/>
    </i>
    <i r="4">
      <x v="56"/>
      <x/>
      <x/>
      <x v="235"/>
      <x v="45"/>
      <x/>
      <x/>
      <x v="88"/>
      <x v="1"/>
      <x/>
      <x v="146"/>
    </i>
    <i r="1">
      <x v="24"/>
      <x/>
      <x/>
      <x v="13"/>
      <x/>
      <x/>
      <x v="192"/>
      <x v="4"/>
      <x/>
      <x/>
      <x v="2"/>
      <x/>
      <x/>
      <x v="1"/>
    </i>
    <i r="4">
      <x v="23"/>
      <x/>
      <x/>
      <x v="191"/>
      <x v="4"/>
      <x/>
      <x/>
      <x v="2"/>
      <x/>
      <x/>
      <x v="1"/>
    </i>
    <i r="4">
      <x v="49"/>
      <x/>
      <x/>
      <x v="194"/>
      <x v="4"/>
      <x/>
      <x/>
      <x v="2"/>
      <x/>
      <x/>
      <x v="1"/>
    </i>
    <i r="4">
      <x v="52"/>
      <x/>
      <x/>
      <x v="193"/>
      <x v="4"/>
      <x/>
      <x/>
      <x v="2"/>
      <x/>
      <x/>
      <x v="1"/>
    </i>
    <i r="4">
      <x v="55"/>
      <x/>
      <x/>
      <x v="195"/>
      <x v="4"/>
      <x/>
      <x/>
      <x v="2"/>
      <x/>
      <x/>
      <x v="1"/>
    </i>
    <i r="1">
      <x v="25"/>
      <x/>
      <x/>
      <x v="26"/>
      <x/>
      <x/>
      <x v="247"/>
      <x v="23"/>
      <x/>
      <x/>
      <x v="51"/>
      <x v="3"/>
      <x/>
      <x v="114"/>
    </i>
    <i r="1">
      <x v="26"/>
      <x/>
      <x/>
      <x v="26"/>
      <x/>
      <x/>
      <x v="248"/>
      <x v="24"/>
      <x/>
      <x/>
      <x v="51"/>
      <x v="1"/>
      <x/>
      <x v="115"/>
    </i>
    <i r="12">
      <x v="3"/>
      <x/>
      <x v="114"/>
    </i>
    <i r="4">
      <x v="28"/>
      <x/>
      <x/>
      <x v="249"/>
      <x v="24"/>
      <x/>
      <x/>
      <x v="51"/>
      <x v="2"/>
      <x/>
      <x v="116"/>
    </i>
    <i r="1">
      <x v="27"/>
      <x/>
      <x/>
      <x v="17"/>
      <x/>
      <x/>
      <x v="251"/>
      <x v="4"/>
      <x/>
      <x/>
      <x v="2"/>
      <x/>
      <x/>
      <x v="1"/>
    </i>
    <i r="4">
      <x v="26"/>
      <x/>
      <x/>
      <x v="250"/>
      <x v="25"/>
      <x/>
      <x/>
      <x v="51"/>
      <x v="1"/>
      <x/>
      <x v="115"/>
    </i>
    <i r="12">
      <x v="3"/>
      <x/>
      <x v="114"/>
    </i>
    <i r="4">
      <x v="28"/>
      <x/>
      <x/>
      <x v="252"/>
      <x v="25"/>
      <x/>
      <x/>
      <x v="51"/>
      <x v="2"/>
      <x/>
      <x v="116"/>
    </i>
    <i r="1">
      <x v="28"/>
      <x/>
      <x/>
      <x v="25"/>
      <x/>
      <x/>
      <x v="253"/>
      <x v="26"/>
      <x/>
      <x/>
      <x v="51"/>
      <x v="3"/>
      <x/>
      <x v="114"/>
    </i>
    <i r="4">
      <x v="52"/>
      <x/>
      <x/>
      <x v="254"/>
      <x v="4"/>
      <x/>
      <x/>
      <x v="2"/>
      <x/>
      <x/>
      <x v="1"/>
    </i>
    <i r="1">
      <x v="29"/>
      <x/>
      <x/>
      <x v="26"/>
      <x/>
      <x/>
      <x v="387"/>
      <x v="29"/>
      <x/>
      <x/>
      <x v="51"/>
      <x v="1"/>
      <x/>
      <x v="134"/>
    </i>
    <i r="1">
      <x v="30"/>
      <x/>
      <x/>
      <x v="26"/>
      <x/>
      <x/>
      <x v="172"/>
      <x v="27"/>
      <x/>
      <x/>
      <x v="51"/>
      <x v="3"/>
      <x/>
      <x v="114"/>
    </i>
    <i r="1">
      <x v="31"/>
      <x/>
      <x/>
      <x v="26"/>
      <x/>
      <x/>
      <x v="564"/>
      <x v="36"/>
      <x/>
      <x/>
      <x v="19"/>
      <x v="6"/>
      <x/>
      <x v="149"/>
    </i>
    <i r="11">
      <x v="51"/>
      <x v="3"/>
      <x/>
      <x v="114"/>
    </i>
    <i r="1">
      <x v="32"/>
      <x/>
      <x/>
      <x v="26"/>
      <x/>
      <x/>
      <x v="148"/>
      <x v="28"/>
      <x/>
      <x/>
      <x v="51"/>
      <x v="3"/>
      <x/>
      <x v="114"/>
    </i>
    <i r="1">
      <x v="33"/>
      <x/>
      <x/>
      <x v="17"/>
      <x/>
      <x/>
      <x v="220"/>
      <x v="4"/>
      <x/>
      <x/>
      <x v="2"/>
      <x/>
      <x/>
      <x v="1"/>
    </i>
    <i r="4">
      <x v="23"/>
      <x/>
      <x/>
      <x v="219"/>
      <x v="4"/>
      <x/>
      <x/>
      <x v="2"/>
      <x/>
      <x/>
      <x v="1"/>
    </i>
    <i r="4">
      <x v="24"/>
      <x/>
      <x/>
      <x v="218"/>
      <x v="4"/>
      <x/>
      <x/>
      <x v="2"/>
      <x/>
      <x/>
      <x v="1"/>
    </i>
    <i r="4">
      <x v="26"/>
      <x/>
      <x/>
      <x v="197"/>
      <x v="35"/>
      <x/>
      <x/>
      <x v="51"/>
      <x v="1"/>
      <x/>
      <x v="126"/>
    </i>
    <i r="1">
      <x v="34"/>
      <x/>
      <x/>
      <x v="17"/>
      <x/>
      <x/>
      <x v="453"/>
      <x v="4"/>
      <x/>
      <x/>
      <x v="2"/>
      <x/>
      <x/>
      <x v="1"/>
    </i>
    <i r="4">
      <x v="25"/>
      <x/>
      <x/>
      <x v="451"/>
      <x v="17"/>
      <x/>
      <x/>
      <x v="50"/>
      <x v="1"/>
      <x/>
      <x v="137"/>
    </i>
    <i r="12">
      <x v="2"/>
      <x/>
      <x v="138"/>
    </i>
    <i r="11">
      <x v="90"/>
      <x v="1"/>
      <x/>
      <x v="137"/>
    </i>
    <i r="12">
      <x v="2"/>
      <x/>
      <x v="138"/>
    </i>
    <i r="5">
      <x v="1"/>
      <x/>
      <x v="452"/>
      <x v="4"/>
      <x/>
      <x/>
      <x v="2"/>
      <x/>
      <x/>
      <x v="1"/>
    </i>
    <i r="4">
      <x v="46"/>
      <x/>
      <x/>
      <x v="450"/>
      <x v="4"/>
      <x/>
      <x/>
      <x v="2"/>
      <x/>
      <x/>
      <x v="1"/>
    </i>
    <i r="4">
      <x v="50"/>
      <x/>
      <x/>
      <x v="449"/>
      <x v="17"/>
      <x/>
      <x/>
      <x v="74"/>
      <x v="1"/>
      <x/>
      <x v="3"/>
    </i>
    <i r="4">
      <x v="52"/>
      <x/>
      <x/>
      <x v="454"/>
      <x v="4"/>
      <x/>
      <x/>
      <x v="2"/>
      <x/>
      <x/>
      <x v="1"/>
    </i>
    <i r="1">
      <x v="35"/>
      <x/>
      <x/>
      <x v="1"/>
      <x/>
      <x/>
      <x v="171"/>
      <x v="10"/>
      <x/>
      <x/>
      <x v="10"/>
      <x v="1"/>
      <x/>
      <x v="52"/>
    </i>
    <i r="11">
      <x v="11"/>
      <x v="1"/>
      <x/>
      <x v="160"/>
    </i>
    <i r="11">
      <x v="12"/>
      <x v="1"/>
      <x/>
      <x v="9"/>
    </i>
    <i r="4">
      <x v="3"/>
      <x/>
      <x/>
      <x v="188"/>
      <x v="10"/>
      <x/>
      <x/>
      <x v="57"/>
      <x v="1"/>
      <x/>
      <x v="86"/>
    </i>
    <i r="4">
      <x v="4"/>
      <x/>
      <x/>
      <x v="187"/>
      <x v="10"/>
      <x/>
      <x/>
      <x v="57"/>
      <x v="1"/>
      <x/>
      <x v="86"/>
    </i>
    <i r="4">
      <x v="5"/>
      <x/>
      <x/>
      <x v="186"/>
      <x v="10"/>
      <x/>
      <x/>
      <x v="57"/>
      <x v="1"/>
      <x/>
      <x v="86"/>
    </i>
    <i r="4">
      <x v="6"/>
      <x/>
      <x/>
      <x v="185"/>
      <x v="10"/>
      <x/>
      <x/>
      <x v="57"/>
      <x v="1"/>
      <x/>
      <x v="86"/>
    </i>
    <i r="4">
      <x v="7"/>
      <x/>
      <x/>
      <x v="171"/>
      <x v="10"/>
      <x/>
      <x/>
      <x v="57"/>
      <x v="1"/>
      <x/>
      <x v="86"/>
    </i>
    <i r="4">
      <x v="17"/>
      <x/>
      <x/>
      <x v="184"/>
      <x v="8"/>
      <x/>
      <x/>
      <x v="20"/>
      <x v="1"/>
      <x/>
      <x v="65"/>
    </i>
    <i r="8">
      <x v="10"/>
      <x/>
      <x/>
      <x v="49"/>
      <x v="1"/>
      <x/>
      <x v="135"/>
    </i>
    <i r="4">
      <x v="31"/>
      <x v="1"/>
      <x/>
      <x v="182"/>
      <x v="4"/>
      <x/>
      <x/>
      <x v="2"/>
      <x/>
      <x/>
      <x v="1"/>
    </i>
    <i r="4">
      <x v="46"/>
      <x/>
      <x/>
      <x v="181"/>
      <x v="8"/>
      <x/>
      <x/>
      <x v="70"/>
      <x v="1"/>
      <x/>
      <x v="35"/>
    </i>
    <i r="8">
      <x v="10"/>
      <x/>
      <x/>
      <x v="70"/>
      <x v="1"/>
      <x/>
      <x v="37"/>
    </i>
    <i r="4">
      <x v="51"/>
      <x/>
      <x/>
      <x v="183"/>
      <x v="4"/>
      <x/>
      <x/>
      <x v="2"/>
      <x/>
      <x/>
      <x v="1"/>
    </i>
    <i r="1">
      <x v="36"/>
      <x/>
      <x/>
      <x v="16"/>
      <x/>
      <x/>
      <x v="563"/>
      <x v="4"/>
      <x/>
      <x/>
      <x v="2"/>
      <x/>
      <x/>
      <x v="8"/>
    </i>
    <i r="4">
      <x v="26"/>
      <x/>
      <x/>
      <x v="560"/>
      <x v="19"/>
      <x/>
      <x/>
      <x v="51"/>
      <x v="1"/>
      <x/>
      <x v="129"/>
    </i>
    <i r="4">
      <x v="49"/>
      <x/>
      <x/>
      <x v="561"/>
      <x v="4"/>
      <x/>
      <x/>
      <x v="2"/>
      <x/>
      <x/>
      <x v="1"/>
    </i>
    <i r="4">
      <x v="53"/>
      <x/>
      <x/>
      <x v="562"/>
      <x v="4"/>
      <x/>
      <x/>
      <x v="2"/>
      <x/>
      <x/>
      <x v="8"/>
    </i>
    <i r="1">
      <x v="37"/>
      <x/>
      <x/>
      <x v="26"/>
      <x/>
      <x/>
      <x v="479"/>
      <x v="21"/>
      <x/>
      <x/>
      <x v="51"/>
      <x v="1"/>
      <x/>
      <x v="125"/>
    </i>
    <i r="4">
      <x v="29"/>
      <x/>
      <x/>
      <x v="477"/>
      <x v="4"/>
      <x/>
      <x/>
      <x v="2"/>
      <x/>
      <x/>
      <x v="1"/>
    </i>
    <i r="4">
      <x v="54"/>
      <x/>
      <x/>
      <x v="478"/>
      <x v="4"/>
      <x/>
      <x/>
      <x v="2"/>
      <x/>
      <x/>
      <x v="1"/>
    </i>
    <i r="4">
      <x v="55"/>
      <x/>
      <x/>
      <x v="480"/>
      <x v="4"/>
      <x/>
      <x/>
      <x v="2"/>
      <x/>
      <x/>
      <x v="1"/>
    </i>
    <i r="1">
      <x v="38"/>
      <x/>
      <x/>
      <x v="25"/>
      <x/>
      <x/>
      <x v="569"/>
      <x v="4"/>
      <x/>
      <x/>
      <x v="2"/>
      <x/>
      <x/>
      <x v="1"/>
    </i>
    <i r="4">
      <x v="26"/>
      <x/>
      <x/>
      <x v="568"/>
      <x v="4"/>
      <x/>
      <x/>
      <x v="2"/>
      <x/>
      <x/>
      <x v="1"/>
    </i>
    <i r="4">
      <x v="27"/>
      <x/>
      <x/>
      <x v="567"/>
      <x v="37"/>
      <x/>
      <x/>
      <x v="54"/>
      <x v="1"/>
      <x/>
      <x v="181"/>
    </i>
    <i r="5">
      <x v="1"/>
      <x/>
      <x v="566"/>
      <x v="22"/>
      <x/>
      <x/>
      <x v="51"/>
      <x v="1"/>
      <x/>
      <x v="131"/>
    </i>
    <i r="8">
      <x v="38"/>
      <x/>
      <x/>
      <x v="51"/>
      <x v="1"/>
      <x/>
      <x v="120"/>
    </i>
    <i r="4">
      <x v="28"/>
      <x/>
      <x/>
      <x v="565"/>
      <x v="38"/>
      <x/>
      <x/>
      <x v="56"/>
      <x v="1"/>
      <x/>
      <x v="183"/>
    </i>
    <i r="4">
      <x v="31"/>
      <x/>
      <x/>
      <x v="570"/>
      <x v="4"/>
      <x/>
      <x/>
      <x v="2"/>
      <x/>
      <x/>
      <x v="1"/>
    </i>
    <i r="1">
      <x v="39"/>
      <x/>
      <x/>
      <x v="25"/>
      <x/>
      <x/>
      <x v="472"/>
      <x v="56"/>
      <x/>
      <x/>
      <x v="52"/>
      <x v="1"/>
      <x/>
      <x v="142"/>
    </i>
    <i r="12">
      <x v="2"/>
      <x/>
      <x v="143"/>
    </i>
    <i r="11">
      <x v="92"/>
      <x v="1"/>
      <x/>
      <x v="142"/>
    </i>
    <i r="12">
      <x v="2"/>
      <x/>
      <x v="143"/>
    </i>
    <i r="5">
      <x v="1"/>
      <x/>
      <x v="473"/>
      <x v="4"/>
      <x/>
      <x/>
      <x v="2"/>
      <x/>
      <x/>
      <x v="1"/>
    </i>
    <i r="4">
      <x v="26"/>
      <x/>
      <x/>
      <x v="475"/>
      <x v="39"/>
      <x/>
      <x/>
      <x v="51"/>
      <x v="1"/>
      <x/>
      <x v="119"/>
    </i>
    <i r="4">
      <x v="52"/>
      <x/>
      <x/>
      <x v="471"/>
      <x v="4"/>
      <x/>
      <x/>
      <x v="2"/>
      <x/>
      <x/>
      <x v="1"/>
    </i>
    <i r="4">
      <x v="53"/>
      <x/>
      <x/>
      <x v="476"/>
      <x v="4"/>
      <x/>
      <x/>
      <x v="2"/>
      <x/>
      <x/>
      <x v="1"/>
    </i>
    <i r="1">
      <x v="40"/>
      <x/>
      <x/>
      <x v="1"/>
      <x/>
      <x/>
      <x v="549"/>
      <x v="41"/>
      <x/>
      <x/>
      <x v="5"/>
      <x v="1"/>
      <x/>
      <x v="11"/>
    </i>
    <i r="11">
      <x v="11"/>
      <x v="1"/>
      <x/>
      <x v="160"/>
    </i>
    <i r="11">
      <x v="12"/>
      <x v="1"/>
      <x/>
      <x v="9"/>
    </i>
    <i r="11">
      <x v="34"/>
      <x v="1"/>
      <x/>
      <x v="162"/>
    </i>
    <i r="4">
      <x v="3"/>
      <x/>
      <x/>
      <x v="554"/>
      <x v="41"/>
      <x/>
      <x/>
      <x v="4"/>
      <x v="1"/>
      <x/>
      <x v="173"/>
    </i>
    <i r="12">
      <x v="12"/>
      <x/>
      <x v="168"/>
    </i>
    <i r="4">
      <x v="4"/>
      <x/>
      <x/>
      <x v="542"/>
      <x v="41"/>
      <x/>
      <x/>
      <x v="6"/>
      <x v="1"/>
      <x/>
      <x v="21"/>
    </i>
    <i r="11">
      <x v="9"/>
      <x v="1"/>
      <x/>
      <x v="22"/>
    </i>
    <i r="4">
      <x v="5"/>
      <x/>
      <x/>
      <x v="540"/>
      <x v="41"/>
      <x/>
      <x/>
      <x v="7"/>
      <x v="1"/>
      <x/>
      <x v="24"/>
    </i>
    <i r="4">
      <x v="6"/>
      <x/>
      <x/>
      <x v="538"/>
      <x v="41"/>
      <x/>
      <x/>
      <x v="8"/>
      <x v="1"/>
      <x/>
      <x v="23"/>
    </i>
    <i r="4">
      <x v="7"/>
      <x/>
      <x/>
      <x v="549"/>
      <x v="41"/>
      <x/>
      <x/>
      <x v="4"/>
      <x v="1"/>
      <x/>
      <x v="173"/>
    </i>
    <i r="4">
      <x v="8"/>
      <x/>
      <x/>
      <x v="543"/>
      <x v="41"/>
      <x/>
      <x/>
      <x v="10"/>
      <x v="1"/>
      <x/>
      <x v="52"/>
    </i>
    <i r="4">
      <x v="10"/>
      <x/>
      <x/>
      <x v="535"/>
      <x v="44"/>
      <x/>
      <x/>
      <x v="13"/>
      <x v="1"/>
      <x/>
      <x v="105"/>
    </i>
    <i r="4">
      <x v="11"/>
      <x/>
      <x/>
      <x v="533"/>
      <x v="44"/>
      <x/>
      <x/>
      <x v="18"/>
      <x v="2"/>
      <x/>
      <x v="62"/>
    </i>
    <i r="5">
      <x v="1"/>
      <x/>
      <x v="534"/>
      <x v="44"/>
      <x/>
      <x/>
      <x v="18"/>
      <x v="3"/>
      <x/>
      <x v="58"/>
    </i>
    <i r="4">
      <x v="13"/>
      <x/>
      <x/>
      <x v="545"/>
      <x v="44"/>
      <x/>
      <x/>
      <x v="25"/>
      <x v="1"/>
      <x/>
      <x v="38"/>
    </i>
    <i r="5">
      <x v="1"/>
      <x/>
      <x v="544"/>
      <x v="44"/>
      <x/>
      <x/>
      <x v="25"/>
      <x v="1"/>
      <x/>
      <x v="38"/>
    </i>
    <i r="5">
      <x v="2"/>
      <x/>
      <x v="541"/>
      <x v="44"/>
      <x/>
      <x/>
      <x v="25"/>
      <x v="1"/>
      <x/>
      <x v="38"/>
    </i>
    <i r="4">
      <x v="17"/>
      <x/>
      <x/>
      <x v="553"/>
      <x v="44"/>
      <x/>
      <x/>
      <x v="20"/>
      <x v="1"/>
      <x/>
      <x v="66"/>
    </i>
    <i r="4">
      <x v="18"/>
      <x/>
      <x/>
      <x v="546"/>
      <x v="44"/>
      <x/>
      <x/>
      <x v="22"/>
      <x v="3"/>
      <x/>
      <x v="83"/>
    </i>
    <i r="4">
      <x v="23"/>
      <x/>
      <x/>
      <x v="537"/>
      <x v="4"/>
      <x/>
      <x/>
      <x v="2"/>
      <x/>
      <x/>
      <x v="1"/>
    </i>
    <i r="4">
      <x v="24"/>
      <x/>
      <x/>
      <x v="536"/>
      <x v="44"/>
      <x/>
      <x/>
      <x v="38"/>
      <x v="8"/>
      <x/>
      <x v="4"/>
    </i>
    <i r="4">
      <x v="26"/>
      <x/>
      <x/>
      <x v="550"/>
      <x v="44"/>
      <x/>
      <x/>
      <x v="13"/>
      <x v="2"/>
      <x/>
      <x v="107"/>
    </i>
    <i r="5">
      <x v="1"/>
      <x/>
      <x v="547"/>
      <x v="44"/>
      <x/>
      <x/>
      <x v="51"/>
      <x v="1"/>
      <x/>
      <x v="132"/>
    </i>
    <i r="4">
      <x v="30"/>
      <x/>
      <x/>
      <x v="539"/>
      <x v="44"/>
      <x/>
      <x/>
      <x v="47"/>
      <x v="1"/>
      <x/>
      <x v="7"/>
    </i>
    <i r="4">
      <x v="31"/>
      <x v="1"/>
      <x/>
      <x v="548"/>
      <x v="4"/>
      <x/>
      <x/>
      <x v="2"/>
      <x/>
      <x/>
      <x v="1"/>
    </i>
    <i r="4">
      <x v="44"/>
      <x/>
      <x/>
      <x v="532"/>
      <x v="44"/>
      <x/>
      <x/>
      <x v="71"/>
      <x v="1"/>
      <x/>
      <x v="186"/>
    </i>
    <i r="4">
      <x v="45"/>
      <x/>
      <x/>
      <x v="557"/>
      <x v="44"/>
      <x/>
      <x/>
      <x v="75"/>
      <x v="3"/>
      <x/>
      <x v="82"/>
    </i>
    <i r="4">
      <x v="47"/>
      <x/>
      <x/>
      <x v="556"/>
      <x v="44"/>
      <x/>
      <x/>
      <x v="71"/>
      <x v="2"/>
      <x/>
      <x v="190"/>
    </i>
    <i r="4">
      <x v="48"/>
      <x/>
      <x/>
      <x v="558"/>
      <x v="44"/>
      <x/>
      <x/>
      <x v="71"/>
      <x v="3"/>
      <x/>
      <x v="191"/>
    </i>
    <i r="5">
      <x v="1"/>
      <x/>
      <x v="559"/>
      <x v="44"/>
      <x/>
      <x/>
      <x v="71"/>
      <x v="4"/>
      <x/>
      <x v="192"/>
    </i>
    <i r="4">
      <x v="49"/>
      <x/>
      <x/>
      <x v="531"/>
      <x v="44"/>
      <x/>
      <x/>
      <x v="73"/>
      <x v="1"/>
      <x/>
      <x v="163"/>
    </i>
    <i r="4">
      <x v="53"/>
      <x/>
      <x/>
      <x v="551"/>
      <x v="4"/>
      <x/>
      <x/>
      <x v="2"/>
      <x/>
      <x/>
      <x v="1"/>
    </i>
    <i r="4">
      <x v="54"/>
      <x/>
      <x/>
      <x v="555"/>
      <x v="44"/>
      <x/>
      <x/>
      <x v="73"/>
      <x v="1"/>
      <x/>
      <x v="163"/>
    </i>
    <i r="4">
      <x v="55"/>
      <x/>
      <x/>
      <x v="462"/>
      <x v="4"/>
      <x/>
      <x/>
      <x v="2"/>
      <x/>
      <x/>
      <x v="1"/>
    </i>
    <i r="4">
      <x v="56"/>
      <x/>
      <x/>
      <x v="552"/>
      <x v="44"/>
      <x/>
      <x/>
      <x v="88"/>
      <x v="1"/>
      <x/>
      <x v="146"/>
    </i>
    <i r="1">
      <x v="41"/>
      <x/>
      <x/>
      <x v="3"/>
      <x/>
      <x/>
      <x v="102"/>
      <x v="41"/>
      <x/>
      <x/>
      <x v="4"/>
      <x v="1"/>
      <x/>
      <x v="173"/>
    </i>
    <i r="12">
      <x v="12"/>
      <x/>
      <x v="168"/>
    </i>
    <i r="4">
      <x v="4"/>
      <x/>
      <x/>
      <x v="105"/>
      <x v="41"/>
      <x/>
      <x/>
      <x v="6"/>
      <x v="1"/>
      <x/>
      <x v="21"/>
    </i>
    <i r="11">
      <x v="9"/>
      <x v="1"/>
      <x/>
      <x v="22"/>
    </i>
    <i r="4">
      <x v="5"/>
      <x/>
      <x/>
      <x v="101"/>
      <x v="41"/>
      <x/>
      <x/>
      <x v="7"/>
      <x v="1"/>
      <x/>
      <x v="24"/>
    </i>
    <i r="4">
      <x v="6"/>
      <x/>
      <x/>
      <x v="97"/>
      <x v="41"/>
      <x/>
      <x/>
      <x v="8"/>
      <x v="1"/>
      <x/>
      <x v="23"/>
    </i>
    <i r="4">
      <x v="7"/>
      <x/>
      <x/>
      <x v="116"/>
      <x v="4"/>
      <x/>
      <x/>
      <x v="2"/>
      <x/>
      <x/>
      <x/>
    </i>
    <i r="8">
      <x v="41"/>
      <x/>
      <x/>
      <x v="5"/>
      <x v="1"/>
      <x/>
      <x v="11"/>
    </i>
    <i r="11">
      <x v="10"/>
      <x v="1"/>
      <x/>
      <x v="52"/>
    </i>
    <i r="11">
      <x v="11"/>
      <x v="1"/>
      <x/>
      <x v="160"/>
    </i>
    <i r="11">
      <x v="12"/>
      <x v="1"/>
      <x/>
      <x v="9"/>
    </i>
    <i r="11">
      <x v="34"/>
      <x v="1"/>
      <x/>
      <x v="162"/>
    </i>
    <i r="4">
      <x v="10"/>
      <x/>
      <x/>
      <x v="94"/>
      <x v="11"/>
      <x/>
      <x/>
      <x v="15"/>
      <x v="1"/>
      <x/>
      <x v="109"/>
    </i>
    <i r="11">
      <x v="16"/>
      <x v="1"/>
      <x/>
      <x v="102"/>
    </i>
    <i r="8">
      <x v="12"/>
      <x/>
      <x/>
      <x v="13"/>
      <x v="1"/>
      <x/>
      <x v="104"/>
    </i>
    <i r="4">
      <x v="11"/>
      <x/>
      <x/>
      <x v="92"/>
      <x v="12"/>
      <x/>
      <x/>
      <x v="18"/>
      <x v="2"/>
      <x/>
      <x v="59"/>
    </i>
    <i r="12">
      <x v="3"/>
      <x/>
      <x v="57"/>
    </i>
    <i r="5">
      <x v="1"/>
      <x/>
      <x v="91"/>
      <x v="11"/>
      <x/>
      <x/>
      <x v="18"/>
      <x v="1"/>
      <x/>
      <x v="56"/>
    </i>
    <i r="4">
      <x v="12"/>
      <x/>
      <x/>
      <x v="93"/>
      <x v="4"/>
      <x/>
      <x/>
      <x v="2"/>
      <x/>
      <x/>
      <x/>
    </i>
    <i r="4">
      <x v="13"/>
      <x/>
      <x/>
      <x v="109"/>
      <x v="12"/>
      <x/>
      <x/>
      <x v="13"/>
      <x v="1"/>
      <x/>
      <x v="104"/>
    </i>
    <i r="5">
      <x v="1"/>
      <x/>
      <x v="104"/>
      <x v="4"/>
      <x/>
      <x/>
      <x v="2"/>
      <x/>
      <x/>
      <x/>
    </i>
    <i r="5">
      <x v="2"/>
      <x/>
      <x v="106"/>
      <x v="59"/>
      <x/>
      <x/>
      <x v="43"/>
      <x v="1"/>
      <x/>
      <x v="209"/>
    </i>
    <i r="11">
      <x v="44"/>
      <x v="1"/>
      <x/>
      <x v="210"/>
    </i>
    <i r="11">
      <x v="45"/>
      <x v="1"/>
      <x/>
      <x v="203"/>
    </i>
    <i r="12">
      <x v="2"/>
      <x/>
      <x v="204"/>
    </i>
    <i r="12">
      <x v="3"/>
      <x/>
      <x v="205"/>
    </i>
    <i r="12">
      <x v="4"/>
      <x/>
      <x v="206"/>
    </i>
    <i r="12">
      <x v="5"/>
      <x/>
      <x v="207"/>
    </i>
    <i r="12">
      <x v="7"/>
      <x/>
      <x v="208"/>
    </i>
    <i r="5">
      <x v="3"/>
      <x/>
      <x v="591"/>
      <x v="20"/>
      <x/>
      <x/>
      <x v="44"/>
      <x v="1"/>
      <x/>
      <x v="211"/>
    </i>
    <i r="5">
      <x v="4"/>
      <x/>
      <x v="592"/>
      <x v="20"/>
      <x/>
      <x/>
      <x v="43"/>
      <x v="1"/>
      <x/>
      <x v="212"/>
    </i>
    <i r="4">
      <x v="14"/>
      <x/>
      <x/>
      <x v="108"/>
      <x v="12"/>
      <x/>
      <x/>
      <x v="26"/>
      <x v="1"/>
      <x/>
      <x v="43"/>
    </i>
    <i r="5">
      <x v="1"/>
      <x/>
      <x v="103"/>
      <x v="12"/>
      <x/>
      <x/>
      <x v="26"/>
      <x v="1"/>
      <x/>
      <x v="43"/>
    </i>
    <i r="4">
      <x v="17"/>
      <x/>
      <x/>
      <x v="115"/>
      <x v="11"/>
      <x/>
      <x/>
      <x v="21"/>
      <x v="1"/>
      <x/>
      <x v="53"/>
    </i>
    <i r="8">
      <x v="12"/>
      <x/>
      <x/>
      <x v="21"/>
      <x v="1"/>
      <x/>
      <x v="53"/>
    </i>
    <i r="4">
      <x v="22"/>
      <x/>
      <x/>
      <x v="30"/>
      <x v="1"/>
      <x/>
      <x/>
      <x v="100"/>
      <x v="8"/>
      <x/>
      <x v="213"/>
    </i>
    <i r="4">
      <x v="23"/>
      <x/>
      <x/>
      <x v="95"/>
      <x v="4"/>
      <x/>
      <x/>
      <x v="101"/>
      <x/>
      <x/>
      <x/>
    </i>
    <i r="4">
      <x v="24"/>
      <x/>
      <x/>
      <x v="96"/>
      <x v="12"/>
      <x/>
      <x/>
      <x v="38"/>
      <x v="8"/>
      <x/>
      <x v="4"/>
    </i>
    <i r="4">
      <x v="29"/>
      <x/>
      <x/>
      <x v="99"/>
      <x v="4"/>
      <x/>
      <x/>
      <x v="2"/>
      <x/>
      <x/>
      <x/>
    </i>
    <i r="5">
      <x v="1"/>
      <x/>
      <x v="98"/>
      <x v="4"/>
      <x/>
      <x/>
      <x v="2"/>
      <x/>
      <x/>
      <x/>
    </i>
    <i r="5">
      <x v="2"/>
      <x/>
      <x v="100"/>
      <x v="4"/>
      <x/>
      <x/>
      <x v="2"/>
      <x/>
      <x/>
      <x/>
    </i>
    <i r="4">
      <x v="31"/>
      <x v="1"/>
      <x/>
      <x v="110"/>
      <x v="4"/>
      <x/>
      <x/>
      <x v="2"/>
      <x/>
      <x/>
      <x/>
    </i>
    <i r="4">
      <x v="44"/>
      <x/>
      <x/>
      <x v="112"/>
      <x v="4"/>
      <x/>
      <x/>
      <x v="2"/>
      <x/>
      <x/>
      <x/>
    </i>
    <i r="8">
      <x v="11"/>
      <x/>
      <x/>
      <x v="85"/>
      <x v="1"/>
      <x/>
      <x v="214"/>
    </i>
    <i r="8">
      <x v="35"/>
      <x/>
      <x/>
      <x v="85"/>
      <x v="1"/>
      <x/>
      <x v="98"/>
    </i>
    <i r="14">
      <x v="99"/>
    </i>
    <i r="8">
      <x v="42"/>
      <x/>
      <x/>
      <x v="85"/>
      <x v="1"/>
      <x/>
      <x v="101"/>
    </i>
    <i r="5">
      <x v="1"/>
      <x/>
      <x v="111"/>
      <x v="4"/>
      <x/>
      <x/>
      <x v="2"/>
      <x/>
      <x/>
      <x/>
    </i>
    <i r="5">
      <x v="2"/>
      <x/>
      <x v="107"/>
      <x v="59"/>
      <x/>
      <x/>
      <x v="82"/>
      <x v="1"/>
      <x/>
      <x v="215"/>
    </i>
    <i r="4">
      <x v="49"/>
      <x/>
      <x/>
      <x v="113"/>
      <x v="14"/>
      <x/>
      <x/>
      <x v="91"/>
      <x v="1"/>
      <x/>
      <x v="29"/>
    </i>
    <i r="8">
      <x v="21"/>
      <x/>
      <x/>
      <x v="87"/>
      <x v="1"/>
      <x/>
      <x v="16"/>
    </i>
    <i r="8">
      <x v="61"/>
      <x/>
      <x/>
      <x v="83"/>
      <x v="1"/>
      <x/>
      <x v="216"/>
    </i>
    <i r="4">
      <x v="53"/>
      <x v="3"/>
      <x/>
      <x v="593"/>
      <x v="20"/>
      <x/>
      <x/>
      <x v="84"/>
      <x v="5"/>
      <x/>
      <x v="217"/>
    </i>
    <i r="4">
      <x v="55"/>
      <x/>
      <x/>
      <x v="114"/>
      <x v="68"/>
      <x/>
      <x/>
      <x v="96"/>
      <x v="1"/>
      <x/>
      <x v="145"/>
    </i>
    <i r="1">
      <x v="42"/>
      <x/>
      <x/>
      <x v="10"/>
      <x/>
      <x/>
      <x v="47"/>
      <x v="60"/>
      <x/>
      <x/>
      <x v="45"/>
      <x v="7"/>
      <x/>
      <x v="218"/>
    </i>
    <i r="4">
      <x v="11"/>
      <x/>
      <x/>
      <x v="45"/>
      <x v="4"/>
      <x/>
      <x/>
      <x v="2"/>
      <x/>
      <x/>
      <x/>
    </i>
    <i r="5">
      <x v="1"/>
      <x/>
      <x v="44"/>
      <x v="4"/>
      <x/>
      <x/>
      <x v="2"/>
      <x/>
      <x/>
      <x/>
    </i>
    <i r="4">
      <x v="12"/>
      <x/>
      <x/>
      <x v="46"/>
      <x v="4"/>
      <x/>
      <x/>
      <x v="2"/>
      <x/>
      <x/>
      <x/>
    </i>
    <i r="4">
      <x v="13"/>
      <x/>
      <x/>
      <x v="53"/>
      <x v="60"/>
      <x/>
      <x/>
      <x v="43"/>
      <x v="1"/>
      <x/>
      <x v="219"/>
    </i>
    <i r="5">
      <x v="1"/>
      <x/>
      <x v="50"/>
      <x v="4"/>
      <x/>
      <x/>
      <x v="2"/>
      <x/>
      <x/>
      <x/>
    </i>
    <i r="5">
      <x v="2"/>
      <x/>
      <x v="51"/>
      <x v="60"/>
      <x/>
      <x/>
      <x v="43"/>
      <x v="1"/>
      <x/>
      <x v="219"/>
    </i>
    <i r="11">
      <x v="44"/>
      <x v="1"/>
      <x/>
      <x v="220"/>
    </i>
    <i r="11">
      <x v="45"/>
      <x v="1"/>
      <x/>
      <x v="221"/>
    </i>
    <i r="12">
      <x v="2"/>
      <x/>
      <x v="222"/>
    </i>
    <i r="12">
      <x v="3"/>
      <x/>
      <x v="223"/>
    </i>
    <i r="12">
      <x v="4"/>
      <x/>
      <x v="224"/>
    </i>
    <i r="12">
      <x v="5"/>
      <x/>
      <x v="225"/>
    </i>
    <i r="4">
      <x v="14"/>
      <x/>
      <x/>
      <x v="52"/>
      <x v="60"/>
      <x/>
      <x/>
      <x v="44"/>
      <x v="1"/>
      <x/>
      <x v="226"/>
    </i>
    <i r="5">
      <x v="1"/>
      <x/>
      <x v="49"/>
      <x v="4"/>
      <x/>
      <x/>
      <x v="2"/>
      <x/>
      <x/>
      <x/>
    </i>
    <i r="4">
      <x v="17"/>
      <x/>
      <x/>
      <x v="55"/>
      <x v="11"/>
      <x/>
      <x/>
      <x/>
      <x v="3"/>
      <x/>
      <x v="154"/>
    </i>
    <i r="4">
      <x v="29"/>
      <x/>
      <x/>
      <x v="48"/>
      <x v="4"/>
      <x/>
      <x/>
      <x v="2"/>
      <x/>
      <x/>
      <x/>
    </i>
    <i r="4">
      <x v="44"/>
      <x/>
      <x/>
      <x v="57"/>
      <x v="42"/>
      <x/>
      <x/>
      <x v="85"/>
      <x v="1"/>
      <x/>
      <x v="101"/>
    </i>
    <i r="5">
      <x v="2"/>
      <x/>
      <x v="56"/>
      <x v="60"/>
      <x/>
      <x/>
      <x v="82"/>
      <x v="1"/>
      <x/>
      <x v="227"/>
    </i>
    <i r="4">
      <x v="49"/>
      <x/>
      <x/>
      <x v="54"/>
      <x v="4"/>
      <x/>
      <x/>
      <x v="2"/>
      <x/>
      <x/>
      <x/>
    </i>
    <i r="4">
      <x v="55"/>
      <x/>
      <x/>
      <x v="58"/>
      <x v="4"/>
      <x/>
      <x/>
      <x v="2"/>
      <x/>
      <x/>
      <x/>
    </i>
    <i r="1">
      <x v="43"/>
      <x/>
      <x/>
      <x v="10"/>
      <x/>
      <x/>
      <x v="78"/>
      <x v="4"/>
      <x/>
      <x/>
      <x v="2"/>
      <x/>
      <x/>
      <x/>
    </i>
    <i r="4">
      <x v="11"/>
      <x/>
      <x/>
      <x v="76"/>
      <x v="4"/>
      <x/>
      <x/>
      <x v="2"/>
      <x/>
      <x/>
      <x/>
    </i>
    <i r="5">
      <x v="1"/>
      <x/>
      <x v="75"/>
      <x v="4"/>
      <x/>
      <x/>
      <x v="2"/>
      <x/>
      <x/>
      <x/>
    </i>
    <i r="4">
      <x v="12"/>
      <x/>
      <x/>
      <x v="77"/>
      <x v="4"/>
      <x/>
      <x/>
      <x v="2"/>
      <x/>
      <x/>
      <x/>
    </i>
    <i r="4">
      <x v="13"/>
      <x/>
      <x/>
      <x v="82"/>
      <x v="61"/>
      <x/>
      <x/>
      <x v="44"/>
      <x v="1"/>
      <x/>
      <x v="228"/>
    </i>
    <i r="5">
      <x v="1"/>
      <x/>
      <x v="81"/>
      <x v="4"/>
      <x/>
      <x/>
      <x v="2"/>
      <x/>
      <x/>
      <x/>
    </i>
    <i r="5">
      <x v="2"/>
      <x/>
      <x v="85"/>
      <x v="61"/>
      <x/>
      <x/>
      <x v="43"/>
      <x v="1"/>
      <x/>
      <x v="232"/>
    </i>
    <i r="11">
      <x v="44"/>
      <x v="1"/>
      <x/>
      <x v="228"/>
    </i>
    <i r="11">
      <x v="45"/>
      <x v="2"/>
      <x/>
      <x v="233"/>
    </i>
    <i r="12">
      <x v="3"/>
      <x/>
      <x v="229"/>
    </i>
    <i r="12">
      <x v="4"/>
      <x/>
      <x v="230"/>
    </i>
    <i r="12">
      <x v="5"/>
      <x/>
      <x v="231"/>
    </i>
    <i r="4">
      <x v="14"/>
      <x/>
      <x/>
      <x v="83"/>
      <x v="61"/>
      <x/>
      <x/>
      <x v="44"/>
      <x v="1"/>
      <x/>
      <x v="228"/>
    </i>
    <i r="5">
      <x v="1"/>
      <x/>
      <x v="80"/>
      <x v="4"/>
      <x/>
      <x/>
      <x v="2"/>
      <x/>
      <x/>
      <x/>
    </i>
    <i r="4">
      <x v="17"/>
      <x/>
      <x/>
      <x v="87"/>
      <x v="61"/>
      <x/>
      <x/>
      <x v="45"/>
      <x v="1"/>
      <x/>
      <x v="234"/>
    </i>
    <i r="4">
      <x v="23"/>
      <x/>
      <x/>
      <x v="74"/>
      <x v="4"/>
      <x/>
      <x/>
      <x v="2"/>
      <x/>
      <x/>
      <x/>
    </i>
    <i r="4">
      <x v="29"/>
      <x/>
      <x/>
      <x v="79"/>
      <x v="4"/>
      <x/>
      <x/>
      <x v="2"/>
      <x/>
      <x/>
      <x/>
    </i>
    <i r="4">
      <x v="44"/>
      <x v="2"/>
      <x/>
      <x v="86"/>
      <x v="61"/>
      <x/>
      <x/>
      <x v="82"/>
      <x v="1"/>
      <x/>
      <x v="235"/>
    </i>
    <i r="4">
      <x v="49"/>
      <x/>
      <x/>
      <x v="84"/>
      <x v="4"/>
      <x/>
      <x/>
      <x v="2"/>
      <x/>
      <x/>
      <x/>
    </i>
    <i r="4">
      <x v="55"/>
      <x/>
      <x/>
      <x v="88"/>
      <x v="4"/>
      <x/>
      <x/>
      <x v="2"/>
      <x/>
      <x/>
      <x/>
    </i>
    <i r="1">
      <x v="44"/>
      <x/>
      <x/>
      <x v="12"/>
      <x/>
      <x/>
      <x v="173"/>
      <x v="4"/>
      <x/>
      <x/>
      <x v="2"/>
      <x/>
      <x/>
      <x/>
    </i>
    <i r="1">
      <x v="45"/>
      <x/>
      <x/>
      <x v="10"/>
      <x/>
      <x/>
      <x v="206"/>
      <x v="4"/>
      <x/>
      <x/>
      <x v="2"/>
      <x/>
      <x/>
      <x/>
    </i>
    <i r="4">
      <x v="11"/>
      <x/>
      <x/>
      <x v="204"/>
      <x v="4"/>
      <x/>
      <x/>
      <x v="2"/>
      <x/>
      <x/>
      <x/>
    </i>
    <i r="5">
      <x v="1"/>
      <x/>
      <x v="203"/>
      <x v="4"/>
      <x/>
      <x/>
      <x v="2"/>
      <x/>
      <x/>
      <x/>
    </i>
    <i r="4">
      <x v="12"/>
      <x/>
      <x/>
      <x v="205"/>
      <x v="4"/>
      <x/>
      <x/>
      <x v="2"/>
      <x/>
      <x/>
      <x/>
    </i>
    <i r="4">
      <x v="13"/>
      <x/>
      <x/>
      <x v="212"/>
      <x v="4"/>
      <x/>
      <x/>
      <x v="2"/>
      <x/>
      <x/>
      <x/>
    </i>
    <i r="5">
      <x v="1"/>
      <x/>
      <x v="209"/>
      <x v="4"/>
      <x/>
      <x/>
      <x v="2"/>
      <x/>
      <x/>
      <x/>
    </i>
    <i r="5">
      <x v="2"/>
      <x/>
      <x v="210"/>
      <x v="62"/>
      <x/>
      <x/>
      <x v="43"/>
      <x v="1"/>
      <x/>
      <x v="241"/>
    </i>
    <i r="11">
      <x v="44"/>
      <x v="1"/>
      <x/>
      <x v="236"/>
    </i>
    <i r="11">
      <x v="45"/>
      <x v="2"/>
      <x/>
      <x v="237"/>
    </i>
    <i r="12">
      <x v="3"/>
      <x/>
      <x v="238"/>
    </i>
    <i r="12">
      <x v="4"/>
      <x/>
      <x v="239"/>
    </i>
    <i r="12">
      <x v="5"/>
      <x/>
      <x v="240"/>
    </i>
    <i r="4">
      <x v="14"/>
      <x/>
      <x/>
      <x v="213"/>
      <x v="4"/>
      <x/>
      <x/>
      <x v="2"/>
      <x/>
      <x/>
      <x/>
    </i>
    <i r="5">
      <x v="1"/>
      <x/>
      <x v="208"/>
      <x v="4"/>
      <x/>
      <x/>
      <x v="2"/>
      <x/>
      <x/>
      <x/>
    </i>
    <i r="4">
      <x v="17"/>
      <x/>
      <x/>
      <x v="216"/>
      <x v="62"/>
      <x/>
      <x/>
      <x v="45"/>
      <x v="1"/>
      <x/>
      <x v="242"/>
    </i>
    <i r="4">
      <x v="29"/>
      <x/>
      <x/>
      <x v="207"/>
      <x v="62"/>
      <x/>
      <x/>
      <x v="102"/>
      <x v="1"/>
      <x/>
      <x v="243"/>
    </i>
    <i r="4">
      <x v="31"/>
      <x v="2"/>
      <x/>
      <x v="214"/>
      <x v="4"/>
      <x/>
      <x/>
      <x v="2"/>
      <x/>
      <x/>
      <x/>
    </i>
    <i r="4">
      <x v="41"/>
      <x v="2"/>
      <x/>
      <x v="211"/>
      <x v="62"/>
      <x/>
      <x/>
      <x v="82"/>
      <x v="1"/>
      <x/>
      <x v="244"/>
    </i>
    <i r="4">
      <x v="49"/>
      <x/>
      <x/>
      <x v="215"/>
      <x v="4"/>
      <x/>
      <x/>
      <x v="2"/>
      <x/>
      <x/>
      <x/>
    </i>
    <i r="1">
      <x v="46"/>
      <x/>
      <x/>
      <x v="10"/>
      <x/>
      <x/>
      <x v="4"/>
      <x v="13"/>
      <x/>
      <x/>
      <x v="16"/>
      <x v="1"/>
      <x/>
      <x v="245"/>
    </i>
    <i r="4">
      <x v="11"/>
      <x/>
      <x/>
      <x v="2"/>
      <x v="13"/>
      <x/>
      <x/>
      <x v="18"/>
      <x v="2"/>
      <x/>
      <x v="246"/>
    </i>
    <i r="5">
      <x v="1"/>
      <x/>
      <x v="1"/>
      <x v="13"/>
      <x/>
      <x/>
      <x v="18"/>
      <x v="1"/>
      <x/>
      <x v="247"/>
    </i>
    <i r="4">
      <x v="12"/>
      <x/>
      <x/>
      <x v="3"/>
      <x v="13"/>
      <x/>
      <x/>
      <x v="13"/>
      <x v="1"/>
      <x/>
      <x v="248"/>
    </i>
    <i r="4">
      <x v="13"/>
      <x/>
      <x/>
      <x v="10"/>
      <x v="13"/>
      <x/>
      <x/>
      <x v="26"/>
      <x v="1"/>
      <x/>
      <x v="249"/>
    </i>
    <i r="5">
      <x v="1"/>
      <x/>
      <x v="7"/>
      <x v="13"/>
      <x/>
      <x/>
      <x v="26"/>
      <x v="1"/>
      <x/>
      <x v="249"/>
    </i>
    <i r="5">
      <x v="2"/>
      <x/>
      <x v="8"/>
      <x v="13"/>
      <x/>
      <x/>
      <x v="15"/>
      <x v="1"/>
      <x/>
      <x v="251"/>
    </i>
    <i r="11">
      <x v="16"/>
      <x v="1"/>
      <x/>
      <x v="245"/>
    </i>
    <i r="11">
      <x v="18"/>
      <x v="3"/>
      <x/>
      <x v="250"/>
    </i>
    <i r="11">
      <x v="26"/>
      <x v="1"/>
      <x/>
      <x v="249"/>
    </i>
    <i r="4">
      <x v="14"/>
      <x/>
      <x/>
      <x v="11"/>
      <x v="13"/>
      <x/>
      <x/>
      <x v="26"/>
      <x v="1"/>
      <x/>
      <x v="249"/>
    </i>
    <i r="5">
      <x v="1"/>
      <x/>
      <x v="6"/>
      <x v="13"/>
      <x/>
      <x/>
      <x v="26"/>
      <x v="1"/>
      <x/>
      <x v="249"/>
    </i>
    <i r="4">
      <x v="17"/>
      <x/>
      <x/>
      <x v="16"/>
      <x v="13"/>
      <x/>
      <x/>
      <x v="21"/>
      <x v="1"/>
      <x/>
      <x v="252"/>
    </i>
    <i r="4">
      <x v="23"/>
      <x/>
      <x/>
      <x v="35"/>
      <x v="4"/>
      <x/>
      <x/>
      <x v="2"/>
      <x/>
      <x/>
      <x/>
    </i>
    <i r="4">
      <x v="29"/>
      <x/>
      <x/>
      <x v="5"/>
      <x v="4"/>
      <x/>
      <x/>
      <x v="2"/>
      <x/>
      <x/>
      <x/>
    </i>
    <i r="4">
      <x v="31"/>
      <x v="1"/>
      <x/>
      <x v="12"/>
      <x v="4"/>
      <x/>
      <x/>
      <x v="2"/>
      <x/>
      <x/>
      <x/>
    </i>
    <i r="4">
      <x v="44"/>
      <x/>
      <x/>
      <x v="14"/>
      <x v="13"/>
      <x/>
      <x/>
      <x v="1"/>
      <x v="1"/>
      <x/>
      <x v="253"/>
    </i>
    <i r="5">
      <x v="2"/>
      <x/>
      <x v="9"/>
      <x v="13"/>
      <x/>
      <x/>
      <x v="85"/>
      <x v="1"/>
      <x/>
      <x v="254"/>
    </i>
    <i r="4">
      <x v="49"/>
      <x/>
      <x/>
      <x v="15"/>
      <x v="13"/>
      <x/>
      <x/>
      <x v="86"/>
      <x v="1"/>
      <x/>
      <x v="255"/>
    </i>
    <i r="4">
      <x v="55"/>
      <x/>
      <x/>
      <x v="458"/>
      <x v="4"/>
      <x/>
      <x/>
      <x v="2"/>
      <x/>
      <x/>
      <x/>
    </i>
    <i r="4">
      <x v="57"/>
      <x/>
      <x/>
      <x v="13"/>
      <x v="4"/>
      <x/>
      <x/>
      <x v="2"/>
      <x/>
      <x/>
      <x/>
    </i>
    <i r="1">
      <x v="47"/>
      <x/>
      <x/>
      <x v="10"/>
      <x/>
      <x/>
      <x v="137"/>
      <x v="4"/>
      <x/>
      <x/>
      <x v="2"/>
      <x/>
      <x/>
      <x/>
    </i>
    <i r="4">
      <x v="11"/>
      <x/>
      <x/>
      <x v="135"/>
      <x v="4"/>
      <x/>
      <x/>
      <x v="2"/>
      <x/>
      <x/>
      <x/>
    </i>
    <i r="5">
      <x v="1"/>
      <x/>
      <x v="134"/>
      <x v="4"/>
      <x/>
      <x/>
      <x v="2"/>
      <x/>
      <x/>
      <x/>
    </i>
    <i r="4">
      <x v="12"/>
      <x/>
      <x/>
      <x v="136"/>
      <x v="4"/>
      <x/>
      <x/>
      <x v="2"/>
      <x/>
      <x/>
      <x/>
    </i>
    <i r="4">
      <x v="13"/>
      <x/>
      <x/>
      <x v="144"/>
      <x v="63"/>
      <x/>
      <x/>
      <x v="44"/>
      <x v="1"/>
      <x/>
      <x v="256"/>
    </i>
    <i r="5">
      <x v="1"/>
      <x/>
      <x v="140"/>
      <x v="4"/>
      <x/>
      <x/>
      <x v="2"/>
      <x/>
      <x/>
      <x/>
    </i>
    <i r="5">
      <x v="2"/>
      <x/>
      <x v="141"/>
      <x v="63"/>
      <x/>
      <x/>
      <x v="43"/>
      <x v="1"/>
      <x/>
      <x v="261"/>
    </i>
    <i r="11">
      <x v="44"/>
      <x v="1"/>
      <x/>
      <x v="256"/>
    </i>
    <i r="11">
      <x v="45"/>
      <x v="2"/>
      <x/>
      <x v="257"/>
    </i>
    <i r="12">
      <x v="3"/>
      <x/>
      <x v="258"/>
    </i>
    <i r="12">
      <x v="4"/>
      <x/>
      <x v="259"/>
    </i>
    <i r="12">
      <x v="5"/>
      <x/>
      <x v="260"/>
    </i>
    <i r="4">
      <x v="14"/>
      <x/>
      <x/>
      <x v="143"/>
      <x v="4"/>
      <x/>
      <x/>
      <x v="2"/>
      <x/>
      <x/>
      <x/>
    </i>
    <i r="5">
      <x v="1"/>
      <x/>
      <x v="139"/>
      <x v="4"/>
      <x/>
      <x/>
      <x v="2"/>
      <x/>
      <x/>
      <x/>
    </i>
    <i r="4">
      <x v="17"/>
      <x/>
      <x/>
      <x v="145"/>
      <x v="63"/>
      <x/>
      <x/>
      <x v="45"/>
      <x v="1"/>
      <x/>
      <x v="262"/>
    </i>
    <i r="4">
      <x v="29"/>
      <x/>
      <x/>
      <x v="138"/>
      <x v="4"/>
      <x/>
      <x/>
      <x v="2"/>
      <x/>
      <x/>
      <x/>
    </i>
    <i r="4">
      <x v="44"/>
      <x v="2"/>
      <x/>
      <x v="142"/>
      <x v="63"/>
      <x/>
      <x/>
      <x v="82"/>
      <x v="1"/>
      <x/>
      <x v="263"/>
    </i>
    <i r="4">
      <x v="49"/>
      <x/>
      <x/>
      <x v="146"/>
      <x v="63"/>
      <x/>
      <x/>
      <x v="73"/>
      <x v="1"/>
      <x/>
      <x v="264"/>
    </i>
    <i r="1">
      <x v="48"/>
      <x/>
      <x/>
      <x v="3"/>
      <x/>
      <x/>
      <x v="132"/>
      <x v="35"/>
      <x/>
      <x/>
      <x v="4"/>
      <x v="1"/>
      <x/>
      <x v="173"/>
    </i>
    <i r="12">
      <x v="12"/>
      <x/>
      <x v="168"/>
    </i>
    <i r="4">
      <x v="4"/>
      <x/>
      <x/>
      <x v="126"/>
      <x v="35"/>
      <x/>
      <x/>
      <x v="6"/>
      <x v="1"/>
      <x/>
      <x v="21"/>
    </i>
    <i r="11">
      <x v="9"/>
      <x v="1"/>
      <x/>
      <x v="22"/>
    </i>
    <i r="4">
      <x v="5"/>
      <x/>
      <x/>
      <x v="123"/>
      <x v="35"/>
      <x/>
      <x/>
      <x v="7"/>
      <x v="1"/>
      <x/>
      <x v="24"/>
    </i>
    <i r="4">
      <x v="6"/>
      <x/>
      <x/>
      <x v="121"/>
      <x v="35"/>
      <x/>
      <x/>
      <x v="8"/>
      <x v="1"/>
      <x/>
      <x v="23"/>
    </i>
    <i r="4">
      <x v="7"/>
      <x/>
      <x/>
      <x v="133"/>
      <x v="35"/>
      <x/>
      <x/>
      <x v="10"/>
      <x v="1"/>
      <x/>
      <x v="52"/>
    </i>
    <i r="11">
      <x v="11"/>
      <x v="1"/>
      <x/>
      <x v="160"/>
    </i>
    <i r="11">
      <x v="12"/>
      <x v="1"/>
      <x/>
      <x v="9"/>
    </i>
    <i r="4">
      <x v="10"/>
      <x/>
      <x/>
      <x v="119"/>
      <x v="35"/>
      <x/>
      <x/>
      <x v="15"/>
      <x v="1"/>
      <x/>
      <x v="265"/>
    </i>
    <i r="4">
      <x v="11"/>
      <x/>
      <x/>
      <x v="117"/>
      <x v="35"/>
      <x/>
      <x/>
      <x v="18"/>
      <x v="2"/>
      <x/>
      <x v="266"/>
    </i>
    <i r="4">
      <x v="12"/>
      <x/>
      <x/>
      <x v="118"/>
      <x v="35"/>
      <x/>
      <x/>
      <x v="13"/>
      <x v="1"/>
      <x/>
      <x v="267"/>
    </i>
    <i r="4">
      <x v="13"/>
      <x/>
      <x/>
      <x v="128"/>
      <x v="35"/>
      <x/>
      <x/>
      <x v="13"/>
      <x v="1"/>
      <x/>
      <x v="267"/>
    </i>
    <i r="11">
      <x v="15"/>
      <x v="1"/>
      <x/>
      <x v="265"/>
    </i>
    <i r="11">
      <x v="16"/>
      <x v="1"/>
      <x/>
      <x v="271"/>
    </i>
    <i r="11">
      <x v="18"/>
      <x v="1"/>
      <x/>
      <x v="269"/>
    </i>
    <i r="12">
      <x v="3"/>
      <x/>
      <x v="270"/>
    </i>
    <i r="11">
      <x v="26"/>
      <x v="1"/>
      <x/>
      <x v="268"/>
    </i>
    <i r="5">
      <x v="1"/>
      <x/>
      <x v="125"/>
      <x v="35"/>
      <x/>
      <x/>
      <x v="26"/>
      <x v="1"/>
      <x/>
      <x v="268"/>
    </i>
    <i r="4">
      <x v="14"/>
      <x/>
      <x/>
      <x v="127"/>
      <x v="35"/>
      <x/>
      <x/>
      <x v="26"/>
      <x v="1"/>
      <x/>
      <x v="268"/>
    </i>
    <i r="5">
      <x v="1"/>
      <x/>
      <x v="124"/>
      <x v="35"/>
      <x/>
      <x/>
      <x v="26"/>
      <x v="1"/>
      <x/>
      <x v="268"/>
    </i>
    <i r="4">
      <x v="17"/>
      <x/>
      <x/>
      <x v="131"/>
      <x v="35"/>
      <x/>
      <x/>
      <x v="21"/>
      <x v="1"/>
      <x/>
      <x v="272"/>
    </i>
    <i r="4">
      <x v="24"/>
      <x/>
      <x/>
      <x v="120"/>
      <x v="4"/>
      <x/>
      <x/>
      <x v="2"/>
      <x/>
      <x/>
      <x v="1"/>
    </i>
    <i r="4">
      <x v="29"/>
      <x/>
      <x/>
      <x v="122"/>
      <x v="4"/>
      <x/>
      <x/>
      <x v="2"/>
      <x/>
      <x/>
      <x v="1"/>
    </i>
    <i r="4">
      <x v="31"/>
      <x v="1"/>
      <x/>
      <x v="129"/>
      <x v="4"/>
      <x/>
      <x/>
      <x v="2"/>
      <x/>
      <x/>
      <x v="1"/>
    </i>
    <i r="4">
      <x v="49"/>
      <x/>
      <x/>
      <x v="130"/>
      <x v="4"/>
      <x/>
      <x/>
      <x v="2"/>
      <x/>
      <x/>
      <x v="1"/>
    </i>
    <i r="1">
      <x v="49"/>
      <x/>
      <x/>
      <x v="3"/>
      <x/>
      <x/>
      <x v="349"/>
      <x v="41"/>
      <x/>
      <x/>
      <x v="4"/>
      <x v="1"/>
      <x/>
      <x v="173"/>
    </i>
    <i r="12">
      <x v="12"/>
      <x/>
      <x v="168"/>
    </i>
    <i r="4">
      <x v="4"/>
      <x/>
      <x/>
      <x v="338"/>
      <x v="41"/>
      <x/>
      <x/>
      <x v="6"/>
      <x v="1"/>
      <x/>
      <x v="21"/>
    </i>
    <i r="11">
      <x v="9"/>
      <x v="1"/>
      <x/>
      <x v="22"/>
    </i>
    <i r="4">
      <x v="5"/>
      <x/>
      <x/>
      <x v="335"/>
      <x v="41"/>
      <x/>
      <x/>
      <x v="7"/>
      <x v="1"/>
      <x/>
      <x v="24"/>
    </i>
    <i r="4">
      <x v="6"/>
      <x/>
      <x/>
      <x v="333"/>
      <x v="41"/>
      <x/>
      <x/>
      <x v="8"/>
      <x v="1"/>
      <x/>
      <x v="23"/>
    </i>
    <i r="4">
      <x v="7"/>
      <x/>
      <x/>
      <x v="348"/>
      <x v="41"/>
      <x/>
      <x/>
      <x v="5"/>
      <x v="1"/>
      <x/>
      <x v="11"/>
    </i>
    <i r="11">
      <x v="10"/>
      <x v="1"/>
      <x/>
      <x v="52"/>
    </i>
    <i r="11">
      <x v="11"/>
      <x v="1"/>
      <x/>
      <x v="160"/>
    </i>
    <i r="11">
      <x v="12"/>
      <x v="1"/>
      <x/>
      <x v="9"/>
    </i>
    <i r="11">
      <x v="34"/>
      <x v="1"/>
      <x/>
      <x v="162"/>
    </i>
    <i r="4">
      <x v="10"/>
      <x/>
      <x/>
      <x v="330"/>
      <x v="14"/>
      <x/>
      <x/>
      <x v="13"/>
      <x v="1"/>
      <x/>
      <x v="273"/>
    </i>
    <i r="11">
      <x v="15"/>
      <x v="1"/>
      <x/>
      <x v="275"/>
    </i>
    <i r="11">
      <x v="16"/>
      <x v="1"/>
      <x/>
      <x v="276"/>
    </i>
    <i r="11">
      <x v="18"/>
      <x v="3"/>
      <x/>
      <x v="274"/>
    </i>
    <i r="4">
      <x v="11"/>
      <x/>
      <x/>
      <x v="328"/>
      <x v="14"/>
      <x/>
      <x/>
      <x v="18"/>
      <x v="2"/>
      <x/>
      <x v="277"/>
    </i>
    <i r="5">
      <x v="1"/>
      <x/>
      <x v="327"/>
      <x v="14"/>
      <x/>
      <x/>
      <x v="18"/>
      <x v="1"/>
      <x/>
      <x v="278"/>
    </i>
    <i r="4">
      <x v="12"/>
      <x/>
      <x/>
      <x v="329"/>
      <x v="14"/>
      <x/>
      <x/>
      <x v="13"/>
      <x v="1"/>
      <x/>
      <x v="273"/>
    </i>
    <i r="4">
      <x v="13"/>
      <x/>
      <x/>
      <x v="339"/>
      <x v="14"/>
      <x/>
      <x/>
      <x v="26"/>
      <x v="1"/>
      <x/>
      <x v="279"/>
    </i>
    <i r="5">
      <x v="1"/>
      <x/>
      <x v="337"/>
      <x v="14"/>
      <x/>
      <x/>
      <x v="26"/>
      <x v="1"/>
      <x/>
      <x v="279"/>
    </i>
    <i r="4">
      <x v="14"/>
      <x/>
      <x/>
      <x v="340"/>
      <x v="14"/>
      <x/>
      <x/>
      <x v="26"/>
      <x v="1"/>
      <x/>
      <x v="279"/>
    </i>
    <i r="5">
      <x v="1"/>
      <x/>
      <x v="336"/>
      <x v="14"/>
      <x/>
      <x/>
      <x v="26"/>
      <x v="1"/>
      <x/>
      <x v="279"/>
    </i>
    <i r="4">
      <x v="17"/>
      <x/>
      <x/>
      <x v="347"/>
      <x v="14"/>
      <x/>
      <x/>
      <x v="21"/>
      <x v="1"/>
      <x/>
      <x v="280"/>
    </i>
    <i r="4">
      <x v="23"/>
      <x/>
      <x/>
      <x v="331"/>
      <x v="4"/>
      <x/>
      <x/>
      <x v="2"/>
      <x/>
      <x/>
      <x v="1"/>
    </i>
    <i r="4">
      <x v="24"/>
      <x/>
      <x/>
      <x v="332"/>
      <x v="4"/>
      <x/>
      <x/>
      <x v="2"/>
      <x/>
      <x/>
      <x v="1"/>
    </i>
    <i r="4">
      <x v="29"/>
      <x/>
      <x/>
      <x v="334"/>
      <x v="4"/>
      <x/>
      <x/>
      <x v="2"/>
      <x/>
      <x/>
      <x v="1"/>
    </i>
    <i r="4">
      <x v="31"/>
      <x v="1"/>
      <x/>
      <x v="341"/>
      <x v="4"/>
      <x/>
      <x/>
      <x v="2"/>
      <x/>
      <x/>
      <x v="1"/>
    </i>
    <i r="5">
      <x v="2"/>
      <x/>
      <x v="342"/>
      <x v="4"/>
      <x/>
      <x/>
      <x v="2"/>
      <x/>
      <x/>
      <x v="1"/>
    </i>
    <i r="4">
      <x v="44"/>
      <x/>
      <x/>
      <x v="344"/>
      <x v="14"/>
      <x/>
      <x/>
      <x v="85"/>
      <x v="1"/>
      <x/>
      <x v="281"/>
    </i>
    <i r="5">
      <x v="1"/>
      <x/>
      <x v="343"/>
      <x v="14"/>
      <x/>
      <x/>
      <x v="1"/>
      <x v="1"/>
      <x/>
      <x v="28"/>
    </i>
    <i r="8">
      <x v="42"/>
      <x/>
      <x/>
      <x v="1"/>
      <x v="1"/>
      <x/>
      <x v="97"/>
    </i>
    <i r="4">
      <x v="49"/>
      <x/>
      <x/>
      <x v="345"/>
      <x v="14"/>
      <x/>
      <x/>
      <x v="85"/>
      <x v="1"/>
      <x/>
      <x v="281"/>
    </i>
    <i r="4">
      <x v="55"/>
      <x/>
      <x/>
      <x v="346"/>
      <x v="4"/>
      <x/>
      <x/>
      <x v="2"/>
      <x/>
      <x/>
      <x v="1"/>
    </i>
    <i r="1">
      <x v="50"/>
      <x/>
      <x/>
      <x v="10"/>
      <x/>
      <x/>
      <x v="430"/>
      <x v="15"/>
      <x/>
      <x/>
      <x v="16"/>
      <x v="1"/>
      <x/>
      <x v="282"/>
    </i>
    <i r="4">
      <x v="11"/>
      <x/>
      <x/>
      <x v="428"/>
      <x v="15"/>
      <x/>
      <x/>
      <x v="18"/>
      <x v="2"/>
      <x/>
      <x v="284"/>
    </i>
    <i r="5">
      <x v="1"/>
      <x/>
      <x v="427"/>
      <x v="15"/>
      <x/>
      <x/>
      <x v="18"/>
      <x v="1"/>
      <x/>
      <x v="285"/>
    </i>
    <i r="4">
      <x v="12"/>
      <x/>
      <x/>
      <x v="429"/>
      <x v="15"/>
      <x/>
      <x/>
      <x v="13"/>
      <x v="1"/>
      <x/>
      <x v="286"/>
    </i>
    <i r="11">
      <x v="15"/>
      <x v="1"/>
      <x/>
      <x v="287"/>
    </i>
    <i r="11">
      <x v="16"/>
      <x v="1"/>
      <x/>
      <x v="282"/>
    </i>
    <i r="4">
      <x v="13"/>
      <x/>
      <x/>
      <x v="437"/>
      <x v="15"/>
      <x/>
      <x/>
      <x v="26"/>
      <x v="1"/>
      <x/>
      <x v="288"/>
    </i>
    <i r="5">
      <x v="1"/>
      <x/>
      <x v="435"/>
      <x v="15"/>
      <x/>
      <x/>
      <x v="26"/>
      <x v="1"/>
      <x/>
      <x v="288"/>
    </i>
    <i r="4">
      <x v="14"/>
      <x/>
      <x/>
      <x v="438"/>
      <x v="15"/>
      <x/>
      <x/>
      <x v="26"/>
      <x v="1"/>
      <x/>
      <x v="288"/>
    </i>
    <i r="5">
      <x v="1"/>
      <x/>
      <x v="436"/>
      <x v="15"/>
      <x/>
      <x/>
      <x v="26"/>
      <x v="1"/>
      <x/>
      <x v="288"/>
    </i>
    <i r="4">
      <x v="17"/>
      <x/>
      <x/>
      <x v="433"/>
      <x v="15"/>
      <x/>
      <x/>
      <x/>
      <x v="3"/>
      <x/>
      <x v="289"/>
    </i>
    <i r="11">
      <x v="21"/>
      <x v="1"/>
      <x/>
      <x v="290"/>
    </i>
    <i r="4">
      <x v="23"/>
      <x/>
      <x/>
      <x v="431"/>
      <x v="4"/>
      <x/>
      <x/>
      <x v="2"/>
      <x/>
      <x/>
      <x v="1"/>
    </i>
    <i r="4">
      <x v="24"/>
      <x/>
      <x/>
      <x v="432"/>
      <x v="4"/>
      <x/>
      <x/>
      <x v="2"/>
      <x/>
      <x/>
      <x v="1"/>
    </i>
    <i r="4">
      <x v="29"/>
      <x/>
      <x/>
      <x v="434"/>
      <x v="4"/>
      <x/>
      <x/>
      <x v="2"/>
      <x/>
      <x/>
      <x v="1"/>
    </i>
    <i r="4">
      <x v="31"/>
      <x v="1"/>
      <x/>
      <x v="439"/>
      <x v="4"/>
      <x/>
      <x/>
      <x v="2"/>
      <x/>
      <x/>
      <x v="1"/>
    </i>
    <i r="4">
      <x v="44"/>
      <x/>
      <x/>
      <x v="440"/>
      <x v="15"/>
      <x/>
      <x/>
      <x v="85"/>
      <x v="1"/>
      <x/>
      <x v="291"/>
    </i>
    <i r="11">
      <x v="86"/>
      <x v="1"/>
      <x/>
      <x v="100"/>
    </i>
    <i r="4">
      <x v="49"/>
      <x/>
      <x/>
      <x v="441"/>
      <x v="15"/>
      <x/>
      <x/>
      <x v="86"/>
      <x v="2"/>
      <x/>
      <x v="292"/>
    </i>
    <i r="4">
      <x v="55"/>
      <x/>
      <x/>
      <x v="442"/>
      <x v="4"/>
      <x/>
      <x/>
      <x v="2"/>
      <x/>
      <x/>
      <x v="1"/>
    </i>
    <i r="1">
      <x v="51"/>
      <x/>
      <x/>
      <x v="10"/>
      <x/>
      <x/>
      <x v="587"/>
      <x v="64"/>
      <x/>
      <x/>
      <x v="45"/>
      <x v="7"/>
      <x/>
      <x v="293"/>
    </i>
    <i r="4">
      <x v="11"/>
      <x/>
      <x/>
      <x v="585"/>
      <x v="4"/>
      <x/>
      <x/>
      <x v="2"/>
      <x/>
      <x/>
      <x v="1"/>
    </i>
    <i r="4">
      <x v="12"/>
      <x/>
      <x/>
      <x v="586"/>
      <x v="4"/>
      <x/>
      <x/>
      <x v="2"/>
      <x/>
      <x/>
      <x v="1"/>
    </i>
    <i r="4">
      <x v="13"/>
      <x/>
      <x/>
      <x v="580"/>
      <x v="64"/>
      <x/>
      <x/>
      <x v="44"/>
      <x v="1"/>
      <x/>
      <x v="294"/>
    </i>
    <i r="5">
      <x v="1"/>
      <x/>
      <x v="577"/>
      <x v="64"/>
      <x/>
      <x/>
      <x v="44"/>
      <x v="1"/>
      <x/>
      <x v="294"/>
    </i>
    <i r="5">
      <x v="2"/>
      <x/>
      <x v="588"/>
      <x v="64"/>
      <x/>
      <x/>
      <x v="43"/>
      <x v="1"/>
      <x/>
      <x v="300"/>
    </i>
    <i r="11">
      <x v="44"/>
      <x v="1"/>
      <x/>
      <x v="294"/>
    </i>
    <i r="11">
      <x v="45"/>
      <x v="1"/>
      <x/>
      <x v="295"/>
    </i>
    <i r="12">
      <x v="2"/>
      <x/>
      <x v="296"/>
    </i>
    <i r="12">
      <x v="3"/>
      <x/>
      <x v="297"/>
    </i>
    <i r="12">
      <x v="4"/>
      <x/>
      <x v="298"/>
    </i>
    <i r="12">
      <x v="5"/>
      <x/>
      <x v="299"/>
    </i>
    <i r="4">
      <x v="14"/>
      <x/>
      <x/>
      <x v="581"/>
      <x v="4"/>
      <x/>
      <x/>
      <x v="2"/>
      <x/>
      <x/>
      <x v="1"/>
    </i>
    <i r="5">
      <x v="1"/>
      <x/>
      <x v="578"/>
      <x v="4"/>
      <x/>
      <x/>
      <x v="2"/>
      <x/>
      <x/>
      <x v="1"/>
    </i>
    <i r="4">
      <x v="17"/>
      <x/>
      <x/>
      <x v="584"/>
      <x v="4"/>
      <x/>
      <x/>
      <x v="2"/>
      <x/>
      <x/>
      <x v="1"/>
    </i>
    <i r="4">
      <x v="22"/>
      <x/>
      <x/>
      <x v="575"/>
      <x v="4"/>
      <x/>
      <x/>
      <x v="2"/>
      <x/>
      <x/>
      <x v="1"/>
    </i>
    <i r="4">
      <x v="23"/>
      <x/>
      <x/>
      <x v="589"/>
      <x v="4"/>
      <x/>
      <x/>
      <x v="2"/>
      <x/>
      <x/>
      <x v="1"/>
    </i>
    <i r="4">
      <x v="29"/>
      <x/>
      <x/>
      <x v="576"/>
      <x v="4"/>
      <x/>
      <x/>
      <x v="2"/>
      <x/>
      <x/>
      <x v="1"/>
    </i>
    <i r="4">
      <x v="44"/>
      <x/>
      <x/>
      <x v="582"/>
      <x v="4"/>
      <x/>
      <x/>
      <x v="2"/>
      <x/>
      <x/>
      <x v="1"/>
    </i>
    <i r="5">
      <x v="2"/>
      <x/>
      <x v="579"/>
      <x v="64"/>
      <x/>
      <x/>
      <x v="82"/>
      <x v="1"/>
      <x/>
      <x v="301"/>
    </i>
    <i r="4">
      <x v="49"/>
      <x/>
      <x/>
      <x v="583"/>
      <x v="4"/>
      <x/>
      <x/>
      <x v="2"/>
      <x/>
      <x/>
      <x v="1"/>
    </i>
    <i r="4">
      <x v="55"/>
      <x/>
      <x/>
      <x v="590"/>
      <x v="4"/>
      <x/>
      <x/>
      <x v="2"/>
      <x/>
      <x/>
      <x v="1"/>
    </i>
    <i r="1">
      <x v="52"/>
      <x/>
      <x/>
      <x v="10"/>
      <x v="1"/>
      <x/>
      <x v="159"/>
      <x v="16"/>
      <x/>
      <x/>
      <x v="16"/>
      <x v="1"/>
      <x/>
      <x v="302"/>
    </i>
    <i r="5">
      <x v="2"/>
      <x/>
      <x v="158"/>
      <x v="4"/>
      <x/>
      <x/>
      <x v="2"/>
      <x/>
      <x/>
      <x v="1"/>
    </i>
    <i r="5">
      <x v="3"/>
      <x/>
      <x v="160"/>
      <x v="4"/>
      <x/>
      <x/>
      <x v="2"/>
      <x/>
      <x/>
      <x v="1"/>
    </i>
    <i r="4">
      <x v="11"/>
      <x v="1"/>
      <x/>
      <x v="154"/>
      <x v="16"/>
      <x/>
      <x/>
      <x v="18"/>
      <x v="1"/>
      <x/>
      <x v="303"/>
    </i>
    <i r="12">
      <x v="2"/>
      <x/>
      <x v="304"/>
    </i>
    <i r="4">
      <x v="12"/>
      <x v="1"/>
      <x/>
      <x v="156"/>
      <x v="16"/>
      <x/>
      <x/>
      <x v="13"/>
      <x v="1"/>
      <x/>
      <x v="305"/>
    </i>
    <i r="5">
      <x v="2"/>
      <x/>
      <x v="155"/>
      <x v="4"/>
      <x/>
      <x/>
      <x v="2"/>
      <x/>
      <x/>
      <x v="1"/>
    </i>
    <i r="5">
      <x v="3"/>
      <x/>
      <x v="157"/>
      <x v="4"/>
      <x/>
      <x/>
      <x v="2"/>
      <x/>
      <x/>
      <x v="1"/>
    </i>
    <i r="4">
      <x v="13"/>
      <x v="1"/>
      <x/>
      <x v="153"/>
      <x v="16"/>
      <x/>
      <x/>
      <x v="13"/>
      <x v="1"/>
      <x/>
      <x v="305"/>
    </i>
    <i r="11">
      <x v="15"/>
      <x v="1"/>
      <x/>
      <x v="308"/>
    </i>
    <i r="11">
      <x v="18"/>
      <x v="3"/>
      <x/>
      <x v="307"/>
    </i>
    <i r="11">
      <x v="26"/>
      <x v="1"/>
      <x/>
      <x v="306"/>
    </i>
    <i r="5">
      <x v="2"/>
      <x/>
      <x v="165"/>
      <x v="4"/>
      <x/>
      <x/>
      <x v="2"/>
      <x/>
      <x/>
      <x v="1"/>
    </i>
    <i r="5">
      <x v="3"/>
      <x/>
      <x v="167"/>
      <x v="4"/>
      <x/>
      <x/>
      <x v="2"/>
      <x/>
      <x/>
      <x v="1"/>
    </i>
    <i r="5">
      <x v="4"/>
      <x/>
      <x v="166"/>
      <x v="65"/>
      <x/>
      <x/>
      <x v="43"/>
      <x v="1"/>
      <x/>
      <x v="315"/>
    </i>
    <i r="11">
      <x v="44"/>
      <x v="1"/>
      <x/>
      <x v="309"/>
    </i>
    <i r="11">
      <x v="45"/>
      <x v="1"/>
      <x/>
      <x v="310"/>
    </i>
    <i r="12">
      <x v="2"/>
      <x/>
      <x v="311"/>
    </i>
    <i r="12">
      <x v="3"/>
      <x/>
      <x v="312"/>
    </i>
    <i r="12">
      <x v="4"/>
      <x/>
      <x v="313"/>
    </i>
    <i r="12">
      <x v="5"/>
      <x/>
      <x v="314"/>
    </i>
    <i r="4">
      <x v="14"/>
      <x/>
      <x/>
      <x v="164"/>
      <x v="16"/>
      <x/>
      <x/>
      <x v="26"/>
      <x v="1"/>
      <x/>
      <x v="306"/>
    </i>
    <i r="5">
      <x v="1"/>
      <x/>
      <x v="152"/>
      <x v="16"/>
      <x/>
      <x/>
      <x v="26"/>
      <x v="1"/>
      <x/>
      <x v="306"/>
    </i>
    <i r="5">
      <x v="2"/>
      <x/>
      <x v="168"/>
      <x v="4"/>
      <x/>
      <x/>
      <x v="2"/>
      <x/>
      <x/>
      <x v="1"/>
    </i>
    <i r="5">
      <x v="3"/>
      <x/>
      <x v="169"/>
      <x v="4"/>
      <x/>
      <x/>
      <x v="2"/>
      <x/>
      <x/>
      <x v="1"/>
    </i>
    <i r="4">
      <x v="17"/>
      <x/>
      <x/>
      <x v="151"/>
      <x v="16"/>
      <x/>
      <x/>
      <x v="21"/>
      <x v="1"/>
      <x/>
      <x v="316"/>
    </i>
    <i r="4">
      <x v="23"/>
      <x/>
      <x/>
      <x v="161"/>
      <x v="19"/>
      <x/>
      <x/>
      <x v="37"/>
      <x v="8"/>
      <x/>
      <x v="5"/>
    </i>
    <i r="4">
      <x v="29"/>
      <x/>
      <x/>
      <x v="163"/>
      <x v="4"/>
      <x/>
      <x/>
      <x v="2"/>
      <x/>
      <x/>
      <x v="1"/>
    </i>
    <i r="4">
      <x v="41"/>
      <x/>
      <x/>
      <x v="170"/>
      <x v="16"/>
      <x/>
      <x/>
      <x v="91"/>
      <x v="1"/>
      <x/>
      <x v="31"/>
    </i>
    <i r="4">
      <x v="44"/>
      <x/>
      <x/>
      <x v="162"/>
      <x v="65"/>
      <x/>
      <x/>
      <x v="82"/>
      <x v="1"/>
      <x/>
      <x v="317"/>
    </i>
    <i r="4">
      <x v="49"/>
      <x/>
      <x/>
      <x v="150"/>
      <x v="4"/>
      <x/>
      <x/>
      <x v="2"/>
      <x/>
      <x/>
      <x v="1"/>
    </i>
    <i r="1">
      <x v="53"/>
      <x/>
      <x/>
      <x v="11"/>
      <x/>
      <x/>
      <x v="323"/>
      <x v="4"/>
      <x/>
      <x/>
      <x v="2"/>
      <x/>
      <x/>
      <x v="1"/>
    </i>
    <i r="4">
      <x v="13"/>
      <x/>
      <x/>
      <x v="324"/>
      <x v="3"/>
      <x/>
      <x/>
      <x v="44"/>
      <x v="1"/>
      <x/>
      <x v="318"/>
    </i>
    <i r="4">
      <x v="17"/>
      <x/>
      <x/>
      <x v="321"/>
      <x v="4"/>
      <x/>
      <x/>
      <x v="2"/>
      <x/>
      <x/>
      <x v="1"/>
    </i>
    <i r="4">
      <x v="23"/>
      <x/>
      <x/>
      <x v="320"/>
      <x v="4"/>
      <x/>
      <x/>
      <x v="2"/>
      <x/>
      <x/>
      <x v="1"/>
    </i>
    <i r="4">
      <x v="29"/>
      <x/>
      <x/>
      <x v="322"/>
      <x v="4"/>
      <x/>
      <x/>
      <x v="2"/>
      <x/>
      <x/>
      <x v="1"/>
    </i>
    <i r="4">
      <x v="41"/>
      <x/>
      <x/>
      <x v="326"/>
      <x v="4"/>
      <x/>
      <x/>
      <x v="2"/>
      <x/>
      <x/>
      <x v="1"/>
    </i>
    <i r="4">
      <x v="42"/>
      <x/>
      <x/>
      <x v="325"/>
      <x v="4"/>
      <x/>
      <x/>
      <x v="2"/>
      <x/>
      <x/>
      <x v="1"/>
    </i>
    <i r="4">
      <x v="55"/>
      <x/>
      <x/>
      <x v="319"/>
      <x v="4"/>
      <x/>
      <x/>
      <x v="2"/>
      <x/>
      <x/>
      <x v="1"/>
    </i>
    <i r="1">
      <x v="54"/>
      <x/>
      <x/>
      <x v="11"/>
      <x/>
      <x/>
      <x v="281"/>
      <x v="66"/>
      <x/>
      <x/>
      <x v="45"/>
      <x v="3"/>
      <x/>
      <x v="319"/>
    </i>
    <i r="5">
      <x v="2"/>
      <x/>
      <x v="246"/>
      <x v="66"/>
      <x/>
      <x/>
      <x v="45"/>
      <x v="3"/>
      <x/>
      <x v="319"/>
    </i>
    <i r="4">
      <x v="13"/>
      <x/>
      <x/>
      <x v="283"/>
      <x v="66"/>
      <x/>
      <x/>
      <x v="44"/>
      <x v="1"/>
      <x/>
      <x v="320"/>
    </i>
    <i r="5">
      <x v="2"/>
      <x/>
      <x v="280"/>
      <x v="66"/>
      <x/>
      <x/>
      <x v="43"/>
      <x v="1"/>
      <x/>
      <x v="324"/>
    </i>
    <i r="11">
      <x v="44"/>
      <x v="1"/>
      <x/>
      <x v="320"/>
    </i>
    <i r="11">
      <x v="45"/>
      <x v="2"/>
      <x/>
      <x v="321"/>
    </i>
    <i r="12">
      <x v="4"/>
      <x/>
      <x v="322"/>
    </i>
    <i r="12">
      <x v="5"/>
      <x/>
      <x v="323"/>
    </i>
    <i r="4">
      <x v="14"/>
      <x/>
      <x/>
      <x v="285"/>
      <x v="66"/>
      <x/>
      <x/>
      <x v="44"/>
      <x v="1"/>
      <x/>
      <x v="320"/>
    </i>
    <i r="4">
      <x v="17"/>
      <x/>
      <x/>
      <x v="278"/>
      <x v="66"/>
      <x/>
      <x/>
      <x v="45"/>
      <x v="1"/>
      <x/>
      <x v="325"/>
    </i>
    <i r="4">
      <x v="22"/>
      <x/>
      <x/>
      <x v="31"/>
      <x v="66"/>
      <x/>
      <x/>
      <x v="100"/>
      <x v="8"/>
      <x/>
      <x v="326"/>
    </i>
    <i r="4">
      <x v="29"/>
      <x/>
      <x/>
      <x v="279"/>
      <x v="4"/>
      <x/>
      <x/>
      <x v="101"/>
      <x/>
      <x/>
      <x v="1"/>
    </i>
    <i r="4">
      <x v="41"/>
      <x/>
      <x/>
      <x v="284"/>
      <x v="4"/>
      <x/>
      <x/>
      <x v="2"/>
      <x/>
      <x/>
      <x v="1"/>
    </i>
    <i r="4">
      <x v="44"/>
      <x v="2"/>
      <x/>
      <x v="282"/>
      <x v="66"/>
      <x/>
      <x/>
      <x v="82"/>
      <x v="1"/>
      <x/>
      <x v="327"/>
    </i>
    <i r="4">
      <x v="55"/>
      <x/>
      <x/>
      <x v="466"/>
      <x v="68"/>
      <x/>
      <x/>
      <x v="96"/>
      <x v="1"/>
      <x/>
      <x v="145"/>
    </i>
  </rowItems>
  <colFields count="1">
    <field x="-2"/>
  </colFields>
  <colItems count="3">
    <i>
      <x/>
    </i>
    <i i="1">
      <x v="1"/>
    </i>
    <i i="2">
      <x v="2"/>
    </i>
  </colItems>
  <dataFields count="3">
    <dataField name="2025" fld="19" baseField="39" baseItem="323"/>
    <dataField name="2026" fld="13" baseField="39" baseItem="1"/>
    <dataField name="2027" fld="20" baseField="39" baseItem="1"/>
  </dataFields>
  <formats count="10841">
    <format dxfId="10848">
      <pivotArea outline="0" collapsedLevelsAreSubtotals="1" fieldPosition="0"/>
    </format>
    <format dxfId="10847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0846">
      <pivotArea field="27" type="button" dataOnly="0" labelOnly="1" outline="0" axis="axisRow" fieldPosition="2"/>
    </format>
    <format dxfId="10845">
      <pivotArea field="28" type="button" dataOnly="0" labelOnly="1" outline="0" axis="axisRow" fieldPosition="3"/>
    </format>
    <format dxfId="10844">
      <pivotArea dataOnly="0" labelOnly="1" outline="0" fieldPosition="0">
        <references count="3">
          <reference field="25" count="0" selected="0"/>
          <reference field="26" count="1" selected="0">
            <x v="0"/>
          </reference>
          <reference field="27" count="0"/>
        </references>
      </pivotArea>
    </format>
    <format dxfId="10843">
      <pivotArea dataOnly="0" labelOnly="1" outline="0" fieldPosition="0">
        <references count="4">
          <reference field="25" count="0" selected="0"/>
          <reference field="26" count="1" selected="0">
            <x v="0"/>
          </reference>
          <reference field="27" count="0" selected="0"/>
          <reference field="28" count="0"/>
        </references>
      </pivotArea>
    </format>
    <format dxfId="10842">
      <pivotArea field="25" type="button" dataOnly="0" labelOnly="1" outline="0" axis="axisRow" fieldPosition="0"/>
    </format>
    <format dxfId="10841">
      <pivotArea dataOnly="0" labelOnly="1" outline="0" fieldPosition="0">
        <references count="1">
          <reference field="25" count="0"/>
        </references>
      </pivotArea>
    </format>
    <format dxfId="10840">
      <pivotArea field="31" type="button" dataOnly="0" labelOnly="1" outline="0" axis="axisRow" fieldPosition="6"/>
    </format>
    <format dxfId="10839">
      <pivotArea dataOnly="0" labelOnly="1" outline="0" fieldPosition="0">
        <references count="7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/>
        </references>
      </pivotArea>
    </format>
    <format dxfId="10838">
      <pivotArea field="34" type="button" dataOnly="0" labelOnly="1" outline="0" axis="axisRow" fieldPosition="9"/>
    </format>
    <format dxfId="10837">
      <pivotArea field="35" type="button" dataOnly="0" labelOnly="1" outline="0" axis="axisRow" fieldPosition="10"/>
    </format>
    <format dxfId="10836">
      <pivotArea dataOnly="0" labelOnly="1" outline="0" fieldPosition="0">
        <references count="10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/>
        </references>
      </pivotArea>
    </format>
    <format dxfId="10835">
      <pivotArea dataOnly="0" labelOnly="1" outline="0" fieldPosition="0">
        <references count="11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/>
        </references>
      </pivotArea>
    </format>
    <format dxfId="10834">
      <pivotArea field="38" type="button" dataOnly="0" labelOnly="1" outline="0" axis="axisRow" fieldPosition="13"/>
    </format>
    <format dxfId="10833">
      <pivotArea dataOnly="0" labelOnly="1" outline="0" fieldPosition="0">
        <references count="14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 selected="0">
            <x v="0"/>
          </reference>
          <reference field="38" count="0"/>
        </references>
      </pivotArea>
    </format>
    <format dxfId="10832">
      <pivotArea field="38" type="button" dataOnly="0" labelOnly="1" outline="0" axis="axisRow" fieldPosition="13"/>
    </format>
    <format dxfId="10831">
      <pivotArea dataOnly="0" labelOnly="1" outline="0" fieldPosition="0">
        <references count="14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 selected="0">
            <x v="0"/>
          </reference>
          <reference field="38" count="0"/>
        </references>
      </pivotArea>
    </format>
    <format dxfId="10830">
      <pivotArea field="34" type="button" dataOnly="0" labelOnly="1" outline="0" axis="axisRow" fieldPosition="9"/>
    </format>
    <format dxfId="10829">
      <pivotArea field="35" type="button" dataOnly="0" labelOnly="1" outline="0" axis="axisRow" fieldPosition="10"/>
    </format>
    <format dxfId="10828">
      <pivotArea dataOnly="0" labelOnly="1" outline="0" fieldPosition="0">
        <references count="10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/>
        </references>
      </pivotArea>
    </format>
    <format dxfId="10827">
      <pivotArea dataOnly="0" labelOnly="1" outline="0" fieldPosition="0">
        <references count="11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/>
        </references>
      </pivotArea>
    </format>
    <format dxfId="10826">
      <pivotArea field="31" type="button" dataOnly="0" labelOnly="1" outline="0" axis="axisRow" fieldPosition="6"/>
    </format>
    <format dxfId="10825">
      <pivotArea dataOnly="0" labelOnly="1" outline="0" fieldPosition="0">
        <references count="7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/>
        </references>
      </pivotArea>
    </format>
    <format dxfId="10824">
      <pivotArea field="27" type="button" dataOnly="0" labelOnly="1" outline="0" axis="axisRow" fieldPosition="2"/>
    </format>
    <format dxfId="10823">
      <pivotArea field="28" type="button" dataOnly="0" labelOnly="1" outline="0" axis="axisRow" fieldPosition="3"/>
    </format>
    <format dxfId="10822">
      <pivotArea dataOnly="0" labelOnly="1" outline="0" fieldPosition="0">
        <references count="3">
          <reference field="25" count="0" selected="0"/>
          <reference field="26" count="1" selected="0">
            <x v="0"/>
          </reference>
          <reference field="27" count="0"/>
        </references>
      </pivotArea>
    </format>
    <format dxfId="10821">
      <pivotArea dataOnly="0" labelOnly="1" outline="0" fieldPosition="0">
        <references count="4">
          <reference field="25" count="0" selected="0"/>
          <reference field="26" count="1" selected="0">
            <x v="0"/>
          </reference>
          <reference field="27" count="0" selected="0"/>
          <reference field="28" count="0"/>
        </references>
      </pivotArea>
    </format>
    <format dxfId="10820">
      <pivotArea field="25" type="button" dataOnly="0" labelOnly="1" outline="0" axis="axisRow" fieldPosition="0"/>
    </format>
    <format dxfId="10819">
      <pivotArea dataOnly="0" labelOnly="1" outline="0" fieldPosition="0">
        <references count="1">
          <reference field="25" count="0"/>
        </references>
      </pivotArea>
    </format>
    <format dxfId="1081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7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4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1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10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9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8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4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3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2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0801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80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73"/>
            <x v="91"/>
          </reference>
        </references>
      </pivotArea>
    </format>
    <format dxfId="107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079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1"/>
          </reference>
          <reference field="31" count="0" selected="0"/>
          <reference field="32" count="1" selected="0">
            <x v="3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44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44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8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9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4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2"/>
          </reference>
          <reference field="31" count="0" selected="0"/>
          <reference field="32" count="1" selected="0">
            <x v="4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1"/>
          </reference>
          <reference field="31" count="0" selected="0"/>
          <reference field="32" count="1" selected="0">
            <x v="6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2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5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4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3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2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42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81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078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42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9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61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077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7"/>
          </reference>
          <reference field="31" count="0" selected="0"/>
          <reference field="32" count="1" selected="0">
            <x v="5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5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8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9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9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7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9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6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3"/>
          </reference>
          <reference field="31" count="0" selected="0"/>
          <reference field="32" count="1" selected="0">
            <x v="35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3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3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60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9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3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22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2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3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1"/>
          </reference>
          <reference field="31" count="0" selected="0"/>
          <reference field="32" count="1" selected="0">
            <x v="2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3"/>
          </reference>
          <reference field="31" count="0" selected="0"/>
          <reference field="32" count="1" selected="0">
            <x v="2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2">
      <pivotArea dataOnly="0" labelOnly="1" outline="0" fieldPosition="0">
        <references count="12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9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1">
      <pivotArea dataOnly="0" labelOnly="1" outline="0" fieldPosition="0">
        <references count="12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50">
      <pivotArea dataOnly="0" labelOnly="1" outline="0" fieldPosition="0">
        <references count="12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0749">
      <pivotArea dataOnly="0" labelOnly="1" outline="0" fieldPosition="0">
        <references count="12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2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48">
      <pivotArea dataOnly="0" labelOnly="1" outline="0" fieldPosition="0">
        <references count="12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0747">
      <pivotArea dataOnly="0" labelOnly="1" outline="0" fieldPosition="0">
        <references count="12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46">
      <pivotArea dataOnly="0" labelOnly="1" outline="0" fieldPosition="0">
        <references count="12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0745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44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5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43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4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4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1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40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9">
      <pivotArea dataOnly="0" labelOnly="1" outline="0" fieldPosition="0">
        <references count="12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0738">
      <pivotArea dataOnly="0" labelOnly="1" outline="0" fieldPosition="0">
        <references count="12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0"/>
          </reference>
          <reference field="31" count="0" selected="0"/>
          <reference field="32" count="1" selected="0">
            <x v="5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5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0"/>
          </reference>
          <reference field="31" count="0" selected="0"/>
          <reference field="32" count="1" selected="0">
            <x v="5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3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073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11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072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2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5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8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4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1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3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0712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1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21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1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8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4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7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4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070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1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70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4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9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7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2"/>
          </reference>
          <reference field="31" count="0" selected="0"/>
          <reference field="32" count="1" selected="0">
            <x v="1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2"/>
          </reference>
          <reference field="31" count="0" selected="0"/>
          <reference field="32" count="1" selected="0">
            <x v="1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4">
            <x v="13"/>
            <x v="15"/>
            <x v="18"/>
            <x v="26"/>
          </reference>
        </references>
      </pivotArea>
    </format>
    <format dxfId="1069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6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2"/>
          </reference>
          <reference field="31" count="0" selected="0"/>
          <reference field="32" count="1" selected="0">
            <x v="1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9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89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8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>
            <x v="2"/>
          </reference>
        </references>
      </pivotArea>
    </format>
    <format dxfId="1068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86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7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85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0684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4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83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0682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8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>
            <x v="1"/>
          </reference>
        </references>
      </pivotArea>
    </format>
    <format dxfId="1068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1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7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7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7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>
            <x v="1"/>
          </reference>
        </references>
      </pivotArea>
    </format>
    <format dxfId="1067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75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>
            <x v="1"/>
          </reference>
        </references>
      </pivotArea>
    </format>
    <format dxfId="10674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73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0672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71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>
            <x v="1"/>
          </reference>
        </references>
      </pivotArea>
    </format>
    <format dxfId="10670">
      <pivotArea dataOnly="0" labelOnly="1" outline="0" fieldPosition="0">
        <references count="13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6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"/>
          </reference>
        </references>
      </pivotArea>
    </format>
    <format dxfId="1066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6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6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0665">
      <pivotArea dataOnly="0" labelOnly="1" outline="0" fieldPosition="0">
        <references count="13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64">
      <pivotArea dataOnly="0" labelOnly="1" outline="0" fieldPosition="0">
        <references count="13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>
            <x v="1"/>
          </reference>
        </references>
      </pivotArea>
    </format>
    <format dxfId="10663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62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>
            <x v="1"/>
          </reference>
        </references>
      </pivotArea>
    </format>
    <format dxfId="10661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60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>
            <x v="1"/>
          </reference>
        </references>
      </pivotArea>
    </format>
    <format dxfId="10659">
      <pivotArea dataOnly="0" labelOnly="1" outline="0" fieldPosition="0">
        <references count="13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58">
      <pivotArea dataOnly="0" labelOnly="1" outline="0" fieldPosition="0">
        <references count="13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0657">
      <pivotArea dataOnly="0" labelOnly="1" outline="0" fieldPosition="0">
        <references count="13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56">
      <pivotArea dataOnly="0" labelOnly="1" outline="0" fieldPosition="0">
        <references count="13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065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5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>
            <x v="1"/>
          </reference>
        </references>
      </pivotArea>
    </format>
    <format dxfId="1065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5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5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>
            <x v="1"/>
          </reference>
        </references>
      </pivotArea>
    </format>
    <format dxfId="1065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1"/>
          </reference>
          <reference field="31" count="0" selected="0"/>
          <reference field="32" count="1" selected="0">
            <x v="3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4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>
            <x v="1"/>
          </reference>
        </references>
      </pivotArea>
    </format>
    <format dxfId="1064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44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4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2">
            <x v="1"/>
            <x v="2"/>
          </reference>
        </references>
      </pivotArea>
    </format>
    <format dxfId="1064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44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4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8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4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1"/>
          </reference>
        </references>
      </pivotArea>
    </format>
    <format dxfId="1064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4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4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2"/>
          </reference>
          <reference field="31" count="0" selected="0"/>
          <reference field="32" count="1" selected="0">
            <x v="4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41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40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0639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1"/>
          </reference>
          <reference field="31" count="0" selected="0"/>
          <reference field="32" count="1" selected="0">
            <x v="60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38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>
            <x v="1"/>
          </reference>
        </references>
      </pivotArea>
    </format>
    <format dxfId="10637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2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36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5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35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>
            <x v="1"/>
          </reference>
        </references>
      </pivotArea>
    </format>
    <format dxfId="10634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1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33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0632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1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31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0630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42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29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0628">
      <pivotArea dataOnly="0" labelOnly="1" outline="0" fieldPosition="0">
        <references count="13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42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27">
      <pivotArea dataOnly="0" labelOnly="1" outline="0" fieldPosition="0">
        <references count="13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0626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61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2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2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062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2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7"/>
          </reference>
          <reference field="31" count="0" selected="0"/>
          <reference field="32" count="1" selected="0">
            <x v="5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2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062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50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19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0618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8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17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0616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9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15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061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9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1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>
            <x v="1"/>
          </reference>
        </references>
      </pivotArea>
    </format>
    <format dxfId="10612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9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1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061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6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09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3"/>
          </reference>
          <reference field="31" count="0" selected="0"/>
          <reference field="32" count="1" selected="0">
            <x v="35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0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060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0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060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0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060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0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060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60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059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3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9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059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3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9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95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059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9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3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9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9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22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9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2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3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058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1"/>
          </reference>
          <reference field="31" count="0" selected="0"/>
          <reference field="32" count="1" selected="0">
            <x v="22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1"/>
          </reference>
        </references>
      </pivotArea>
    </format>
    <format dxfId="1058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3"/>
          </reference>
          <reference field="31" count="0" selected="0"/>
          <reference field="32" count="1" selected="0">
            <x v="2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4">
      <pivotArea dataOnly="0" labelOnly="1" outline="0" fieldPosition="0">
        <references count="13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9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3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2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2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1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8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5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7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2">
            <x v="1"/>
            <x v="2"/>
          </reference>
        </references>
      </pivotArea>
    </format>
    <format dxfId="1057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5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77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76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0575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8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74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>
            <x v="1"/>
          </reference>
        </references>
      </pivotArea>
    </format>
    <format dxfId="10573">
      <pivotArea dataOnly="0" labelOnly="1" outline="0" fieldPosition="0">
        <references count="13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1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72">
      <pivotArea dataOnly="0" labelOnly="1" outline="0" fieldPosition="0">
        <references count="13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0571">
      <pivotArea dataOnly="0" labelOnly="1" outline="0" fieldPosition="0">
        <references count="13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6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70">
      <pivotArea dataOnly="0" labelOnly="1" outline="0" fieldPosition="0">
        <references count="13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0569">
      <pivotArea dataOnly="0" labelOnly="1" outline="0" fieldPosition="0">
        <references count="13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7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68">
      <pivotArea dataOnly="0" labelOnly="1" outline="0" fieldPosition="0">
        <references count="13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0567">
      <pivotArea dataOnly="0" labelOnly="1" outline="0" fieldPosition="0">
        <references count="13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0"/>
          </reference>
          <reference field="31" count="0" selected="0"/>
          <reference field="32" count="1" selected="0">
            <x v="57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6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2">
            <x v="1"/>
            <x v="2"/>
          </reference>
        </references>
      </pivotArea>
    </format>
    <format dxfId="1056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7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64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7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6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056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3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6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5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6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1"/>
          </reference>
        </references>
      </pivotArea>
    </format>
    <format dxfId="1055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0"/>
          </reference>
          <reference field="31" count="0" selected="0"/>
          <reference field="32" count="1" selected="0">
            <x v="55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5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055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5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055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5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055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9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5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055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0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5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054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4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11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4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054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4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4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054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9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4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4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40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0539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38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0537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8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36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0535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7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34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0533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84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32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053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1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30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29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0528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21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2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>
            <x v="1"/>
          </reference>
        </references>
      </pivotArea>
    </format>
    <format dxfId="1052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25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>
            <x v="1"/>
          </reference>
        </references>
      </pivotArea>
    </format>
    <format dxfId="10524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23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0522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4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21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0520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4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19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3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18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051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12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1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051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1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0513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46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1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>
            <x v="1"/>
          </reference>
        </references>
      </pivotArea>
    </format>
    <format dxfId="1051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1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050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42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0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8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0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8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0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8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0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>
            <x v="1"/>
          </reference>
        </references>
      </pivotArea>
    </format>
    <format dxfId="1050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2"/>
          </reference>
          <reference field="31" count="0" selected="0"/>
          <reference field="32" count="1" selected="0">
            <x v="15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0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1"/>
            <x v="2"/>
          </reference>
        </references>
      </pivotArea>
    </format>
    <format dxfId="1050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2"/>
          </reference>
          <reference field="31" count="0" selected="0"/>
          <reference field="32" count="1" selected="0">
            <x v="15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50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050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65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49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049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2"/>
          </reference>
          <reference field="31" count="0" selected="0"/>
          <reference field="32" count="1" selected="0">
            <x v="168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49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049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63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49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0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494">
      <pivotArea dataOnly="0" labelOnly="1" outline="0" fieldPosition="0">
        <references count="13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0493">
      <pivotArea dataOnly="0" labelOnly="1" outline="0" fieldPosition="0">
        <references count="13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2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49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4"/>
          </reference>
          <reference field="34" count="0" selected="0"/>
          <reference field="35" count="0" selected="0"/>
          <reference field="36" count="1" selected="0">
            <x v="2"/>
          </reference>
          <reference field="37" count="1">
            <x v="0"/>
          </reference>
        </references>
      </pivotArea>
    </format>
    <format dxfId="10491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4"/>
            <x v="5"/>
            <x v="7"/>
            <x v="8"/>
            <x v="9"/>
            <x v="10"/>
            <x v="15"/>
            <x v="44"/>
            <x v="45"/>
            <x v="46"/>
            <x v="50"/>
            <x v="52"/>
          </reference>
        </references>
      </pivotArea>
    </format>
    <format dxfId="10490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78"/>
          </reference>
          <reference field="33" count="1">
            <x v="4"/>
          </reference>
        </references>
      </pivotArea>
    </format>
    <format dxfId="10489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470"/>
          </reference>
          <reference field="33" count="1">
            <x v="4"/>
          </reference>
        </references>
      </pivotArea>
    </format>
    <format dxfId="10488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9"/>
          </reference>
          <reference field="33" count="1">
            <x v="4"/>
          </reference>
        </references>
      </pivotArea>
    </format>
    <format dxfId="1048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17"/>
          </reference>
          <reference field="33" count="1">
            <x v="4"/>
          </reference>
        </references>
      </pivotArea>
    </format>
    <format dxfId="1048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4"/>
          </reference>
        </references>
      </pivotArea>
    </format>
    <format dxfId="1048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9"/>
          </reference>
          <reference field="33" count="1">
            <x v="4"/>
          </reference>
        </references>
      </pivotArea>
    </format>
    <format dxfId="1048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01"/>
          </reference>
          <reference field="33" count="1">
            <x v="4"/>
          </reference>
        </references>
      </pivotArea>
    </format>
    <format dxfId="10483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1"/>
          </reference>
          <reference field="33" count="1">
            <x v="4"/>
          </reference>
        </references>
      </pivotArea>
    </format>
    <format dxfId="10482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0"/>
          </reference>
          <reference field="33" count="1">
            <x v="4"/>
          </reference>
        </references>
      </pivotArea>
    </format>
    <format dxfId="10481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>
            <x v="53"/>
          </reference>
        </references>
      </pivotArea>
    </format>
    <format dxfId="10480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56"/>
          </reference>
          <reference field="33" count="1">
            <x v="4"/>
          </reference>
        </references>
      </pivotArea>
    </format>
    <format dxfId="1047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>
            <x v="4"/>
          </reference>
        </references>
      </pivotArea>
    </format>
    <format dxfId="1047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6"/>
          </reference>
          <reference field="33" count="1">
            <x v="4"/>
          </reference>
        </references>
      </pivotArea>
    </format>
    <format dxfId="10477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07"/>
          </reference>
          <reference field="33" count="1">
            <x v="4"/>
          </reference>
        </references>
      </pivotArea>
    </format>
    <format dxfId="10476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>
            <x v="43"/>
          </reference>
        </references>
      </pivotArea>
    </format>
    <format dxfId="10475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8"/>
          </reference>
          <reference field="33" count="1">
            <x v="4"/>
          </reference>
        </references>
      </pivotArea>
    </format>
    <format dxfId="10474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6"/>
          </reference>
          <reference field="33" count="1">
            <x v="4"/>
          </reference>
        </references>
      </pivotArea>
    </format>
    <format dxfId="10473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72"/>
          </reference>
          <reference field="33" count="1">
            <x v="4"/>
          </reference>
        </references>
      </pivotArea>
    </format>
    <format dxfId="10472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05"/>
          </reference>
          <reference field="33" count="1">
            <x v="4"/>
          </reference>
        </references>
      </pivotArea>
    </format>
    <format dxfId="10471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>
            <x v="7"/>
          </reference>
        </references>
      </pivotArea>
    </format>
    <format dxfId="1047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29"/>
          </reference>
          <reference field="33" count="1">
            <x v="4"/>
          </reference>
        </references>
      </pivotArea>
    </format>
    <format dxfId="1046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5"/>
          </reference>
          <reference field="33" count="1">
            <x v="4"/>
          </reference>
        </references>
      </pivotArea>
    </format>
    <format dxfId="1046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>
            <x v="4"/>
          </reference>
        </references>
      </pivotArea>
    </format>
    <format dxfId="1046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>
            <x v="58"/>
          </reference>
        </references>
      </pivotArea>
    </format>
    <format dxfId="1046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1"/>
          </reference>
          <reference field="31" count="0" selected="0"/>
          <reference field="32" count="1" selected="0">
            <x v="314"/>
          </reference>
          <reference field="33" count="1">
            <x v="4"/>
          </reference>
        </references>
      </pivotArea>
    </format>
    <format dxfId="1046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447"/>
          </reference>
          <reference field="33" count="1">
            <x v="4"/>
          </reference>
        </references>
      </pivotArea>
    </format>
    <format dxfId="1046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>
            <x v="55"/>
          </reference>
        </references>
      </pivotArea>
    </format>
    <format dxfId="1046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444"/>
          </reference>
          <reference field="33" count="1">
            <x v="4"/>
          </reference>
        </references>
      </pivotArea>
    </format>
    <format dxfId="1046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88"/>
          </reference>
          <reference field="33" count="1">
            <x v="4"/>
          </reference>
        </references>
      </pivotArea>
    </format>
    <format dxfId="1046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482"/>
          </reference>
          <reference field="33" count="1">
            <x v="4"/>
          </reference>
        </references>
      </pivotArea>
    </format>
    <format dxfId="1046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2"/>
          </reference>
          <reference field="31" count="0" selected="0"/>
          <reference field="32" count="1" selected="0">
            <x v="446"/>
          </reference>
          <reference field="33" count="1">
            <x v="4"/>
          </reference>
        </references>
      </pivotArea>
    </format>
    <format dxfId="10459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01"/>
          </reference>
          <reference field="33" count="1">
            <x v="4"/>
          </reference>
        </references>
      </pivotArea>
    </format>
    <format dxfId="10458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3">
            <x v="1"/>
            <x v="11"/>
            <x v="32"/>
          </reference>
        </references>
      </pivotArea>
    </format>
    <format dxfId="10457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1"/>
          </reference>
          <reference field="31" count="0" selected="0"/>
          <reference field="32" count="1" selected="0">
            <x v="606"/>
          </reference>
          <reference field="33" count="1">
            <x v="4"/>
          </reference>
        </references>
      </pivotArea>
    </format>
    <format dxfId="10456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261"/>
          </reference>
          <reference field="33" count="1">
            <x v="4"/>
          </reference>
        </references>
      </pivotArea>
    </format>
    <format dxfId="10455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>
            <x v="0"/>
          </reference>
        </references>
      </pivotArea>
    </format>
    <format dxfId="10454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59"/>
          </reference>
          <reference field="33" count="1">
            <x v="4"/>
          </reference>
        </references>
      </pivotArea>
    </format>
    <format dxfId="10453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>
            <x v="0"/>
          </reference>
        </references>
      </pivotArea>
    </format>
    <format dxfId="10452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12"/>
          </reference>
          <reference field="33" count="1">
            <x v="4"/>
          </reference>
        </references>
      </pivotArea>
    </format>
    <format dxfId="10451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14"/>
          </reference>
          <reference field="33" count="1">
            <x v="4"/>
          </reference>
        </references>
      </pivotArea>
    </format>
    <format dxfId="10450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>
            <x v="2"/>
          </reference>
        </references>
      </pivotArea>
    </format>
    <format dxfId="10449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426"/>
          </reference>
          <reference field="33" count="1">
            <x v="4"/>
          </reference>
        </references>
      </pivotArea>
    </format>
    <format dxfId="10448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>
            <x v="2"/>
          </reference>
        </references>
      </pivotArea>
    </format>
    <format dxfId="10447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422"/>
          </reference>
          <reference field="33" count="1">
            <x v="4"/>
          </reference>
        </references>
      </pivotArea>
    </format>
    <format dxfId="1044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619"/>
          </reference>
          <reference field="33" count="1">
            <x v="4"/>
          </reference>
        </references>
      </pivotArea>
    </format>
    <format dxfId="10445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16"/>
          </reference>
          <reference field="33" count="1">
            <x v="4"/>
          </reference>
        </references>
      </pivotArea>
    </format>
    <format dxfId="1044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>
            <x v="41"/>
          </reference>
        </references>
      </pivotArea>
    </format>
    <format dxfId="1044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93"/>
          </reference>
          <reference field="33" count="1">
            <x v="4"/>
          </reference>
        </references>
      </pivotArea>
    </format>
    <format dxfId="1044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>
            <x v="41"/>
          </reference>
        </references>
      </pivotArea>
    </format>
    <format dxfId="1044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7"/>
          </reference>
          <reference field="31" count="0" selected="0"/>
          <reference field="32" count="1" selected="0">
            <x v="504"/>
          </reference>
          <reference field="33" count="1">
            <x v="4"/>
          </reference>
        </references>
      </pivotArea>
    </format>
    <format dxfId="1044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501"/>
          </reference>
          <reference field="33" count="1">
            <x v="4"/>
          </reference>
        </references>
      </pivotArea>
    </format>
    <format dxfId="10439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89"/>
          </reference>
          <reference field="33" count="1">
            <x v="4"/>
          </reference>
        </references>
      </pivotArea>
    </format>
    <format dxfId="1043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91"/>
          </reference>
          <reference field="33" count="1">
            <x v="4"/>
          </reference>
        </references>
      </pivotArea>
    </format>
    <format dxfId="1043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>
            <x v="49"/>
          </reference>
        </references>
      </pivotArea>
    </format>
    <format dxfId="1043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395"/>
          </reference>
          <reference field="33" count="1">
            <x v="4"/>
          </reference>
        </references>
      </pivotArea>
    </format>
    <format dxfId="10435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>
            <x v="49"/>
          </reference>
        </references>
      </pivotArea>
    </format>
    <format dxfId="10434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97"/>
          </reference>
          <reference field="33" count="1">
            <x v="4"/>
          </reference>
        </references>
      </pivotArea>
    </format>
    <format dxfId="10433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67"/>
          </reference>
          <reference field="33" count="1">
            <x v="4"/>
          </reference>
        </references>
      </pivotArea>
    </format>
    <format dxfId="10432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3"/>
          </reference>
          <reference field="31" count="0" selected="0"/>
          <reference field="32" count="1" selected="0">
            <x v="357"/>
          </reference>
          <reference field="33" count="1">
            <x v="4"/>
          </reference>
        </references>
      </pivotArea>
    </format>
    <format dxfId="1043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>
            <x v="46"/>
          </reference>
        </references>
      </pivotArea>
    </format>
    <format dxfId="1043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2">
            <x v="4"/>
            <x v="46"/>
          </reference>
        </references>
      </pivotArea>
    </format>
    <format dxfId="1042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2">
            <x v="4"/>
            <x v="46"/>
          </reference>
        </references>
      </pivotArea>
    </format>
    <format dxfId="10428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2">
            <x v="4"/>
            <x v="46"/>
          </reference>
        </references>
      </pivotArea>
    </format>
    <format dxfId="10427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2">
            <x v="4"/>
            <x v="46"/>
          </reference>
        </references>
      </pivotArea>
    </format>
    <format dxfId="10426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385"/>
          </reference>
          <reference field="33" count="1">
            <x v="4"/>
          </reference>
        </references>
      </pivotArea>
    </format>
    <format dxfId="1042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>
            <x v="46"/>
          </reference>
        </references>
      </pivotArea>
    </format>
    <format dxfId="1042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353"/>
          </reference>
          <reference field="33" count="1">
            <x v="4"/>
          </reference>
        </references>
      </pivotArea>
    </format>
    <format dxfId="1042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 selected="0">
            <x v="0"/>
          </reference>
          <reference field="31" count="0" selected="0"/>
          <reference field="32" count="1" selected="0">
            <x v="377"/>
          </reference>
          <reference field="33" count="1">
            <x v="4"/>
          </reference>
        </references>
      </pivotArea>
    </format>
    <format dxfId="10422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>
            <x v="46"/>
          </reference>
        </references>
      </pivotArea>
    </format>
    <format dxfId="10421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8"/>
          </reference>
          <reference field="33" count="1">
            <x v="4"/>
          </reference>
        </references>
      </pivotArea>
    </format>
    <format dxfId="10420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380"/>
          </reference>
          <reference field="33" count="1">
            <x v="4"/>
          </reference>
        </references>
      </pivotArea>
    </format>
    <format dxfId="10419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21"/>
          </reference>
          <reference field="33" count="1">
            <x v="4"/>
          </reference>
        </references>
      </pivotArea>
    </format>
    <format dxfId="10418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223"/>
          </reference>
          <reference field="33" count="1">
            <x v="4"/>
          </reference>
        </references>
      </pivotArea>
    </format>
    <format dxfId="10417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>
            <x v="45"/>
          </reference>
        </references>
      </pivotArea>
    </format>
    <format dxfId="10416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24"/>
          </reference>
          <reference field="33" count="1">
            <x v="4"/>
          </reference>
        </references>
      </pivotArea>
    </format>
    <format dxfId="10415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>
            <x v="45"/>
          </reference>
        </references>
      </pivotArea>
    </format>
    <format dxfId="10414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32"/>
          </reference>
          <reference field="33" count="1">
            <x v="4"/>
          </reference>
        </references>
      </pivotArea>
    </format>
    <format dxfId="10413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>
            <x v="45"/>
          </reference>
        </references>
      </pivotArea>
    </format>
    <format dxfId="10412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1"/>
          </reference>
          <reference field="31" count="0" selected="0"/>
          <reference field="32" count="1" selected="0">
            <x v="229"/>
          </reference>
          <reference field="33" count="1">
            <x v="4"/>
          </reference>
        </references>
      </pivotArea>
    </format>
    <format dxfId="10411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>
            <x v="45"/>
          </reference>
        </references>
      </pivotArea>
    </format>
    <format dxfId="10410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3"/>
          </reference>
          <reference field="31" count="0" selected="0"/>
          <reference field="32" count="1" selected="0">
            <x v="238"/>
          </reference>
          <reference field="33" count="1">
            <x v="4"/>
          </reference>
        </references>
      </pivotArea>
    </format>
    <format dxfId="10409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>
            <x v="45"/>
          </reference>
        </references>
      </pivotArea>
    </format>
    <format dxfId="10408">
      <pivotArea dataOnly="0" labelOnly="1" outline="0" fieldPosition="0">
        <references count="9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92"/>
          </reference>
          <reference field="33" count="1">
            <x v="4"/>
          </reference>
        </references>
      </pivotArea>
    </format>
    <format dxfId="10407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51"/>
          </reference>
          <reference field="33" count="1">
            <x v="4"/>
          </reference>
        </references>
      </pivotArea>
    </format>
    <format dxfId="10406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254"/>
          </reference>
          <reference field="33" count="1">
            <x v="4"/>
          </reference>
        </references>
      </pivotArea>
    </format>
    <format dxfId="10405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20"/>
          </reference>
          <reference field="33" count="1">
            <x v="4"/>
          </reference>
        </references>
      </pivotArea>
    </format>
    <format dxfId="10404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53"/>
          </reference>
          <reference field="33" count="1">
            <x v="4"/>
          </reference>
        </references>
      </pivotArea>
    </format>
    <format dxfId="10403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52"/>
          </reference>
          <reference field="33" count="1">
            <x v="4"/>
          </reference>
        </references>
      </pivotArea>
    </format>
    <format dxfId="10402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>
            <x v="17"/>
          </reference>
        </references>
      </pivotArea>
    </format>
    <format dxfId="10401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54"/>
          </reference>
          <reference field="33" count="1">
            <x v="4"/>
          </reference>
        </references>
      </pivotArea>
    </format>
    <format dxfId="10400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182"/>
          </reference>
          <reference field="33" count="1">
            <x v="4"/>
          </reference>
        </references>
      </pivotArea>
    </format>
    <format dxfId="10399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183"/>
          </reference>
          <reference field="33" count="1">
            <x v="4"/>
          </reference>
        </references>
      </pivotArea>
    </format>
    <format dxfId="10398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61"/>
          </reference>
          <reference field="33" count="1">
            <x v="4"/>
          </reference>
        </references>
      </pivotArea>
    </format>
    <format dxfId="10397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77"/>
          </reference>
          <reference field="33" count="1">
            <x v="4"/>
          </reference>
        </references>
      </pivotArea>
    </format>
    <format dxfId="10396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0"/>
          </reference>
          <reference field="31" count="0" selected="0"/>
          <reference field="32" count="1" selected="0">
            <x v="570"/>
          </reference>
          <reference field="33" count="1">
            <x v="4"/>
          </reference>
        </references>
      </pivotArea>
    </format>
    <format dxfId="10395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1"/>
          </reference>
          <reference field="31" count="0" selected="0"/>
          <reference field="32" count="1" selected="0">
            <x v="473"/>
          </reference>
          <reference field="33" count="1">
            <x v="4"/>
          </reference>
        </references>
      </pivotArea>
    </format>
    <format dxfId="10394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71"/>
          </reference>
          <reference field="33" count="1">
            <x v="4"/>
          </reference>
        </references>
      </pivotArea>
    </format>
    <format dxfId="10393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537"/>
          </reference>
          <reference field="33" count="1">
            <x v="4"/>
          </reference>
        </references>
      </pivotArea>
    </format>
    <format dxfId="10392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>
            <x v="44"/>
          </reference>
        </references>
      </pivotArea>
    </format>
    <format dxfId="10391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 selected="0">
            <x v="1"/>
          </reference>
          <reference field="31" count="0" selected="0"/>
          <reference field="32" count="1" selected="0">
            <x v="548"/>
          </reference>
          <reference field="33" count="1">
            <x v="4"/>
          </reference>
        </references>
      </pivotArea>
    </format>
    <format dxfId="10390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>
            <x v="44"/>
          </reference>
        </references>
      </pivotArea>
    </format>
    <format dxfId="10389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0"/>
          </reference>
          <reference field="31" count="0" selected="0"/>
          <reference field="32" count="1" selected="0">
            <x v="551"/>
          </reference>
          <reference field="33" count="1">
            <x v="4"/>
          </reference>
        </references>
      </pivotArea>
    </format>
    <format dxfId="10388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>
            <x v="44"/>
          </reference>
        </references>
      </pivotArea>
    </format>
    <format dxfId="10387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2"/>
          </reference>
          <reference field="33" count="1">
            <x v="4"/>
          </reference>
        </references>
      </pivotArea>
    </format>
    <format dxfId="10386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>
            <x v="44"/>
          </reference>
        </references>
      </pivotArea>
    </format>
    <format dxfId="1038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2">
            <x v="4"/>
            <x v="41"/>
          </reference>
        </references>
      </pivotArea>
    </format>
    <format dxfId="1038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93"/>
          </reference>
          <reference field="33" count="1">
            <x v="4"/>
          </reference>
        </references>
      </pivotArea>
    </format>
    <format dxfId="1038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04"/>
          </reference>
          <reference field="33" count="1">
            <x v="4"/>
          </reference>
        </references>
      </pivotArea>
    </format>
    <format dxfId="1038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4"/>
          </reference>
        </references>
      </pivotArea>
    </format>
    <format dxfId="1038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111"/>
          </reference>
          <reference field="33" count="1">
            <x v="4"/>
          </reference>
        </references>
      </pivotArea>
    </format>
    <format dxfId="1038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5"/>
          </reference>
          <reference field="33" count="1">
            <x v="4"/>
          </reference>
        </references>
      </pivotArea>
    </format>
    <format dxfId="1037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>
            <x v="60"/>
          </reference>
        </references>
      </pivotArea>
    </format>
    <format dxfId="1037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0"/>
          </reference>
          <reference field="33" count="1">
            <x v="4"/>
          </reference>
        </references>
      </pivotArea>
    </format>
    <format dxfId="1037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>
            <x v="60"/>
          </reference>
        </references>
      </pivotArea>
    </format>
    <format dxfId="10376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9"/>
          </reference>
          <reference field="33" count="1">
            <x v="4"/>
          </reference>
        </references>
      </pivotArea>
    </format>
    <format dxfId="10375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48"/>
          </reference>
          <reference field="33" count="1">
            <x v="4"/>
          </reference>
        </references>
      </pivotArea>
    </format>
    <format dxfId="10374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4"/>
          </reference>
          <reference field="33" count="1">
            <x v="4"/>
          </reference>
        </references>
      </pivotArea>
    </format>
    <format dxfId="10373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81"/>
          </reference>
          <reference field="33" count="1">
            <x v="4"/>
          </reference>
        </references>
      </pivotArea>
    </format>
    <format dxfId="10372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>
            <x v="61"/>
          </reference>
        </references>
      </pivotArea>
    </format>
    <format dxfId="10371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80"/>
          </reference>
          <reference field="33" count="1">
            <x v="4"/>
          </reference>
        </references>
      </pivotArea>
    </format>
    <format dxfId="10370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>
            <x v="61"/>
          </reference>
        </references>
      </pivotArea>
    </format>
    <format dxfId="10369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74"/>
          </reference>
          <reference field="33" count="1">
            <x v="4"/>
          </reference>
        </references>
      </pivotArea>
    </format>
    <format dxfId="10368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>
            <x v="61"/>
          </reference>
        </references>
      </pivotArea>
    </format>
    <format dxfId="10367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84"/>
          </reference>
          <reference field="33" count="1">
            <x v="4"/>
          </reference>
        </references>
      </pivotArea>
    </format>
    <format dxfId="10366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13"/>
          </reference>
          <reference field="33" count="1">
            <x v="4"/>
          </reference>
        </references>
      </pivotArea>
    </format>
    <format dxfId="10365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>
            <x v="62"/>
          </reference>
        </references>
      </pivotArea>
    </format>
    <format dxfId="10364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>
            <x v="4"/>
          </reference>
        </references>
      </pivotArea>
    </format>
    <format dxfId="10363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>
            <x v="62"/>
          </reference>
        </references>
      </pivotArea>
    </format>
    <format dxfId="10362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215"/>
          </reference>
          <reference field="33" count="1">
            <x v="4"/>
          </reference>
        </references>
      </pivotArea>
    </format>
    <format dxfId="10361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5"/>
          </reference>
          <reference field="33" count="1">
            <x v="4"/>
          </reference>
        </references>
      </pivotArea>
    </format>
    <format dxfId="10360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>
            <x v="13"/>
          </reference>
        </references>
      </pivotArea>
    </format>
    <format dxfId="10359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8"/>
          </reference>
          <reference field="33" count="1">
            <x v="4"/>
          </reference>
        </references>
      </pivotArea>
    </format>
    <format dxfId="10358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40"/>
          </reference>
          <reference field="33" count="1">
            <x v="4"/>
          </reference>
        </references>
      </pivotArea>
    </format>
    <format dxfId="10357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>
            <x v="63"/>
          </reference>
        </references>
      </pivotArea>
    </format>
    <format dxfId="10356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43"/>
          </reference>
          <reference field="33" count="1">
            <x v="4"/>
          </reference>
        </references>
      </pivotArea>
    </format>
    <format dxfId="10355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>
            <x v="63"/>
          </reference>
        </references>
      </pivotArea>
    </format>
    <format dxfId="10354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38"/>
          </reference>
          <reference field="33" count="1">
            <x v="4"/>
          </reference>
        </references>
      </pivotArea>
    </format>
    <format dxfId="10353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>
            <x v="63"/>
          </reference>
        </references>
      </pivotArea>
    </format>
    <format dxfId="10352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120"/>
          </reference>
          <reference field="33" count="1">
            <x v="4"/>
          </reference>
        </references>
      </pivotArea>
    </format>
    <format dxfId="1035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31"/>
          </reference>
          <reference field="33" count="1">
            <x v="4"/>
          </reference>
        </references>
      </pivotArea>
    </format>
    <format dxfId="1035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>
            <x v="14"/>
          </reference>
        </references>
      </pivotArea>
    </format>
    <format dxfId="1034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346"/>
          </reference>
          <reference field="33" count="1">
            <x v="4"/>
          </reference>
        </references>
      </pivotArea>
    </format>
    <format dxfId="10348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31"/>
          </reference>
          <reference field="33" count="1">
            <x v="4"/>
          </reference>
        </references>
      </pivotArea>
    </format>
    <format dxfId="10347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>
            <x v="15"/>
          </reference>
        </references>
      </pivotArea>
    </format>
    <format dxfId="10346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42"/>
          </reference>
          <reference field="33" count="1">
            <x v="4"/>
          </reference>
        </references>
      </pivotArea>
    </format>
    <format dxfId="10345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85"/>
          </reference>
          <reference field="33" count="1">
            <x v="4"/>
          </reference>
        </references>
      </pivotArea>
    </format>
    <format dxfId="10344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>
            <x v="64"/>
          </reference>
        </references>
      </pivotArea>
    </format>
    <format dxfId="10343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81"/>
          </reference>
          <reference field="33" count="1">
            <x v="4"/>
          </reference>
        </references>
      </pivotArea>
    </format>
    <format dxfId="10342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>
            <x v="64"/>
          </reference>
        </references>
      </pivotArea>
    </format>
    <format dxfId="10341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83"/>
          </reference>
          <reference field="33" count="1">
            <x v="4"/>
          </reference>
        </references>
      </pivotArea>
    </format>
    <format dxfId="1034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2"/>
          </reference>
          <reference field="31" count="0" selected="0"/>
          <reference field="32" count="1" selected="0">
            <x v="158"/>
          </reference>
          <reference field="33" count="1">
            <x v="4"/>
          </reference>
        </references>
      </pivotArea>
    </format>
    <format dxfId="1033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>
            <x v="16"/>
          </reference>
        </references>
      </pivotArea>
    </format>
    <format dxfId="1033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2"/>
          </reference>
          <reference field="31" count="0" selected="0"/>
          <reference field="32" count="1" selected="0">
            <x v="155"/>
          </reference>
          <reference field="33" count="1">
            <x v="4"/>
          </reference>
        </references>
      </pivotArea>
    </format>
    <format dxfId="1033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>
            <x v="16"/>
          </reference>
        </references>
      </pivotArea>
    </format>
    <format dxfId="1033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65"/>
          </reference>
          <reference field="33" count="1">
            <x v="4"/>
          </reference>
        </references>
      </pivotArea>
    </format>
    <format dxfId="1033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2"/>
          </reference>
          <reference field="31" count="0" selected="0"/>
          <reference field="32" count="1" selected="0">
            <x v="168"/>
          </reference>
          <reference field="33" count="1">
            <x v="4"/>
          </reference>
        </references>
      </pivotArea>
    </format>
    <format dxfId="1033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>
            <x v="16"/>
          </reference>
        </references>
      </pivotArea>
    </format>
    <format dxfId="1033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163"/>
          </reference>
          <reference field="33" count="1">
            <x v="4"/>
          </reference>
        </references>
      </pivotArea>
    </format>
    <format dxfId="1033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0"/>
          </reference>
          <reference field="33" count="1">
            <x v="4"/>
          </reference>
        </references>
      </pivotArea>
    </format>
    <format dxfId="10331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21"/>
          </reference>
          <reference field="33" count="1">
            <x v="4"/>
          </reference>
        </references>
      </pivotArea>
    </format>
    <format dxfId="10330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>
            <x v="4"/>
          </reference>
        </references>
      </pivotArea>
    </format>
    <format dxfId="10329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>
            <x v="66"/>
          </reference>
        </references>
      </pivotArea>
    </format>
    <format dxfId="10328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7">
            <x v="2"/>
            <x v="3"/>
            <x v="4"/>
            <x v="6"/>
            <x v="7"/>
            <x v="10"/>
            <x v="31"/>
          </reference>
        </references>
      </pivotArea>
    </format>
    <format dxfId="10327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4">
            <x v="2"/>
            <x v="3"/>
            <x v="4"/>
            <x v="5"/>
            <x v="6"/>
            <x v="7"/>
            <x v="16"/>
            <x v="17"/>
            <x v="22"/>
            <x v="31"/>
            <x v="48"/>
            <x v="49"/>
            <x v="55"/>
            <x v="57"/>
          </reference>
        </references>
      </pivotArea>
    </format>
    <format dxfId="10326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9">
            <x v="1"/>
            <x v="3"/>
            <x v="4"/>
            <x v="5"/>
            <x v="6"/>
            <x v="7"/>
            <x v="8"/>
            <x v="9"/>
            <x v="17"/>
            <x v="18"/>
            <x v="24"/>
            <x v="27"/>
            <x v="29"/>
            <x v="31"/>
            <x v="46"/>
            <x v="48"/>
            <x v="49"/>
            <x v="55"/>
            <x v="57"/>
          </reference>
        </references>
      </pivotArea>
    </format>
    <format dxfId="10325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5">
            <x v="9"/>
            <x v="10"/>
            <x v="14"/>
            <x v="29"/>
            <x v="55"/>
          </reference>
        </references>
      </pivotArea>
    </format>
    <format dxfId="10324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6">
            <x v="13"/>
            <x v="26"/>
            <x v="29"/>
            <x v="30"/>
            <x v="37"/>
            <x v="56"/>
          </reference>
        </references>
      </pivotArea>
    </format>
    <format dxfId="10323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5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31"/>
            <x v="49"/>
            <x v="52"/>
            <x v="55"/>
          </reference>
        </references>
      </pivotArea>
    </format>
    <format dxfId="10322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8">
            <x v="9"/>
            <x v="10"/>
            <x v="14"/>
            <x v="17"/>
            <x v="29"/>
            <x v="49"/>
            <x v="52"/>
            <x v="55"/>
          </reference>
        </references>
      </pivotArea>
    </format>
    <format dxfId="10321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9">
            <x v="3"/>
            <x v="4"/>
            <x v="5"/>
            <x v="6"/>
            <x v="7"/>
            <x v="8"/>
            <x v="17"/>
            <x v="31"/>
            <x v="49"/>
          </reference>
        </references>
      </pivotArea>
    </format>
    <format dxfId="10320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8">
            <x v="17"/>
            <x v="18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  <x v="55"/>
          </reference>
        </references>
      </pivotArea>
    </format>
    <format dxfId="10319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20">
            <x v="17"/>
            <x v="19"/>
            <x v="20"/>
            <x v="21"/>
            <x v="22"/>
            <x v="26"/>
            <x v="27"/>
            <x v="29"/>
            <x v="40"/>
            <x v="41"/>
            <x v="42"/>
            <x v="43"/>
            <x v="44"/>
            <x v="47"/>
            <x v="51"/>
            <x v="52"/>
            <x v="53"/>
            <x v="54"/>
            <x v="55"/>
            <x v="57"/>
          </reference>
        </references>
      </pivotArea>
    </format>
    <format dxfId="10318">
      <pivotArea dataOnly="0" labelOnly="1" outline="0" fieldPosition="0">
        <references count="5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7">
            <x v="22"/>
            <x v="23"/>
            <x v="24"/>
            <x v="29"/>
            <x v="42"/>
            <x v="49"/>
            <x v="55"/>
          </reference>
        </references>
      </pivotArea>
    </format>
    <format dxfId="10317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2">
            <x v="10"/>
            <x v="13"/>
            <x v="17"/>
            <x v="25"/>
            <x v="29"/>
            <x v="41"/>
            <x v="42"/>
            <x v="44"/>
            <x v="49"/>
            <x v="52"/>
            <x v="54"/>
            <x v="55"/>
          </reference>
        </references>
      </pivotArea>
    </format>
    <format dxfId="10316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0">
            <x v="13"/>
            <x v="17"/>
            <x v="18"/>
            <x v="23"/>
            <x v="24"/>
            <x v="26"/>
            <x v="29"/>
            <x v="48"/>
            <x v="54"/>
            <x v="55"/>
          </reference>
        </references>
      </pivotArea>
    </format>
    <format dxfId="10315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3">
            <x v="10"/>
            <x v="12"/>
            <x v="13"/>
            <x v="17"/>
            <x v="23"/>
            <x v="24"/>
            <x v="29"/>
            <x v="41"/>
            <x v="48"/>
            <x v="49"/>
            <x v="52"/>
            <x v="54"/>
            <x v="55"/>
          </reference>
        </references>
      </pivotArea>
    </format>
    <format dxfId="10314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6">
            <x v="17"/>
            <x v="23"/>
            <x v="24"/>
            <x v="29"/>
            <x v="49"/>
            <x v="55"/>
          </reference>
        </references>
      </pivotArea>
    </format>
    <format dxfId="10313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23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29"/>
            <x v="31"/>
            <x v="42"/>
            <x v="49"/>
            <x v="52"/>
            <x v="54"/>
            <x v="55"/>
            <x v="57"/>
          </reference>
        </references>
      </pivotArea>
    </format>
    <format dxfId="10312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2"/>
            <x v="13"/>
            <x v="23"/>
            <x v="24"/>
            <x v="26"/>
            <x v="31"/>
            <x v="49"/>
            <x v="52"/>
            <x v="54"/>
            <x v="55"/>
          </reference>
        </references>
      </pivotArea>
    </format>
    <format dxfId="10311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5">
            <x v="17"/>
            <x v="30"/>
            <x v="48"/>
            <x v="49"/>
            <x v="56"/>
          </reference>
        </references>
      </pivotArea>
    </format>
    <format dxfId="10310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22">
            <x v="3"/>
            <x v="4"/>
            <x v="5"/>
            <x v="6"/>
            <x v="7"/>
            <x v="8"/>
            <x v="10"/>
            <x v="11"/>
            <x v="13"/>
            <x v="15"/>
            <x v="17"/>
            <x v="18"/>
            <x v="30"/>
            <x v="31"/>
            <x v="45"/>
            <x v="46"/>
            <x v="47"/>
            <x v="48"/>
            <x v="49"/>
            <x v="50"/>
            <x v="56"/>
            <x v="57"/>
          </reference>
        </references>
      </pivotArea>
    </format>
    <format dxfId="10309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2">
            <x v="17"/>
            <x v="49"/>
          </reference>
        </references>
      </pivotArea>
    </format>
    <format dxfId="10308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21">
            <x v="3"/>
            <x v="4"/>
            <x v="5"/>
            <x v="6"/>
            <x v="7"/>
            <x v="10"/>
            <x v="11"/>
            <x v="12"/>
            <x v="13"/>
            <x v="17"/>
            <x v="22"/>
            <x v="23"/>
            <x v="24"/>
            <x v="26"/>
            <x v="30"/>
            <x v="31"/>
            <x v="47"/>
            <x v="49"/>
            <x v="53"/>
            <x v="55"/>
            <x v="56"/>
          </reference>
        </references>
      </pivotArea>
    </format>
    <format dxfId="10307">
      <pivotArea dataOnly="0" labelOnly="1" outline="0" fieldPosition="0">
        <references count="5">
          <reference field="25" count="0" selected="0"/>
          <reference field="26" count="1" selected="0">
            <x v="24"/>
          </reference>
          <reference field="27" count="0" selected="0"/>
          <reference field="28" count="0" selected="0"/>
          <reference field="29" count="5">
            <x v="13"/>
            <x v="23"/>
            <x v="49"/>
            <x v="52"/>
            <x v="55"/>
          </reference>
        </references>
      </pivotArea>
    </format>
    <format dxfId="10306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3">
            <x v="17"/>
            <x v="26"/>
            <x v="28"/>
          </reference>
        </references>
      </pivotArea>
    </format>
    <format dxfId="10305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2">
            <x v="25"/>
            <x v="52"/>
          </reference>
        </references>
      </pivotArea>
    </format>
    <format dxfId="10304">
      <pivotArea dataOnly="0" labelOnly="1" outline="0" fieldPosition="0">
        <references count="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4">
            <x v="17"/>
            <x v="23"/>
            <x v="24"/>
            <x v="26"/>
          </reference>
        </references>
      </pivotArea>
    </format>
    <format dxfId="10303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5">
            <x v="17"/>
            <x v="25"/>
            <x v="46"/>
            <x v="50"/>
            <x v="52"/>
          </reference>
        </references>
      </pivotArea>
    </format>
    <format dxfId="10302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0">
            <x v="1"/>
            <x v="3"/>
            <x v="4"/>
            <x v="5"/>
            <x v="6"/>
            <x v="7"/>
            <x v="17"/>
            <x v="31"/>
            <x v="46"/>
            <x v="51"/>
          </reference>
        </references>
      </pivotArea>
    </format>
    <format dxfId="10301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4">
            <x v="16"/>
            <x v="26"/>
            <x v="49"/>
            <x v="53"/>
          </reference>
        </references>
      </pivotArea>
    </format>
    <format dxfId="10300">
      <pivotArea dataOnly="0" labelOnly="1" outline="0" fieldPosition="0">
        <references count="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4">
            <x v="26"/>
            <x v="29"/>
            <x v="54"/>
            <x v="55"/>
          </reference>
        </references>
      </pivotArea>
    </format>
    <format dxfId="10299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5">
            <x v="25"/>
            <x v="26"/>
            <x v="27"/>
            <x v="28"/>
            <x v="31"/>
          </reference>
        </references>
      </pivotArea>
    </format>
    <format dxfId="10298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4">
            <x v="25"/>
            <x v="26"/>
            <x v="52"/>
            <x v="53"/>
          </reference>
        </references>
      </pivotArea>
    </format>
    <format dxfId="10297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6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3"/>
            <x v="24"/>
            <x v="26"/>
            <x v="30"/>
            <x v="31"/>
            <x v="44"/>
            <x v="45"/>
            <x v="47"/>
            <x v="48"/>
            <x v="49"/>
            <x v="53"/>
            <x v="54"/>
            <x v="55"/>
            <x v="56"/>
          </reference>
        </references>
      </pivotArea>
    </format>
    <format dxfId="10296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20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22"/>
            <x v="23"/>
            <x v="24"/>
            <x v="29"/>
            <x v="31"/>
            <x v="44"/>
            <x v="49"/>
            <x v="53"/>
            <x v="55"/>
          </reference>
        </references>
      </pivotArea>
    </format>
    <format dxfId="10295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0">
            <x v="10"/>
            <x v="11"/>
            <x v="12"/>
            <x v="13"/>
            <x v="14"/>
            <x v="17"/>
            <x v="29"/>
            <x v="44"/>
            <x v="49"/>
            <x v="55"/>
          </reference>
        </references>
      </pivotArea>
    </format>
    <format dxfId="10294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1">
            <x v="10"/>
            <x v="11"/>
            <x v="12"/>
            <x v="13"/>
            <x v="14"/>
            <x v="17"/>
            <x v="23"/>
            <x v="29"/>
            <x v="44"/>
            <x v="49"/>
            <x v="55"/>
          </reference>
        </references>
      </pivotArea>
    </format>
    <format dxfId="10293">
      <pivotArea dataOnly="0" labelOnly="1" outline="0" fieldPosition="0">
        <references count="5">
          <reference field="25" count="0" selected="0"/>
          <reference field="26" count="1" selected="0">
            <x v="44"/>
          </reference>
          <reference field="27" count="0" selected="0"/>
          <reference field="28" count="0" selected="0"/>
          <reference field="29" count="1">
            <x v="12"/>
          </reference>
        </references>
      </pivotArea>
    </format>
    <format dxfId="10292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0">
            <x v="10"/>
            <x v="11"/>
            <x v="12"/>
            <x v="13"/>
            <x v="14"/>
            <x v="17"/>
            <x v="29"/>
            <x v="31"/>
            <x v="41"/>
            <x v="49"/>
          </reference>
        </references>
      </pivotArea>
    </format>
    <format dxfId="10291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3">
            <x v="10"/>
            <x v="11"/>
            <x v="12"/>
            <x v="13"/>
            <x v="14"/>
            <x v="17"/>
            <x v="23"/>
            <x v="29"/>
            <x v="31"/>
            <x v="44"/>
            <x v="49"/>
            <x v="55"/>
            <x v="57"/>
          </reference>
        </references>
      </pivotArea>
    </format>
    <format dxfId="10290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9"/>
            <x v="44"/>
            <x v="49"/>
          </reference>
        </references>
      </pivotArea>
    </format>
    <format dxfId="10289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5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24"/>
            <x v="29"/>
            <x v="31"/>
            <x v="49"/>
          </reference>
        </references>
      </pivotArea>
    </format>
    <format dxfId="10288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8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23"/>
            <x v="24"/>
            <x v="29"/>
            <x v="31"/>
            <x v="44"/>
            <x v="49"/>
            <x v="55"/>
          </reference>
        </references>
      </pivotArea>
    </format>
    <format dxfId="10287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3">
            <x v="10"/>
            <x v="11"/>
            <x v="12"/>
            <x v="13"/>
            <x v="14"/>
            <x v="17"/>
            <x v="23"/>
            <x v="24"/>
            <x v="29"/>
            <x v="31"/>
            <x v="44"/>
            <x v="49"/>
            <x v="55"/>
          </reference>
        </references>
      </pivotArea>
    </format>
    <format dxfId="10286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2">
            <x v="10"/>
            <x v="11"/>
            <x v="12"/>
            <x v="13"/>
            <x v="14"/>
            <x v="17"/>
            <x v="22"/>
            <x v="23"/>
            <x v="29"/>
            <x v="44"/>
            <x v="49"/>
            <x v="55"/>
          </reference>
        </references>
      </pivotArea>
    </format>
    <format dxfId="10285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1">
            <x v="10"/>
            <x v="11"/>
            <x v="12"/>
            <x v="13"/>
            <x v="14"/>
            <x v="17"/>
            <x v="23"/>
            <x v="29"/>
            <x v="41"/>
            <x v="44"/>
            <x v="49"/>
          </reference>
        </references>
      </pivotArea>
    </format>
    <format dxfId="10284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8">
            <x v="11"/>
            <x v="13"/>
            <x v="17"/>
            <x v="23"/>
            <x v="29"/>
            <x v="41"/>
            <x v="42"/>
            <x v="55"/>
          </reference>
        </references>
      </pivotArea>
    </format>
    <format dxfId="10283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9">
            <x v="11"/>
            <x v="13"/>
            <x v="14"/>
            <x v="17"/>
            <x v="22"/>
            <x v="29"/>
            <x v="41"/>
            <x v="44"/>
            <x v="55"/>
          </reference>
        </references>
      </pivotArea>
    </format>
    <format dxfId="10282">
      <pivotArea dataOnly="0" labelOnly="1" outline="0" fieldPosition="0">
        <references count="6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81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>
            <x v="0"/>
          </reference>
        </references>
      </pivotArea>
    </format>
    <format dxfId="10280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1"/>
          </reference>
        </references>
      </pivotArea>
    </format>
    <format dxfId="10279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>
            <x v="0"/>
          </reference>
        </references>
      </pivotArea>
    </format>
    <format dxfId="10278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77">
      <pivotArea dataOnly="0" labelOnly="1" outline="0" fieldPosition="0">
        <references count="6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0"/>
          </reference>
        </references>
      </pivotArea>
    </format>
    <format dxfId="1027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0"/>
          </reference>
        </references>
      </pivotArea>
    </format>
    <format dxfId="1027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74">
      <pivotArea dataOnly="0" labelOnly="1" outline="0" fieldPosition="0">
        <references count="6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73">
      <pivotArea dataOnly="0" labelOnly="1" outline="0" fieldPosition="0">
        <references count="6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272">
      <pivotArea dataOnly="0" labelOnly="1" outline="0" fieldPosition="0">
        <references count="6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1"/>
          </reference>
        </references>
      </pivotArea>
    </format>
    <format dxfId="10271">
      <pivotArea dataOnly="0" labelOnly="1" outline="0" fieldPosition="0">
        <references count="6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270">
      <pivotArea dataOnly="0" labelOnly="1" outline="0" fieldPosition="0">
        <references count="6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69">
      <pivotArea dataOnly="0" labelOnly="1" outline="0" fieldPosition="0">
        <references count="6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26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1"/>
          </reference>
        </references>
      </pivotArea>
    </format>
    <format dxfId="10267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026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9"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026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>
            <x v="2"/>
          </reference>
        </references>
      </pivotArea>
    </format>
    <format dxfId="10264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2">
            <x v="0"/>
            <x v="1"/>
          </reference>
        </references>
      </pivotArea>
    </format>
    <format dxfId="10263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2">
            <x v="0"/>
            <x v="1"/>
          </reference>
        </references>
      </pivotArea>
    </format>
    <format dxfId="10262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3">
            <x v="0"/>
            <x v="1"/>
            <x v="2"/>
          </reference>
        </references>
      </pivotArea>
    </format>
    <format dxfId="10261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>
            <x v="0"/>
          </reference>
        </references>
      </pivotArea>
    </format>
    <format dxfId="1026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2">
            <x v="1"/>
            <x v="2"/>
          </reference>
        </references>
      </pivotArea>
    </format>
    <format dxfId="1025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025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7"/>
          </reference>
          <reference field="30" count="1">
            <x v="2"/>
          </reference>
        </references>
      </pivotArea>
    </format>
    <format dxfId="10257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3">
            <x v="0"/>
            <x v="1"/>
            <x v="2"/>
          </reference>
        </references>
      </pivotArea>
    </format>
    <format dxfId="10256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0"/>
          </reference>
        </references>
      </pivotArea>
    </format>
    <format dxfId="10255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2">
            <x v="8"/>
            <x v="9"/>
          </reference>
        </references>
      </pivotArea>
    </format>
    <format dxfId="10254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>
            <x v="0"/>
          </reference>
        </references>
      </pivotArea>
    </format>
    <format dxfId="10253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0252">
      <pivotArea dataOnly="0" labelOnly="1" outline="0" fieldPosition="0">
        <references count="6">
          <reference field="25" count="0" selected="0"/>
          <reference field="26" count="1" selected="0">
            <x v="12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0251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250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249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1"/>
          </reference>
        </references>
      </pivotArea>
    </format>
    <format dxfId="10248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0"/>
          </reference>
        </references>
      </pivotArea>
    </format>
    <format dxfId="10247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>
            <x v="1"/>
          </reference>
        </references>
      </pivotArea>
    </format>
    <format dxfId="10246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0"/>
          </reference>
        </references>
      </pivotArea>
    </format>
    <format dxfId="1024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0"/>
          </reference>
        </references>
      </pivotArea>
    </format>
    <format dxfId="1024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1"/>
          </reference>
        </references>
      </pivotArea>
    </format>
    <format dxfId="1024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0"/>
          </reference>
        </references>
      </pivotArea>
    </format>
    <format dxfId="10242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0241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024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5">
            <x v="1"/>
            <x v="2"/>
            <x v="3"/>
            <x v="4"/>
            <x v="5"/>
          </reference>
        </references>
      </pivotArea>
    </format>
    <format dxfId="1023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>
            <x v="1"/>
          </reference>
        </references>
      </pivotArea>
    </format>
    <format dxfId="1023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2"/>
          </reference>
        </references>
      </pivotArea>
    </format>
    <format dxfId="1023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>
            <x v="1"/>
          </reference>
        </references>
      </pivotArea>
    </format>
    <format dxfId="1023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2">
            <x v="0"/>
            <x v="1"/>
          </reference>
        </references>
      </pivotArea>
    </format>
    <format dxfId="1023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7"/>
          </reference>
        </references>
      </pivotArea>
    </format>
    <format dxfId="1023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0233">
      <pivotArea dataOnly="0" labelOnly="1" outline="0" fieldPosition="0">
        <references count="6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32">
      <pivotArea dataOnly="0" labelOnly="1" outline="0" fieldPosition="0">
        <references count="6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231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3">
            <x v="1"/>
            <x v="2"/>
            <x v="3"/>
          </reference>
        </references>
      </pivotArea>
    </format>
    <format dxfId="1023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3"/>
          </reference>
        </references>
      </pivotArea>
    </format>
    <format dxfId="10229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022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022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>
            <x v="1"/>
          </reference>
        </references>
      </pivotArea>
    </format>
    <format dxfId="10226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0225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022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022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2">
            <x v="0"/>
            <x v="1"/>
          </reference>
        </references>
      </pivotArea>
    </format>
    <format dxfId="1022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4">
            <x v="0"/>
            <x v="1"/>
            <x v="3"/>
            <x v="4"/>
          </reference>
        </references>
      </pivotArea>
    </format>
    <format dxfId="10221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220">
      <pivotArea dataOnly="0" labelOnly="1" outline="0" fieldPosition="0">
        <references count="6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1"/>
          </reference>
        </references>
      </pivotArea>
    </format>
    <format dxfId="10219">
      <pivotArea dataOnly="0" labelOnly="1" outline="0" fieldPosition="0">
        <references count="6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0218">
      <pivotArea dataOnly="0" labelOnly="1" outline="0" fieldPosition="0">
        <references count="6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17">
      <pivotArea dataOnly="0" labelOnly="1" outline="0" fieldPosition="0">
        <references count="6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0216">
      <pivotArea dataOnly="0" labelOnly="1" outline="0" fieldPosition="0">
        <references count="6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1"/>
          </reference>
        </references>
      </pivotArea>
    </format>
    <format dxfId="10215">
      <pivotArea dataOnly="0" labelOnly="1" outline="0" fieldPosition="0">
        <references count="6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0"/>
          </reference>
        </references>
      </pivotArea>
    </format>
    <format dxfId="1021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1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0"/>
          </reference>
        </references>
      </pivotArea>
    </format>
    <format dxfId="1021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21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1"/>
            <x v="2"/>
            <x v="3"/>
            <x v="4"/>
          </reference>
        </references>
      </pivotArea>
    </format>
    <format dxfId="1021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2">
            <x v="1"/>
            <x v="2"/>
          </reference>
        </references>
      </pivotArea>
    </format>
    <format dxfId="1020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20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3">
            <x v="0"/>
            <x v="1"/>
            <x v="2"/>
          </reference>
        </references>
      </pivotArea>
    </format>
    <format dxfId="1020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20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20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20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20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20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20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20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19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198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197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196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195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194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193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192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19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2"/>
          </reference>
        </references>
      </pivotArea>
    </format>
    <format dxfId="1019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18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18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2">
            <x v="0"/>
            <x v="2"/>
          </reference>
        </references>
      </pivotArea>
    </format>
    <format dxfId="1018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18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18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184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18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18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18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2">
            <x v="1"/>
            <x v="2"/>
          </reference>
        </references>
      </pivotArea>
    </format>
    <format dxfId="1018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2">
            <x v="0"/>
            <x v="1"/>
          </reference>
        </references>
      </pivotArea>
    </format>
    <format dxfId="1017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31"/>
          </reference>
          <reference field="30" count="1">
            <x v="1"/>
          </reference>
        </references>
      </pivotArea>
    </format>
    <format dxfId="10178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0"/>
          </reference>
        </references>
      </pivotArea>
    </format>
    <format dxfId="10177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176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175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174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173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3">
            <x v="1"/>
            <x v="2"/>
            <x v="3"/>
          </reference>
        </references>
      </pivotArea>
    </format>
    <format dxfId="10172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17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2">
            <x v="2"/>
            <x v="3"/>
          </reference>
        </references>
      </pivotArea>
    </format>
    <format dxfId="1017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1"/>
            <x v="2"/>
            <x v="3"/>
            <x v="4"/>
          </reference>
        </references>
      </pivotArea>
    </format>
    <format dxfId="1016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4">
            <x v="0"/>
            <x v="1"/>
            <x v="2"/>
            <x v="3"/>
          </reference>
        </references>
      </pivotArea>
    </format>
    <format dxfId="10168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167">
      <pivotArea dataOnly="0" labelOnly="1" outline="0" fieldPosition="0">
        <references count="2">
          <reference field="25" count="0" selected="0"/>
          <reference field="26" count="5">
            <x v="50"/>
            <x v="51"/>
            <x v="52"/>
            <x v="53"/>
            <x v="54"/>
          </reference>
        </references>
      </pivotArea>
    </format>
    <format dxfId="10166">
      <pivotArea field="29" type="button" dataOnly="0" labelOnly="1" outline="0" axis="axisRow" fieldPosition="4"/>
    </format>
    <format dxfId="10165">
      <pivotArea field="30" type="button" dataOnly="0" labelOnly="1" outline="0" axis="axisRow" fieldPosition="5"/>
    </format>
    <format dxfId="10164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0163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0162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0161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0160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0159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0158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0157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0156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0155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0154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0153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0152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0151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0150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0149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0148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0147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0146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0145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0144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0143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0142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0141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0140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0139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0138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0137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0136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0135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0134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0133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0132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0131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0130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0129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0128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0127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0126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0125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0124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0123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0122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0121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0120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0119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0118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0117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011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011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011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0113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011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011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011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010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010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0107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010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010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0104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0103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0102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0101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0100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9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009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009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09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09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009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009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009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0091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009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008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008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008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0086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085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008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008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008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0081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0080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007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07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007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7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007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007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007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07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07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007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06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6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06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06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006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006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006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06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06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006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05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058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57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005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005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05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05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05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05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5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04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04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004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4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04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044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004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04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4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04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03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003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03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3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003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03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03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03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003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03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29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02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002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002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025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02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002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002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02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02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0019">
      <pivotArea field="26" type="button" dataOnly="0" labelOnly="1" outline="0" axis="axisRow" fieldPosition="1"/>
    </format>
    <format dxfId="10018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10017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10016">
      <pivotArea field="33" type="button" dataOnly="0" labelOnly="1" outline="0" axis="axisRow" fieldPosition="8"/>
    </format>
    <format dxfId="10015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0014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0013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0012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001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001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000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000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000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000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000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000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000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000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0001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0000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999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999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999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999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999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999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999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999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9991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9990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9989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9988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998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998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998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998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998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998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998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998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997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997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997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997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997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997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997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9972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9971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9970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9969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9968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9967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996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996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996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9963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996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996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996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995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9958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995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995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9955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9954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9953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995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995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995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994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9948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9947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9946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9945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9944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9943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9942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9941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9940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9939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9938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9937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9936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9935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9934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9933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9932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9931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9930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9929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9928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9927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9926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9925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9924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9923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992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992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992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991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991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991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991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991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991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991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991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991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991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990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990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990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9906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9905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9904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9903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9902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9901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9900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9899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9898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9897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9896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9895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9894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9893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989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989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989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988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988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988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9886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9885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9884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9883">
      <pivotArea field="36" type="button" dataOnly="0" labelOnly="1" outline="0" axis="axisRow" fieldPosition="11"/>
    </format>
    <format dxfId="988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88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988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987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987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987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87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987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987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987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987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987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987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986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86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86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986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986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986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86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86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86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986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985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985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985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985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85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85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85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85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985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985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984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984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84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984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984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984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984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984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984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984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83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983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983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983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983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9834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983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983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9831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983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82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82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82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82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982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982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82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982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982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982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981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981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981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981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981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9814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9813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981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981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981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980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980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980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980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980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980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980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980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980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980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979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97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979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979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979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979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979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979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979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979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978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978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978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978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978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978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978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978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978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978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977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77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77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9776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977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977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77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77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977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977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976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976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9767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76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76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9764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976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76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976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9760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975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75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75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75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75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975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975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75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975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75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974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974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974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974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974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974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974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974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974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974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973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73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73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73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73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973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73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973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973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73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972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972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972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9726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972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72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72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72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72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972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971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971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71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971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971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71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971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971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971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971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970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970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970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970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970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70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970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9702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970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70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69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69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69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969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69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969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69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969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69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969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968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9688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687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968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9685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968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968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968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968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968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9679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67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967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676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967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9674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67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967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67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67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66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66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66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966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66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66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966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966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966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966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65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965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965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965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965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965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965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965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65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65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64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64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964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964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64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64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64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964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64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964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963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63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963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963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963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63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963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963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963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963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962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962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962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962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62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962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962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62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62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962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61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961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61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961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9615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61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961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61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61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961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960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60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960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960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960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60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960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602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960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60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59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59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59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959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959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59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59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959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59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959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958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958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958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958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958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58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958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58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958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958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957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957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57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957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957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957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957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957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57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9570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56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956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956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956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956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956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956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956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956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956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559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55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955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55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955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955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955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955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955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9550">
      <pivotArea field="37" type="button" dataOnly="0" labelOnly="1" outline="0" axis="axisRow" fieldPosition="12"/>
    </format>
    <format dxfId="954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954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954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954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54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954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954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954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954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954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9539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9538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537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9536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953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53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53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953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953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953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952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952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952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952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952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52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9523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9522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952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52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951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51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951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951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951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951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951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951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951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951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950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950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950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950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950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950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950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950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9501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9500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9499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949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949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9496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949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49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49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949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49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949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948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948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948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948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948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948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948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482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48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948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79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947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47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47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47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947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947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7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947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7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946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6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946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6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946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946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946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46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946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946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59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945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945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45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45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945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945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5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945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9450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9449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9448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9447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9446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9445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9444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43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9442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9441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9440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3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943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9437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943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943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9434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3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43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43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43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942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942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942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942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942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942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942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942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942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942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941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41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41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941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941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941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941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941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941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941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940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940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940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940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940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940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9403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9402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940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9400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939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39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939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939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9395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9394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939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39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39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39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938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938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938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938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938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938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383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938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38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938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937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9378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937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937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937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9374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937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937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937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937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936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936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936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936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936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936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936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936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936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936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9359">
      <pivotArea type="all" dataOnly="0" outline="0" fieldPosition="0"/>
    </format>
    <format dxfId="9358">
      <pivotArea outline="0" collapsedLevelsAreSubtotals="1" fieldPosition="0"/>
    </format>
    <format dxfId="9357">
      <pivotArea field="25" type="button" dataOnly="0" labelOnly="1" outline="0" axis="axisRow" fieldPosition="0"/>
    </format>
    <format dxfId="9356">
      <pivotArea field="26" type="button" dataOnly="0" labelOnly="1" outline="0" axis="axisRow" fieldPosition="1"/>
    </format>
    <format dxfId="9355">
      <pivotArea field="27" type="button" dataOnly="0" labelOnly="1" outline="0" axis="axisRow" fieldPosition="2"/>
    </format>
    <format dxfId="9354">
      <pivotArea field="28" type="button" dataOnly="0" labelOnly="1" outline="0" axis="axisRow" fieldPosition="3"/>
    </format>
    <format dxfId="9353">
      <pivotArea field="29" type="button" dataOnly="0" labelOnly="1" outline="0" axis="axisRow" fieldPosition="4"/>
    </format>
    <format dxfId="9352">
      <pivotArea field="30" type="button" dataOnly="0" labelOnly="1" outline="0" axis="axisRow" fieldPosition="5"/>
    </format>
    <format dxfId="9351">
      <pivotArea field="31" type="button" dataOnly="0" labelOnly="1" outline="0" axis="axisRow" fieldPosition="6"/>
    </format>
    <format dxfId="9350">
      <pivotArea field="32" type="button" dataOnly="0" labelOnly="1" outline="0" axis="axisRow" fieldPosition="7"/>
    </format>
    <format dxfId="9349">
      <pivotArea field="33" type="button" dataOnly="0" labelOnly="1" outline="0" axis="axisRow" fieldPosition="8"/>
    </format>
    <format dxfId="9348">
      <pivotArea field="34" type="button" dataOnly="0" labelOnly="1" outline="0" axis="axisRow" fieldPosition="9"/>
    </format>
    <format dxfId="9347">
      <pivotArea field="35" type="button" dataOnly="0" labelOnly="1" outline="0" axis="axisRow" fieldPosition="10"/>
    </format>
    <format dxfId="9346">
      <pivotArea field="36" type="button" dataOnly="0" labelOnly="1" outline="0" axis="axisRow" fieldPosition="11"/>
    </format>
    <format dxfId="9345">
      <pivotArea field="37" type="button" dataOnly="0" labelOnly="1" outline="0" axis="axisRow" fieldPosition="12"/>
    </format>
    <format dxfId="9344">
      <pivotArea field="38" type="button" dataOnly="0" labelOnly="1" outline="0" axis="axisRow" fieldPosition="13"/>
    </format>
    <format dxfId="9343">
      <pivotArea field="39" type="button" dataOnly="0" labelOnly="1" outline="0" axis="axisRow" fieldPosition="14"/>
    </format>
    <format dxfId="9342">
      <pivotArea dataOnly="0" labelOnly="1" outline="0" fieldPosition="0">
        <references count="1">
          <reference field="25" count="0"/>
        </references>
      </pivotArea>
    </format>
    <format dxfId="9341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9340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9339">
      <pivotArea dataOnly="0" labelOnly="1" outline="0" fieldPosition="0">
        <references count="3">
          <reference field="25" count="0" selected="0"/>
          <reference field="26" count="1" selected="0">
            <x v="0"/>
          </reference>
          <reference field="27" count="0"/>
        </references>
      </pivotArea>
    </format>
    <format dxfId="9338">
      <pivotArea dataOnly="0" labelOnly="1" outline="0" fieldPosition="0">
        <references count="4">
          <reference field="25" count="0" selected="0"/>
          <reference field="26" count="1" selected="0">
            <x v="0"/>
          </reference>
          <reference field="27" count="0" selected="0"/>
          <reference field="28" count="0"/>
        </references>
      </pivotArea>
    </format>
    <format dxfId="9337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9336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9335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9334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9333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9332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9331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9330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9329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9328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9327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9326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9325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9324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9323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9322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9321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9320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9319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9318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9317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9316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9315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9314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9313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9312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9311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9310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9309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9308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9307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9306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9305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9304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9303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9302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9301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9300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9299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9298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9297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9296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9295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9294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9293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9292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9291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9290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928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928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928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928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928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928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928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928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928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928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27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927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9277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927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927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927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927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7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927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927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926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926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926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926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926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926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9263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926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926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926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925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58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925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925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925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925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9253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925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25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925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4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924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924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924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4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24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924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24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4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24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3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923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923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923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923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23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923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923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23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3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922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922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22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922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922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22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2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22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2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922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1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21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1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921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21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1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21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921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921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21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0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920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0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20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920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920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20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02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920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920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919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19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19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919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919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919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19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9192">
      <pivotArea dataOnly="0" labelOnly="1" outline="0" fieldPosition="0">
        <references count="7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/>
        </references>
      </pivotArea>
    </format>
    <format dxfId="9191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9190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9189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9188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9187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918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9185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9184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9183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9182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9181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918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917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917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9177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917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917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917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917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917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917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917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916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916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916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916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916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916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916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916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916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916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915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9158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9157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9156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9155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9154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9153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915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915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915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914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914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914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914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914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914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914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914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914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914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913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9138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9137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9136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9135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9134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9133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9132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9131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9130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912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912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912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9126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912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912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912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912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912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912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911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911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911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911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911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911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911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911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911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911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910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910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910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910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910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910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910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910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910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910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909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909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909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909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909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909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909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909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909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909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908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9088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9087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9086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9085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9084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9083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9082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908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9080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9079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9078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9077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9076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9075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9074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9073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9072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9071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9070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9069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9068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906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906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906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906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906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906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906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906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905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905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905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905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905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905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905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905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905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905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904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904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904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904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904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904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904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904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904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904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903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903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903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903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9035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9034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9033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903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903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903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902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902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902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902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902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902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902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902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902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902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901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901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901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901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901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901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901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901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9011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9010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900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900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900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900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900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900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900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900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900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900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899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899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899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899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8995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8994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8993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8992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8991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8990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8989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8988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8987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8986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8985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8984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8983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8982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8981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8980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8979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897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897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897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8975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8974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8973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8972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8971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8970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8969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8968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896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896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896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896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896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896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896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896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895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895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895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895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895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895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895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895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895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895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894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894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894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894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894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894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894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894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894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894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893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893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893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893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893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893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893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893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893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893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892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892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892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892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892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892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892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892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892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892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891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8918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8917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8916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8915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891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891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8912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8911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8910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8909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8908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8907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8906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8905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8904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8903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890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890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890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889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889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889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889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889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889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889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889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889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889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8889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8888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8887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8886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8885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888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888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888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888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888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887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887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887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887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887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887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887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887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887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887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886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886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886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886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886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886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886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886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886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886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885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885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885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885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885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885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885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885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885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885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884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884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884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884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884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884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8843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8842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8841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8840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8839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883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883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883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883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883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883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883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883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883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882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882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8827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882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8825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8824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8823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882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882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882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881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8818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8817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8816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8815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8814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881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881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881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881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880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880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880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880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880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880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8803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8802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880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880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879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879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879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879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879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879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8793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8792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8791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8790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878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878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878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878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878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878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878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878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878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878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877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877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877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877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8775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8774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877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8772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8771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8770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8769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8768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876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876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876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876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876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876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876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876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8759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875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875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8756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8755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875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875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875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875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875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874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8748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8747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8746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8745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8744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8743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8742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8741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8740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8739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8738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8737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8736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8735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8734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8733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8732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8731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8730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8729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8728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8727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8726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8725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872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872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872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872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872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871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871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871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871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871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871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871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871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871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871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870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870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870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8706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8705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8704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8703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8702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8701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870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869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8698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8697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8696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8695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869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869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869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869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869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868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8688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8687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8686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8685">
      <pivotArea dataOnly="0" labelOnly="1" outline="0" fieldPosition="0">
        <references count="10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/>
        </references>
      </pivotArea>
    </format>
    <format dxfId="8684">
      <pivotArea dataOnly="0" labelOnly="1" outline="0" fieldPosition="0">
        <references count="11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/>
        </references>
      </pivotArea>
    </format>
    <format dxfId="868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68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868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868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867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867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67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867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867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867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867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867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867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867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66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66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866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866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866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66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66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66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866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866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865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865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865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65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65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65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65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865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865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865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864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64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864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864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864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864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864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864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864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64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863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863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863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863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863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8634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863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863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863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63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62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62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62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862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862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62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862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862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862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862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861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861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8617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861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861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8614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861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861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861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861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860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860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860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860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860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860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860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860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860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860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859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85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859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859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859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859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859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859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859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859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858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858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858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858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858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858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858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858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858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858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57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57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857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857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857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57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57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857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857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857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856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856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567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56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856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856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56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856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856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856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55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55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55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55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855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855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55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855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55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855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854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854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854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854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854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854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854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854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854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854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53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53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53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53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853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53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853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853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53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853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852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852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852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852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52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52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52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52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852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852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851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51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851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851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51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851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851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851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851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851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850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850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850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850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50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8504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850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850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50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50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49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49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849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49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849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49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849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49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849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849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8489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488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8487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848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848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848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848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848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848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8480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479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847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47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847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847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47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847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47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47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47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46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46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846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46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46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846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846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846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846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46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845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845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845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845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845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845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845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45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45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45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44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844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844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44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44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44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844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44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844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844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43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843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843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843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43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843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843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843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843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843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842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842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842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42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842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842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42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42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842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42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841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418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841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841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41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841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41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41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841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841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40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840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840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840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40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840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40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840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40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40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39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39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839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839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39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39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839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39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839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839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838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838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838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838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38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838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38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838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838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838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837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37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837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837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837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837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837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37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837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37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836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836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836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836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836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836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836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836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836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360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35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835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35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835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835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835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835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835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835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835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834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834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34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834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834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834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834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8342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834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834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339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8338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833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33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33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833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833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833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833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833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832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832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832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32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8325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8324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832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32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832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32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831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831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831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831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831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831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831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831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831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831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830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830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830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830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830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830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8303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8302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8301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8300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829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829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829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29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29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829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29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829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829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829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828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828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828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828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8285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28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283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828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8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828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27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27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27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827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827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7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827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7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827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7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826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6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826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826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826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26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826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8262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6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826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825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25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25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825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825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5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825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8252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8251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8250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8249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8248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8247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8246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45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8244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8243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8242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4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824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823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8238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823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823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3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23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23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23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823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823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822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822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822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822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822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822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822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822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822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22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21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821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821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821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821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821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821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821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821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821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820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820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820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820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8205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8204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8203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8202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820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20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819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819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8197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8196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819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19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19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19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819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819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818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818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818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818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18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818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18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818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818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818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817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817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817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817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817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817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817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817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817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817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816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816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816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816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816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816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816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816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8161">
      <pivotArea dataOnly="0" labelOnly="1" outline="0" fieldPosition="0">
        <references count="14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/>
        </references>
      </pivotArea>
    </format>
    <format dxfId="816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15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815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7"/>
          </reference>
        </references>
      </pivotArea>
    </format>
    <format dxfId="815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8"/>
          </reference>
        </references>
      </pivotArea>
    </format>
    <format dxfId="815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815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815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15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15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15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15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14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14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7"/>
          </reference>
          <reference field="37" count="1" selected="0">
            <x v="1"/>
          </reference>
          <reference field="38" count="0" selected="0"/>
          <reference field="39" count="1">
            <x v="85"/>
          </reference>
        </references>
      </pivotArea>
    </format>
    <format dxfId="814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814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814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814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814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144"/>
          </reference>
        </references>
      </pivotArea>
    </format>
    <format dxfId="814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814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9"/>
          </reference>
        </references>
      </pivotArea>
    </format>
    <format dxfId="814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1"/>
          </reference>
          <reference field="38" count="0" selected="0"/>
          <reference field="39" count="1">
            <x v="113"/>
          </reference>
        </references>
      </pivotArea>
    </format>
    <format dxfId="813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1"/>
          </reference>
          <reference field="38" count="0" selected="0"/>
          <reference field="39" count="1">
            <x v="158"/>
          </reference>
        </references>
      </pivotArea>
    </format>
    <format dxfId="813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 selected="0">
            <x v="13"/>
          </reference>
          <reference field="38" count="0" selected="0"/>
          <reference field="39" count="1">
            <x v="193"/>
          </reference>
        </references>
      </pivotArea>
    </format>
    <format dxfId="8137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8"/>
          </reference>
        </references>
      </pivotArea>
    </format>
    <format dxfId="8136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2"/>
          </reference>
          <reference field="38" count="0" selected="0"/>
          <reference field="39" count="1">
            <x v="172"/>
          </reference>
        </references>
      </pivotArea>
    </format>
    <format dxfId="8135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134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133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132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131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130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129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7"/>
          </reference>
          <reference field="37" count="1" selected="0">
            <x v="1"/>
          </reference>
          <reference field="38" count="0" selected="0"/>
          <reference field="39" count="1">
            <x v="108"/>
          </reference>
        </references>
      </pivotArea>
    </format>
    <format dxfId="812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71"/>
          </reference>
        </references>
      </pivotArea>
    </format>
    <format dxfId="812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12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12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12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12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12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12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812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11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1"/>
          </reference>
          <reference field="38" count="0" selected="0"/>
          <reference field="39" count="1">
            <x v="152"/>
          </reference>
        </references>
      </pivotArea>
    </format>
    <format dxfId="811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11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811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2"/>
          </reference>
        </references>
      </pivotArea>
    </format>
    <format dxfId="811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811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811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811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811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11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10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10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10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10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10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10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10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810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2"/>
          </reference>
          <reference field="38" count="0" selected="0"/>
          <reference field="39" count="1">
            <x v="151"/>
          </reference>
        </references>
      </pivotArea>
    </format>
    <format dxfId="810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810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809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4"/>
          </reference>
        </references>
      </pivotArea>
    </format>
    <format dxfId="809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09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09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809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809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809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809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809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809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808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808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7"/>
          </reference>
        </references>
      </pivotArea>
    </format>
    <format dxfId="808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808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75"/>
          </reference>
        </references>
      </pivotArea>
    </format>
    <format dxfId="808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8084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8083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8082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8081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7"/>
          </reference>
        </references>
      </pivotArea>
    </format>
    <format dxfId="8080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8079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2"/>
          </reference>
          <reference field="37" count="1" selected="0">
            <x v="1"/>
          </reference>
          <reference field="38" count="0" selected="0"/>
          <reference field="39" count="1">
            <x v="156"/>
          </reference>
        </references>
      </pivotArea>
    </format>
    <format dxfId="8078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8"/>
          </reference>
          <reference field="37" count="1" selected="0">
            <x v="1"/>
          </reference>
          <reference field="38" count="0" selected="0"/>
          <reference field="39" count="1">
            <x v="42"/>
          </reference>
        </references>
      </pivotArea>
    </format>
    <format dxfId="8077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3"/>
          </reference>
          <reference field="37" count="1" selected="0">
            <x v="1"/>
          </reference>
          <reference field="38" count="0" selected="0"/>
          <reference field="39" count="1">
            <x v="13"/>
          </reference>
        </references>
      </pivotArea>
    </format>
    <format dxfId="8076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0"/>
          </reference>
        </references>
      </pivotArea>
    </format>
    <format dxfId="8075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6"/>
          </reference>
        </references>
      </pivotArea>
    </format>
    <format dxfId="8074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 selected="0">
            <x v="1"/>
          </reference>
          <reference field="38" count="0" selected="0"/>
          <reference field="39" count="1">
            <x v="6"/>
          </reference>
        </references>
      </pivotArea>
    </format>
    <format dxfId="8073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5"/>
          </reference>
        </references>
      </pivotArea>
    </format>
    <format dxfId="807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807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07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06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06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06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806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06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806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806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06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06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806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1"/>
          </reference>
        </references>
      </pivotArea>
    </format>
    <format dxfId="805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0"/>
          </reference>
        </references>
      </pivotArea>
    </format>
    <format dxfId="805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 selected="0">
            <x v="1"/>
          </reference>
          <reference field="38" count="0" selected="0"/>
          <reference field="39" count="1">
            <x v="51"/>
          </reference>
        </references>
      </pivotArea>
    </format>
    <format dxfId="805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805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805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805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805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805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805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805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8049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"/>
          </reference>
          <reference field="38" count="0" selected="0"/>
          <reference field="39" count="1">
            <x v="148"/>
          </reference>
        </references>
      </pivotArea>
    </format>
    <format dxfId="8048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1"/>
          </reference>
        </references>
      </pivotArea>
    </format>
    <format dxfId="8047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9"/>
          </reference>
        </references>
      </pivotArea>
    </format>
    <format dxfId="8046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45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44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43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42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41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40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39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38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37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8036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8035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8034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8033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8032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031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8030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8029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8028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8027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8026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0"/>
          </reference>
        </references>
      </pivotArea>
    </format>
    <format dxfId="802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1"/>
          </reference>
          <reference field="38" count="0" selected="0"/>
          <reference field="39" count="1">
            <x v="17"/>
          </reference>
        </references>
      </pivotArea>
    </format>
    <format dxfId="802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 selected="0">
            <x v="1"/>
          </reference>
          <reference field="38" count="0" selected="0"/>
          <reference field="39" count="1">
            <x v="91"/>
          </reference>
        </references>
      </pivotArea>
    </format>
    <format dxfId="802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32"/>
          </reference>
        </references>
      </pivotArea>
    </format>
    <format dxfId="802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6"/>
          </reference>
          <reference field="37" count="1" selected="0">
            <x v="1"/>
          </reference>
          <reference field="38" count="0" selected="0"/>
          <reference field="39" count="1">
            <x v="169"/>
          </reference>
        </references>
      </pivotArea>
    </format>
    <format dxfId="802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802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 selected="0">
            <x v="1"/>
          </reference>
          <reference field="38" count="0" selected="0"/>
          <reference field="39" count="1">
            <x v="161"/>
          </reference>
        </references>
      </pivotArea>
    </format>
    <format dxfId="801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2"/>
          </reference>
        </references>
      </pivotArea>
    </format>
    <format dxfId="801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77"/>
          </reference>
        </references>
      </pivotArea>
    </format>
    <format dxfId="801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9"/>
          </reference>
          <reference field="37" count="1" selected="0">
            <x v="1"/>
          </reference>
          <reference field="38" count="0" selected="0"/>
          <reference field="39" count="1">
            <x v="75"/>
          </reference>
        </references>
      </pivotArea>
    </format>
    <format dxfId="801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0"/>
          </reference>
          <reference field="37" count="1" selected="0">
            <x v="1"/>
          </reference>
          <reference field="38" count="0" selected="0"/>
          <reference field="39" count="1">
            <x v="69"/>
          </reference>
        </references>
      </pivotArea>
    </format>
    <format dxfId="801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1"/>
          </reference>
          <reference field="38" count="0" selected="0"/>
          <reference field="39" count="1">
            <x v="73"/>
          </reference>
        </references>
      </pivotArea>
    </format>
    <format dxfId="801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2"/>
          </reference>
          <reference field="37" count="1" selected="0">
            <x v="1"/>
          </reference>
          <reference field="38" count="0" selected="0"/>
          <reference field="39" count="1">
            <x v="70"/>
          </reference>
        </references>
      </pivotArea>
    </format>
    <format dxfId="801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3"/>
          </reference>
          <reference field="37" count="1" selected="0">
            <x v="1"/>
          </reference>
          <reference field="38" count="0" selected="0"/>
          <reference field="39" count="1">
            <x v="76"/>
          </reference>
        </references>
      </pivotArea>
    </format>
    <format dxfId="801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4"/>
          </reference>
          <reference field="37" count="1" selected="0">
            <x v="1"/>
          </reference>
          <reference field="38" count="0" selected="0"/>
          <reference field="39" count="1">
            <x v="81"/>
          </reference>
        </references>
      </pivotArea>
    </format>
    <format dxfId="801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5"/>
          </reference>
          <reference field="37" count="1" selected="0">
            <x v="1"/>
          </reference>
          <reference field="38" count="0" selected="0"/>
          <reference field="39" count="1">
            <x v="71"/>
          </reference>
        </references>
      </pivotArea>
    </format>
    <format dxfId="801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6"/>
          </reference>
          <reference field="37" count="1" selected="0">
            <x v="1"/>
          </reference>
          <reference field="38" count="0" selected="0"/>
          <reference field="39" count="1">
            <x v="34"/>
          </reference>
        </references>
      </pivotArea>
    </format>
    <format dxfId="800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7"/>
          </reference>
          <reference field="37" count="1" selected="0">
            <x v="1"/>
          </reference>
          <reference field="38" count="0" selected="0"/>
          <reference field="39" count="1">
            <x v="74"/>
          </reference>
        </references>
      </pivotArea>
    </format>
    <format dxfId="800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8"/>
          </reference>
          <reference field="37" count="1" selected="0">
            <x v="1"/>
          </reference>
          <reference field="38" count="0" selected="0"/>
          <reference field="39" count="1">
            <x v="78"/>
          </reference>
        </references>
      </pivotArea>
    </format>
    <format dxfId="800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2"/>
          </reference>
          <reference field="38" count="0" selected="0"/>
          <reference field="39" count="1">
            <x v="72"/>
          </reference>
        </references>
      </pivotArea>
    </format>
    <format dxfId="800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136"/>
          </reference>
        </references>
      </pivotArea>
    </format>
    <format dxfId="800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1"/>
          </reference>
          <reference field="38" count="0" selected="0"/>
          <reference field="39" count="1">
            <x v="92"/>
          </reference>
        </references>
      </pivotArea>
    </format>
    <format dxfId="800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2"/>
          </reference>
          <reference field="38" count="0" selected="0"/>
          <reference field="39" count="1">
            <x v="80"/>
          </reference>
        </references>
      </pivotArea>
    </format>
    <format dxfId="800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3"/>
          </reference>
          <reference field="38" count="0" selected="0"/>
          <reference field="39" count="1">
            <x v="79"/>
          </reference>
        </references>
      </pivotArea>
    </format>
    <format dxfId="800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800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800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 selected="0">
            <x v="31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 selected="0">
            <x v="317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 selected="0">
            <x v="31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 selected="0">
            <x v="315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 selected="0">
            <x v="316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 selected="0">
            <x v="31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99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 selected="0">
            <x v="1"/>
          </reference>
          <reference field="38" count="0" selected="0"/>
          <reference field="39" count="1">
            <x v="12"/>
          </reference>
        </references>
      </pivotArea>
    </format>
    <format dxfId="799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798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798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798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798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 selected="0">
            <x v="1"/>
          </reference>
          <reference field="38" count="0" selected="0"/>
          <reference field="39" count="1">
            <x v="93"/>
          </reference>
        </references>
      </pivotArea>
    </format>
    <format dxfId="798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2"/>
          </reference>
          <reference field="38" count="0" selected="0"/>
          <reference field="39" count="1">
            <x v="95"/>
          </reference>
        </references>
      </pivotArea>
    </format>
    <format dxfId="798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 selected="0">
            <x v="1"/>
          </reference>
          <reference field="38" count="0" selected="0"/>
          <reference field="39" count="1">
            <x v="33"/>
          </reference>
        </references>
      </pivotArea>
    </format>
    <format dxfId="798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1"/>
          </reference>
          <reference field="37" count="1" selected="0">
            <x v="1"/>
          </reference>
          <reference field="38" count="0" selected="0"/>
          <reference field="39" count="1">
            <x v="15"/>
          </reference>
        </references>
      </pivotArea>
    </format>
    <format dxfId="798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4"/>
          </reference>
        </references>
      </pivotArea>
    </format>
    <format dxfId="798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7980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7979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 selected="0">
            <x v="1"/>
          </reference>
          <reference field="38" count="0" selected="0"/>
          <reference field="39" count="1">
            <x v="45"/>
          </reference>
        </references>
      </pivotArea>
    </format>
    <format dxfId="7978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3"/>
          </reference>
        </references>
      </pivotArea>
    </format>
    <format dxfId="7977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7976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2"/>
          </reference>
        </references>
      </pivotArea>
    </format>
    <format dxfId="7975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0"/>
          </reference>
        </references>
      </pivotArea>
    </format>
    <format dxfId="7974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7973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5"/>
          </reference>
          <reference field="37" count="1" selected="0">
            <x v="1"/>
          </reference>
          <reference field="38" count="0" selected="0"/>
          <reference field="39" count="1">
            <x v="177"/>
          </reference>
        </references>
      </pivotArea>
    </format>
    <format dxfId="7972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7971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7"/>
          </reference>
        </references>
      </pivotArea>
    </format>
    <format dxfId="7970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8"/>
          </reference>
        </references>
      </pivotArea>
    </format>
    <format dxfId="7969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7968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1"/>
          </reference>
        </references>
      </pivotArea>
    </format>
    <format dxfId="7967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8"/>
          </reference>
        </references>
      </pivotArea>
    </format>
    <format dxfId="7966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7"/>
          </reference>
        </references>
      </pivotArea>
    </format>
    <format dxfId="7965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964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5"/>
          </reference>
        </references>
      </pivotArea>
    </format>
    <format dxfId="7963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796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96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96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95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95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95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95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95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95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95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95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795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3"/>
          </reference>
          <reference field="38" count="0" selected="0"/>
          <reference field="39" count="1">
            <x v="174"/>
          </reference>
        </references>
      </pivotArea>
    </format>
    <format dxfId="795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4"/>
          </reference>
          <reference field="38" count="0" selected="0"/>
          <reference field="39" count="1">
            <x v="50"/>
          </reference>
        </references>
      </pivotArea>
    </format>
    <format dxfId="794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3"/>
          </reference>
        </references>
      </pivotArea>
    </format>
    <format dxfId="794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794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794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1"/>
          </reference>
          <reference field="38" count="0" selected="0"/>
          <reference field="39" count="1">
            <x v="49"/>
          </reference>
        </references>
      </pivotArea>
    </format>
    <format dxfId="794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6"/>
          </reference>
        </references>
      </pivotArea>
    </format>
    <format dxfId="794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794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5"/>
          </reference>
          <reference field="38" count="0" selected="0"/>
          <reference field="39" count="1">
            <x v="47"/>
          </reference>
        </references>
      </pivotArea>
    </format>
    <format dxfId="794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2"/>
          </reference>
          <reference field="38" count="0" selected="0"/>
          <reference field="39" count="1">
            <x v="48"/>
          </reference>
        </references>
      </pivotArea>
    </format>
    <format dxfId="794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3"/>
          </reference>
        </references>
      </pivotArea>
    </format>
    <format dxfId="794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1"/>
          </reference>
          <reference field="38" count="0" selected="0"/>
          <reference field="39" count="1">
            <x v="40"/>
          </reference>
        </references>
      </pivotArea>
    </format>
    <format dxfId="793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2"/>
          </reference>
          <reference field="38" count="0" selected="0"/>
          <reference field="39" count="1">
            <x v="41"/>
          </reference>
        </references>
      </pivotArea>
    </format>
    <format dxfId="793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793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11"/>
          </reference>
        </references>
      </pivotArea>
    </format>
    <format dxfId="793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793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793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93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10"/>
          </reference>
        </references>
      </pivotArea>
    </format>
    <format dxfId="793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793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52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793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792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92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92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92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92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92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92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792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92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92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91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91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791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7"/>
          </reference>
        </references>
      </pivotArea>
    </format>
    <format dxfId="791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9"/>
          </reference>
        </references>
      </pivotArea>
    </format>
    <format dxfId="791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3"/>
          </reference>
        </references>
      </pivotArea>
    </format>
    <format dxfId="791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791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20"/>
          </reference>
        </references>
      </pivotArea>
    </format>
    <format dxfId="7912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7911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7910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7909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6"/>
          </reference>
        </references>
      </pivotArea>
    </format>
    <format dxfId="790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90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90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90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90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90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90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790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90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89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89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89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89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789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789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789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1"/>
          </reference>
          <reference field="37" count="1" selected="0">
            <x v="1"/>
          </reference>
          <reference field="38" count="0" selected="0"/>
          <reference field="39" count="1">
            <x v="96"/>
          </reference>
        </references>
      </pivotArea>
    </format>
    <format dxfId="789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789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789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788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788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788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788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788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788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788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4"/>
          </reference>
        </references>
      </pivotArea>
    </format>
    <format dxfId="788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788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9"/>
          </reference>
        </references>
      </pivotArea>
    </format>
    <format dxfId="788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87"/>
          </reference>
        </references>
      </pivotArea>
    </format>
    <format dxfId="787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5"/>
          </reference>
        </references>
      </pivotArea>
    </format>
    <format dxfId="787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787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87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7875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7874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7873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9"/>
          </reference>
          <reference field="38" count="0" selected="0"/>
          <reference field="39" count="1">
            <x v="153"/>
          </reference>
        </references>
      </pivotArea>
    </format>
    <format dxfId="787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87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87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86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86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86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86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786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86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86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86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86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786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785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785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85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8"/>
          </reference>
        </references>
      </pivotArea>
    </format>
    <format dxfId="785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785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8"/>
          </reference>
        </references>
      </pivotArea>
    </format>
    <format dxfId="785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785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7852">
      <pivotArea dataOnly="0" labelOnly="1" outline="0" fieldPosition="0">
        <references count="1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7851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7850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7849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7848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7847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7846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7845">
      <pivotArea dataOnly="0" labelOnly="1" outline="0" fieldPosition="0">
        <references count="1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7844">
      <pivotArea dataOnly="0" labelOnly="1" outline="0" fieldPosition="0">
        <references count="1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4"/>
          </reference>
        </references>
      </pivotArea>
    </format>
    <format dxfId="7843">
      <pivotArea dataOnly="0" labelOnly="1" outline="0" fieldPosition="0">
        <references count="15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7842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9"/>
          </reference>
        </references>
      </pivotArea>
    </format>
    <format dxfId="7841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7840">
      <pivotArea dataOnly="0" labelOnly="1" outline="0" fieldPosition="0">
        <references count="15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 selected="0">
            <x v="2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7839">
      <pivotArea dataOnly="0" labelOnly="1" outline="0" fieldPosition="0">
        <references count="1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6"/>
          </reference>
        </references>
      </pivotArea>
    </format>
    <format dxfId="7838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7837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7836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7835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7834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 selected="0">
            <x v="1"/>
          </reference>
          <reference field="38" count="0" selected="0"/>
          <reference field="39" count="1">
            <x v="3"/>
          </reference>
        </references>
      </pivotArea>
    </format>
    <format dxfId="783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832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831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83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782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87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782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86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7827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85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7826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7825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5"/>
          </reference>
        </references>
      </pivotArea>
    </format>
    <format dxfId="7824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1"/>
          </reference>
          <reference field="38" count="0" selected="0"/>
          <reference field="39" count="1">
            <x v="135"/>
          </reference>
        </references>
      </pivotArea>
    </format>
    <format dxfId="782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5"/>
          </reference>
        </references>
      </pivotArea>
    </format>
    <format dxfId="7822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7"/>
          </reference>
        </references>
      </pivotArea>
    </format>
    <format dxfId="7821">
      <pivotArea dataOnly="0" labelOnly="1" outline="0" fieldPosition="0">
        <references count="1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9"/>
          </reference>
        </references>
      </pivotArea>
    </format>
    <format dxfId="7820">
      <pivotArea dataOnly="0" labelOnly="1" outline="0" fieldPosition="0">
        <references count="1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5"/>
          </reference>
        </references>
      </pivotArea>
    </format>
    <format dxfId="7819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1"/>
          </reference>
        </references>
      </pivotArea>
    </format>
    <format dxfId="7818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1"/>
          </reference>
        </references>
      </pivotArea>
    </format>
    <format dxfId="7817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0"/>
          </reference>
        </references>
      </pivotArea>
    </format>
    <format dxfId="7816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3"/>
          </reference>
        </references>
      </pivotArea>
    </format>
    <format dxfId="7815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7814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7813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7812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7811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9"/>
          </reference>
        </references>
      </pivotArea>
    </format>
    <format dxfId="781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780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80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80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80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80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80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80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80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80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80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79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79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5"/>
          </reference>
        </references>
      </pivotArea>
    </format>
    <format dxfId="779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2"/>
          </reference>
        </references>
      </pivotArea>
    </format>
    <format dxfId="779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8"/>
          </reference>
        </references>
      </pivotArea>
    </format>
    <format dxfId="779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779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4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779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4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779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779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3"/>
          </reference>
          <reference field="38" count="0" selected="0"/>
          <reference field="39" count="1">
            <x v="83"/>
          </reference>
        </references>
      </pivotArea>
    </format>
    <format dxfId="779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78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7"/>
          </reference>
        </references>
      </pivotArea>
    </format>
    <format dxfId="778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2"/>
          </reference>
        </references>
      </pivotArea>
    </format>
    <format dxfId="778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778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6"/>
          </reference>
        </references>
      </pivotArea>
    </format>
    <format dxfId="778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 selected="0">
            <x v="3"/>
          </reference>
          <reference field="38" count="0" selected="0"/>
          <reference field="39" count="1">
            <x v="82"/>
          </reference>
        </references>
      </pivotArea>
    </format>
    <format dxfId="778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778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3"/>
          </reference>
          <reference field="38" count="0" selected="0"/>
          <reference field="39" count="1">
            <x v="191"/>
          </reference>
        </references>
      </pivotArea>
    </format>
    <format dxfId="778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4"/>
          </reference>
          <reference field="38" count="0" selected="0"/>
          <reference field="39" count="1">
            <x v="192"/>
          </reference>
        </references>
      </pivotArea>
    </format>
    <format dxfId="778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778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777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777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77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77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77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77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77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77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777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77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76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76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76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109"/>
          </reference>
        </references>
      </pivotArea>
    </format>
    <format dxfId="776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776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776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776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7"/>
          </reference>
        </references>
      </pivotArea>
    </format>
    <format dxfId="776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56"/>
          </reference>
        </references>
      </pivotArea>
    </format>
    <format dxfId="776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776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775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03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775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775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775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75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75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2">
            <x v="98"/>
            <x v="99"/>
          </reference>
        </references>
      </pivotArea>
    </format>
    <format dxfId="775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775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9"/>
          </reference>
        </references>
      </pivotArea>
    </format>
    <format dxfId="775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87"/>
          </reference>
          <reference field="37" count="1" selected="0">
            <x v="1"/>
          </reference>
          <reference field="38" count="0" selected="0"/>
          <reference field="39" count="1">
            <x v="16"/>
          </reference>
        </references>
      </pivotArea>
    </format>
    <format dxfId="775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7749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7748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7747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774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74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74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74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74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74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74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73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738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73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73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73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73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73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73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73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773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72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72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72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72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8"/>
          </reference>
        </references>
      </pivotArea>
    </format>
    <format dxfId="772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97"/>
          </reference>
        </references>
      </pivotArea>
    </format>
    <format dxfId="7724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100"/>
          </reference>
        </references>
      </pivotArea>
    </format>
    <format dxfId="7723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7722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1"/>
          </reference>
        </references>
      </pivotArea>
    </format>
    <format dxfId="7721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720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77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18">
      <pivotArea field="29" type="button" dataOnly="0" labelOnly="1" outline="0" axis="axisRow" fieldPosition="4"/>
    </format>
    <format dxfId="7717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7716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7715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7714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7713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7712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7711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7710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7709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7708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7707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7706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7705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7704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7703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7702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7701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7700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7699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7698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7697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7696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7695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7694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7693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7692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7691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7690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7689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7688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7687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7686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7685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7684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7683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7682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7681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7680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7679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7678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7677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7676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7675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7674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7673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7672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7671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7670">
      <pivotArea field="26" type="button" dataOnly="0" labelOnly="1" outline="0" axis="axisRow" fieldPosition="1"/>
    </format>
    <format dxfId="7669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7668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7667">
      <pivotArea field="30" type="button" dataOnly="0" labelOnly="1" outline="0" axis="axisRow" fieldPosition="5"/>
    </format>
    <format dxfId="7666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766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766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7663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7662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766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766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765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765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7657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765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65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7654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7653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7652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7651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7650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649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64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764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764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764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64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764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764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764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764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7639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763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763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7636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7635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634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763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763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7631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7630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7629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762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62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762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62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762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762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762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62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62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761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61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61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61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61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761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761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761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611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61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760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608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607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606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760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760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60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760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760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60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59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59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59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759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59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594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59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59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591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59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58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758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58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58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58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758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58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58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758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58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57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578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757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757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7575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574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57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757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757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57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569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7568">
      <pivotArea field="29" type="button" dataOnly="0" labelOnly="1" outline="0" axis="axisRow" fieldPosition="4"/>
    </format>
    <format dxfId="7567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7566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7565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7564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7563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7562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7561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7560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7559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7558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7557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7556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7555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7554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7553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7552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7551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7550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7549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7548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7547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7546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7545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7544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7543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7542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7541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7540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7539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7538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7537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7536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7535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7534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7533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7532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7531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7530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7529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7528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7527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7526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7525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7524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7523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7522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7521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7520">
      <pivotArea field="26" type="button" dataOnly="0" labelOnly="1" outline="0" axis="axisRow" fieldPosition="1"/>
    </format>
    <format dxfId="7519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7518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7517">
      <pivotArea field="30" type="button" dataOnly="0" labelOnly="1" outline="0" axis="axisRow" fieldPosition="5"/>
    </format>
    <format dxfId="7516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751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751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7513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7512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751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751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750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750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7507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7506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50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7504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7503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7502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7501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7500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499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9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749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749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749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49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749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749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749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7490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7489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748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748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7486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7485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484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7483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748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7481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7480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7479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747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47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747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7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747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747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747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47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47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746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46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6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46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46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746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7463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746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461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460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745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458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457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56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745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745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45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745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745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45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4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44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44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744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4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444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443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44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441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4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43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743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43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43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3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743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743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743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743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743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42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28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742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742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7425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7424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742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742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742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742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7419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7418">
      <pivotArea field="32" type="button" dataOnly="0" labelOnly="1" outline="0" axis="axisRow" fieldPosition="7"/>
    </format>
    <format dxfId="7417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741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7415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7414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7413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7412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7411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741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740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740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7407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7406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7405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7404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7403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740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740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740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739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739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739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739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739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739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739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739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739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739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738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738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738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738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738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7384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7383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7382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7381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7380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7379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737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737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737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737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737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737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737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737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737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736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736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736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736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736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7364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7363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7362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7361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7360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735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735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735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7356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7355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7354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7353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7352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735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735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734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734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734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734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734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734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734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734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734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734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733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733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733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733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733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733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733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733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733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733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732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732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732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732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732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732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732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732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732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732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731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731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731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731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731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7314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7313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7312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731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7310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7309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7308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7307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7306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7305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7304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7303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7302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7301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7300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7299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7298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7297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7296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7295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7294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729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729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729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729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728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728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728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728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728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728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728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728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728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728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727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727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727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727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727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727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727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727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727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727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726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726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726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726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726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726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726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726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7261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7260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7259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725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725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725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725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725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725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725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725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725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724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724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724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724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724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724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724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724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724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724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723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723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7237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7236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723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723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723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723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723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723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722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722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722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722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722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722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722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722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7221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7220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7219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7218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7217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7216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7215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7214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7213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7212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7211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7210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7209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720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720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720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7205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7204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7203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7202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7201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7200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7199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7198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7197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7196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7195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7194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719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719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719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719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718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718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718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718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718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718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718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718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718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718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717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717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717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717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717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717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717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717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717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717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716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716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716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716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716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716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716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716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716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716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715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715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715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715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715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715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715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715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715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715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714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714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714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714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714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714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714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7142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7141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7140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7139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7138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7137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7136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7135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7134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7133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7132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7131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7130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7129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712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712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712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712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712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712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712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712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712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711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711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711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711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7115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7114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7113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7112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7111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711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710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710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710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710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710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710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710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710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710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710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709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709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709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709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709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709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709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709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709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709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708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708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708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708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708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708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708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708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708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708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707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707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707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707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707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707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707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707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707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707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7069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7068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7067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7066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7065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706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706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706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706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706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705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705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705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705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705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705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7053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705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705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705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704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7048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7047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704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7045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7044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7043">
      <pivotArea field="33" type="button" dataOnly="0" labelOnly="1" outline="0" axis="axisRow" fieldPosition="8"/>
    </format>
    <format dxfId="7042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7041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7040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7039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703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703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703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703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703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703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703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703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703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702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7028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7027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702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702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702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702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702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702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702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701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7018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7017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7016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7015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701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701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701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701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701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700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700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700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700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700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700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700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700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700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7000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6999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6998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6997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6996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6995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6994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6993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6992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6991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6990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698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6988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6987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6986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6985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6984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6983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6982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6981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6980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697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6978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6977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6976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697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697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6973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6972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6971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6970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6969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6968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6967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6966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6965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6964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6963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6962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6961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6960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6959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6958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6957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6956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6955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6954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6953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6952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6951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6950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694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694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694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694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694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694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694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694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694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694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693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693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693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693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693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6934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6933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693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693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6930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6929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6928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6927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6926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6925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6924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692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692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6921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6920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691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691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691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691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691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691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6913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6912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6911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6910">
      <pivotArea field="33" type="button" dataOnly="0" labelOnly="1" outline="0" axis="axisRow" fieldPosition="8"/>
    </format>
    <format dxfId="6909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6908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6907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6906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690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690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690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690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690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690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689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689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689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689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6895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6894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689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689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689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689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688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688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688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688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6885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6884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6883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6882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688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688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687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687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687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687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687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687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687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687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687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687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686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686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6867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6866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6865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6864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6863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6862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6861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6860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6859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6858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685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6856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6855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6854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685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685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6851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6850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6849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6848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6847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>
            <x v="46"/>
          </reference>
        </references>
      </pivotArea>
    </format>
    <format dxfId="6846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>
            <x v="46"/>
          </reference>
        </references>
      </pivotArea>
    </format>
    <format dxfId="6845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>
            <x v="46"/>
          </reference>
        </references>
      </pivotArea>
    </format>
    <format dxfId="684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>
            <x v="46"/>
          </reference>
        </references>
      </pivotArea>
    </format>
    <format dxfId="684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>
            <x v="46"/>
          </reference>
        </references>
      </pivotArea>
    </format>
    <format dxfId="684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684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6840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6839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6838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6837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6836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6835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6834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6833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6832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6831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6830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6829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6828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6827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6826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6825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6824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6823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6822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6821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6820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6819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6818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6817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681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681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681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681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681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681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681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680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680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680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680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680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680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680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680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680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680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679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679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6797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6796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6795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6794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6793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679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679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679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678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6788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6787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678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678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678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678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678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678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6780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6779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6778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6777">
      <pivotArea field="36" type="button" dataOnly="0" labelOnly="1" outline="0" axis="axisRow" fieldPosition="11"/>
    </format>
    <format dxfId="677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77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677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77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677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77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77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676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76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676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76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676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6764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6763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762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76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676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675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675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75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75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75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675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675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675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675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675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74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74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74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74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674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674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674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674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74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674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673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673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673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673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673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673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73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673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731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6730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6729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672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6727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6726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6725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72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72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72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72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72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671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671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71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671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671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71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671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71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671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710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6709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6708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6707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6706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705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6704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670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70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70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670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669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66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669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669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669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669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669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669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669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669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668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668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668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668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668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668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668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668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668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668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667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667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667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667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667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67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6673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672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671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67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666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6668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66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66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666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666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663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6662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6661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660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659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658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6657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656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655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65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65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65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65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65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64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664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664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64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664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64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664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664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664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664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663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663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663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63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663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63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63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63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63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63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62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62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62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62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662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62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662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6622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621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620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61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61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61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61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61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61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661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61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61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61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660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60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60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60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60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60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60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660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60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60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659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59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597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596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659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59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59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59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59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59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58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658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58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58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58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658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58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582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581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6580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6579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6578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6577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576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57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657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6573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572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6571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570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6569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6568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56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656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56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56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56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56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56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656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55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55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655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55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655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55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55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55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655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55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654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54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54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54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54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54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54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54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54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654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53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53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53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53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53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653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53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53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653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53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652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52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52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652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652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652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52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652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652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652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51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651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651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51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515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514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51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651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511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510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6509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50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650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50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50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50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650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50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650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650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6499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498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497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49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49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49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49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49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49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649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648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48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48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648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48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48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48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48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48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48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647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47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47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47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647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647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647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647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47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647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46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646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6467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6466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465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46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46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646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46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46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645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45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45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45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645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45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453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45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645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45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44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44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644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644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44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444">
      <pivotArea field="37" type="button" dataOnly="0" labelOnly="1" outline="0" axis="axisRow" fieldPosition="12"/>
    </format>
    <format dxfId="644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644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644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644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43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643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643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643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643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6434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6433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6432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431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6430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642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42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42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642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642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642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642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642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642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642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641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41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6417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6416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6415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41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641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41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641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641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640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640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640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640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640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640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640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640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640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640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639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639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639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639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6395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6394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6393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6392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6391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6390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638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38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38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638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38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638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638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638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638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638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637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637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6377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376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375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6374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73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637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37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37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36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636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636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6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636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6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636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6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636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6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635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635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635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35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6355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635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5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635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635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35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34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634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634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4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634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6344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6343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6342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6341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6340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6339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6338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37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6336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6335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6334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33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6332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633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6330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6329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6328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2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32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32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32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632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632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632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632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631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631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631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631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631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631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631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31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31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631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630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630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630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630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630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630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630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630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630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630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629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629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6297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6296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6295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6294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6293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292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629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629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6289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6288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628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28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28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28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628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628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6281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6280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627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627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27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6276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275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627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627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627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6271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6270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626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626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626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626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626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626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626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626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626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626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625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625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625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625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625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625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6253">
      <pivotArea field="36" type="button" dataOnly="0" labelOnly="1" outline="0" axis="axisRow" fieldPosition="11"/>
    </format>
    <format dxfId="625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25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625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24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624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24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24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624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24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624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24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624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624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623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23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23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623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623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623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23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23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23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623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622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622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622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622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22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22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22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22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622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622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621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621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21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621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621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621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621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621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621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621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20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620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20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620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620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6204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620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620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6201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20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19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19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19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19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619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619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19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619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619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19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618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18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618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18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618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6184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6183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618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18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618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617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17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17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617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617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617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617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617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617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617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616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616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616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616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616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616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616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616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616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616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615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615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615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615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615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615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615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615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615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15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614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14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14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146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614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614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14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14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614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614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13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613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6137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13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13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134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613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13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13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130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12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12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12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12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12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612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612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12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612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12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611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611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611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611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611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611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611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11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611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11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610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10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10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10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10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10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10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10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610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10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609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609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09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096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09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09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09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09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09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09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608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08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08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08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608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08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08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08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08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08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07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607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07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07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607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07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07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6072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607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07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06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06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06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06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06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606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06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06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06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606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05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058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057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605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6055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605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605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605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05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605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6049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04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604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046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604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6044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04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604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04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04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03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03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03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603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03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03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603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603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603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03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02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602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602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02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602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602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602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602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602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602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601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601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601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601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01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601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601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601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601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601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600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600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600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600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600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600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600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600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600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600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99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99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599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599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9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599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599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99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9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99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8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98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98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98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5985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98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598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98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98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98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597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97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597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597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597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7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97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972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597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97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96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96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96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596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596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96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96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596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96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96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95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95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95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595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595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95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95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95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595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595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594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594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94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594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94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594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594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94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4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940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93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593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93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93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593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93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93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93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593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593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929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2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92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2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92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92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92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592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92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920">
      <pivotArea field="37" type="button" dataOnly="0" labelOnly="1" outline="0" axis="axisRow" fieldPosition="12"/>
    </format>
    <format dxfId="591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591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591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591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91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591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591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591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591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591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5909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5908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907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5906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590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90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90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590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590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590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589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589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589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589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589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89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5893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5892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589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89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588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88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588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588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588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588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588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588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588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588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587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587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587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587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587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587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587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587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5871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5870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5869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586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586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5866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586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86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86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586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86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586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585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585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585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585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585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585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585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852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85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585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49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584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84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84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84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584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584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4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584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4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583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3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583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3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583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583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583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83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583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10"/>
          </reference>
        </references>
      </pivotArea>
    </format>
    <format dxfId="583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29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582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582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82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82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582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582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2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582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5820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5819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5818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5817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5816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5815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5814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13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5812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5811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5810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0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580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5807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580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580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5804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80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80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80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80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579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579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579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579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579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579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579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579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579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579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578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78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78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578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578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578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578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578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578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578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577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577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577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577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577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577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5773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5772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577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5770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576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76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576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576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5765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5764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576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76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76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76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575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575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575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575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575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575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753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575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75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575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574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5748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574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574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574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5744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574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574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574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574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573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573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573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573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573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573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573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573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573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573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5729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572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5727">
      <pivotArea field="39" type="button" dataOnly="0" labelOnly="1" outline="0" axis="axisRow" fieldPosition="14"/>
    </format>
    <format dxfId="572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72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572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7"/>
          </reference>
        </references>
      </pivotArea>
    </format>
    <format dxfId="572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8"/>
          </reference>
        </references>
      </pivotArea>
    </format>
    <format dxfId="572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72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72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71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71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71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71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71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71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7"/>
          </reference>
          <reference field="37" count="1" selected="0">
            <x v="1"/>
          </reference>
          <reference field="38" count="0" selected="0"/>
          <reference field="39" count="1">
            <x v="85"/>
          </reference>
        </references>
      </pivotArea>
    </format>
    <format dxfId="571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71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571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571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570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144"/>
          </reference>
        </references>
      </pivotArea>
    </format>
    <format dxfId="570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570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9"/>
          </reference>
        </references>
      </pivotArea>
    </format>
    <format dxfId="570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1"/>
          </reference>
          <reference field="38" count="0" selected="0"/>
          <reference field="39" count="1">
            <x v="113"/>
          </reference>
        </references>
      </pivotArea>
    </format>
    <format dxfId="570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1"/>
          </reference>
          <reference field="38" count="0" selected="0"/>
          <reference field="39" count="1">
            <x v="158"/>
          </reference>
        </references>
      </pivotArea>
    </format>
    <format dxfId="570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 selected="0">
            <x v="13"/>
          </reference>
          <reference field="38" count="0" selected="0"/>
          <reference field="39" count="1">
            <x v="193"/>
          </reference>
        </references>
      </pivotArea>
    </format>
    <format dxfId="5703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8"/>
          </reference>
        </references>
      </pivotArea>
    </format>
    <format dxfId="5702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2"/>
          </reference>
          <reference field="38" count="0" selected="0"/>
          <reference field="39" count="1">
            <x v="172"/>
          </reference>
        </references>
      </pivotArea>
    </format>
    <format dxfId="5701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700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699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698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697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696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695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7"/>
          </reference>
          <reference field="37" count="1" selected="0">
            <x v="1"/>
          </reference>
          <reference field="38" count="0" selected="0"/>
          <reference field="39" count="1">
            <x v="108"/>
          </reference>
        </references>
      </pivotArea>
    </format>
    <format dxfId="569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71"/>
          </reference>
        </references>
      </pivotArea>
    </format>
    <format dxfId="569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69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69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69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68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68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68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68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68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1"/>
          </reference>
          <reference field="38" count="0" selected="0"/>
          <reference field="39" count="1">
            <x v="152"/>
          </reference>
        </references>
      </pivotArea>
    </format>
    <format dxfId="568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568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568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2"/>
          </reference>
        </references>
      </pivotArea>
    </format>
    <format dxfId="568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568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67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67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67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67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67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67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67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67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67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67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566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66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2"/>
          </reference>
          <reference field="38" count="0" selected="0"/>
          <reference field="39" count="1">
            <x v="151"/>
          </reference>
        </references>
      </pivotArea>
    </format>
    <format dxfId="566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566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566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4"/>
          </reference>
        </references>
      </pivotArea>
    </format>
    <format dxfId="566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566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566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66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566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565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565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565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565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565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565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7"/>
          </reference>
        </references>
      </pivotArea>
    </format>
    <format dxfId="565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65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75"/>
          </reference>
        </references>
      </pivotArea>
    </format>
    <format dxfId="565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5650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5649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5648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5647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7"/>
          </reference>
        </references>
      </pivotArea>
    </format>
    <format dxfId="5646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5645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2"/>
          </reference>
          <reference field="37" count="1" selected="0">
            <x v="1"/>
          </reference>
          <reference field="38" count="0" selected="0"/>
          <reference field="39" count="1">
            <x v="156"/>
          </reference>
        </references>
      </pivotArea>
    </format>
    <format dxfId="5644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8"/>
          </reference>
          <reference field="37" count="1" selected="0">
            <x v="1"/>
          </reference>
          <reference field="38" count="0" selected="0"/>
          <reference field="39" count="1">
            <x v="42"/>
          </reference>
        </references>
      </pivotArea>
    </format>
    <format dxfId="5643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3"/>
          </reference>
          <reference field="37" count="1" selected="0">
            <x v="1"/>
          </reference>
          <reference field="38" count="0" selected="0"/>
          <reference field="39" count="1">
            <x v="13"/>
          </reference>
        </references>
      </pivotArea>
    </format>
    <format dxfId="5642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0"/>
          </reference>
        </references>
      </pivotArea>
    </format>
    <format dxfId="5641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6"/>
          </reference>
        </references>
      </pivotArea>
    </format>
    <format dxfId="5640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 selected="0">
            <x v="1"/>
          </reference>
          <reference field="38" count="0" selected="0"/>
          <reference field="39" count="1">
            <x v="6"/>
          </reference>
        </references>
      </pivotArea>
    </format>
    <format dxfId="5639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5"/>
          </reference>
        </references>
      </pivotArea>
    </format>
    <format dxfId="563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63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63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63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63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63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63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63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63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62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62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62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562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1"/>
          </reference>
        </references>
      </pivotArea>
    </format>
    <format dxfId="562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0"/>
          </reference>
        </references>
      </pivotArea>
    </format>
    <format dxfId="562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 selected="0">
            <x v="1"/>
          </reference>
          <reference field="38" count="0" selected="0"/>
          <reference field="39" count="1">
            <x v="51"/>
          </reference>
        </references>
      </pivotArea>
    </format>
    <format dxfId="562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562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62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562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561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561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561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561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5615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"/>
          </reference>
          <reference field="38" count="0" selected="0"/>
          <reference field="39" count="1">
            <x v="148"/>
          </reference>
        </references>
      </pivotArea>
    </format>
    <format dxfId="5614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1"/>
          </reference>
        </references>
      </pivotArea>
    </format>
    <format dxfId="5613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9"/>
          </reference>
        </references>
      </pivotArea>
    </format>
    <format dxfId="5612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11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10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9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8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7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6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5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4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3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5602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5601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5600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5599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5598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597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5596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595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594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5593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5592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0"/>
          </reference>
        </references>
      </pivotArea>
    </format>
    <format dxfId="559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1"/>
          </reference>
          <reference field="38" count="0" selected="0"/>
          <reference field="39" count="1">
            <x v="17"/>
          </reference>
        </references>
      </pivotArea>
    </format>
    <format dxfId="559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 selected="0">
            <x v="1"/>
          </reference>
          <reference field="38" count="0" selected="0"/>
          <reference field="39" count="1">
            <x v="91"/>
          </reference>
        </references>
      </pivotArea>
    </format>
    <format dxfId="558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32"/>
          </reference>
        </references>
      </pivotArea>
    </format>
    <format dxfId="558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6"/>
          </reference>
          <reference field="37" count="1" selected="0">
            <x v="1"/>
          </reference>
          <reference field="38" count="0" selected="0"/>
          <reference field="39" count="1">
            <x v="169"/>
          </reference>
        </references>
      </pivotArea>
    </format>
    <format dxfId="558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558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 selected="0">
            <x v="1"/>
          </reference>
          <reference field="38" count="0" selected="0"/>
          <reference field="39" count="1">
            <x v="161"/>
          </reference>
        </references>
      </pivotArea>
    </format>
    <format dxfId="558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2"/>
          </reference>
        </references>
      </pivotArea>
    </format>
    <format dxfId="558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77"/>
          </reference>
        </references>
      </pivotArea>
    </format>
    <format dxfId="558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9"/>
          </reference>
          <reference field="37" count="1" selected="0">
            <x v="1"/>
          </reference>
          <reference field="38" count="0" selected="0"/>
          <reference field="39" count="1">
            <x v="75"/>
          </reference>
        </references>
      </pivotArea>
    </format>
    <format dxfId="558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0"/>
          </reference>
          <reference field="37" count="1" selected="0">
            <x v="1"/>
          </reference>
          <reference field="38" count="0" selected="0"/>
          <reference field="39" count="1">
            <x v="69"/>
          </reference>
        </references>
      </pivotArea>
    </format>
    <format dxfId="558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1"/>
          </reference>
          <reference field="38" count="0" selected="0"/>
          <reference field="39" count="1">
            <x v="73"/>
          </reference>
        </references>
      </pivotArea>
    </format>
    <format dxfId="558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2"/>
          </reference>
          <reference field="37" count="1" selected="0">
            <x v="1"/>
          </reference>
          <reference field="38" count="0" selected="0"/>
          <reference field="39" count="1">
            <x v="70"/>
          </reference>
        </references>
      </pivotArea>
    </format>
    <format dxfId="557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3"/>
          </reference>
          <reference field="37" count="1" selected="0">
            <x v="1"/>
          </reference>
          <reference field="38" count="0" selected="0"/>
          <reference field="39" count="1">
            <x v="76"/>
          </reference>
        </references>
      </pivotArea>
    </format>
    <format dxfId="557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4"/>
          </reference>
          <reference field="37" count="1" selected="0">
            <x v="1"/>
          </reference>
          <reference field="38" count="0" selected="0"/>
          <reference field="39" count="1">
            <x v="81"/>
          </reference>
        </references>
      </pivotArea>
    </format>
    <format dxfId="557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5"/>
          </reference>
          <reference field="37" count="1" selected="0">
            <x v="1"/>
          </reference>
          <reference field="38" count="0" selected="0"/>
          <reference field="39" count="1">
            <x v="71"/>
          </reference>
        </references>
      </pivotArea>
    </format>
    <format dxfId="557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6"/>
          </reference>
          <reference field="37" count="1" selected="0">
            <x v="1"/>
          </reference>
          <reference field="38" count="0" selected="0"/>
          <reference field="39" count="1">
            <x v="34"/>
          </reference>
        </references>
      </pivotArea>
    </format>
    <format dxfId="557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7"/>
          </reference>
          <reference field="37" count="1" selected="0">
            <x v="1"/>
          </reference>
          <reference field="38" count="0" selected="0"/>
          <reference field="39" count="1">
            <x v="74"/>
          </reference>
        </references>
      </pivotArea>
    </format>
    <format dxfId="557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8"/>
          </reference>
          <reference field="37" count="1" selected="0">
            <x v="1"/>
          </reference>
          <reference field="38" count="0" selected="0"/>
          <reference field="39" count="1">
            <x v="78"/>
          </reference>
        </references>
      </pivotArea>
    </format>
    <format dxfId="557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2"/>
          </reference>
          <reference field="38" count="0" selected="0"/>
          <reference field="39" count="1">
            <x v="72"/>
          </reference>
        </references>
      </pivotArea>
    </format>
    <format dxfId="557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136"/>
          </reference>
        </references>
      </pivotArea>
    </format>
    <format dxfId="557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1"/>
          </reference>
          <reference field="38" count="0" selected="0"/>
          <reference field="39" count="1">
            <x v="92"/>
          </reference>
        </references>
      </pivotArea>
    </format>
    <format dxfId="557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2"/>
          </reference>
          <reference field="38" count="0" selected="0"/>
          <reference field="39" count="1">
            <x v="80"/>
          </reference>
        </references>
      </pivotArea>
    </format>
    <format dxfId="556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3"/>
          </reference>
          <reference field="38" count="0" selected="0"/>
          <reference field="39" count="1">
            <x v="79"/>
          </reference>
        </references>
      </pivotArea>
    </format>
    <format dxfId="556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556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556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6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 selected="0">
            <x v="31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6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 selected="0">
            <x v="317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6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 selected="0">
            <x v="31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6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6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6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 selected="0">
            <x v="315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5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 selected="0">
            <x v="316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5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 selected="0">
            <x v="31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555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 selected="0">
            <x v="1"/>
          </reference>
          <reference field="38" count="0" selected="0"/>
          <reference field="39" count="1">
            <x v="12"/>
          </reference>
        </references>
      </pivotArea>
    </format>
    <format dxfId="555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555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555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555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555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 selected="0">
            <x v="1"/>
          </reference>
          <reference field="38" count="0" selected="0"/>
          <reference field="39" count="1">
            <x v="93"/>
          </reference>
        </references>
      </pivotArea>
    </format>
    <format dxfId="555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2"/>
          </reference>
          <reference field="38" count="0" selected="0"/>
          <reference field="39" count="1">
            <x v="95"/>
          </reference>
        </references>
      </pivotArea>
    </format>
    <format dxfId="555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 selected="0">
            <x v="1"/>
          </reference>
          <reference field="38" count="0" selected="0"/>
          <reference field="39" count="1">
            <x v="33"/>
          </reference>
        </references>
      </pivotArea>
    </format>
    <format dxfId="554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1"/>
          </reference>
          <reference field="37" count="1" selected="0">
            <x v="1"/>
          </reference>
          <reference field="38" count="0" selected="0"/>
          <reference field="39" count="1">
            <x v="15"/>
          </reference>
        </references>
      </pivotArea>
    </format>
    <format dxfId="554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4"/>
          </reference>
        </references>
      </pivotArea>
    </format>
    <format dxfId="554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5546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5545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 selected="0">
            <x v="1"/>
          </reference>
          <reference field="38" count="0" selected="0"/>
          <reference field="39" count="1">
            <x v="45"/>
          </reference>
        </references>
      </pivotArea>
    </format>
    <format dxfId="5544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3"/>
          </reference>
        </references>
      </pivotArea>
    </format>
    <format dxfId="5543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542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2"/>
          </reference>
        </references>
      </pivotArea>
    </format>
    <format dxfId="5541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0"/>
          </reference>
        </references>
      </pivotArea>
    </format>
    <format dxfId="5540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5539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5"/>
          </reference>
          <reference field="37" count="1" selected="0">
            <x v="1"/>
          </reference>
          <reference field="38" count="0" selected="0"/>
          <reference field="39" count="1">
            <x v="177"/>
          </reference>
        </references>
      </pivotArea>
    </format>
    <format dxfId="5538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5537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7"/>
          </reference>
        </references>
      </pivotArea>
    </format>
    <format dxfId="5536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8"/>
          </reference>
        </references>
      </pivotArea>
    </format>
    <format dxfId="5535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5534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1"/>
          </reference>
        </references>
      </pivotArea>
    </format>
    <format dxfId="5533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8"/>
          </reference>
        </references>
      </pivotArea>
    </format>
    <format dxfId="5532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7"/>
          </reference>
        </references>
      </pivotArea>
    </format>
    <format dxfId="5531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530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5"/>
          </reference>
        </references>
      </pivotArea>
    </format>
    <format dxfId="5529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552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52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52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52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52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52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52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52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52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51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51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551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3"/>
          </reference>
          <reference field="38" count="0" selected="0"/>
          <reference field="39" count="1">
            <x v="174"/>
          </reference>
        </references>
      </pivotArea>
    </format>
    <format dxfId="551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4"/>
          </reference>
          <reference field="38" count="0" selected="0"/>
          <reference field="39" count="1">
            <x v="50"/>
          </reference>
        </references>
      </pivotArea>
    </format>
    <format dxfId="551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3"/>
          </reference>
        </references>
      </pivotArea>
    </format>
    <format dxfId="551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551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551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1"/>
          </reference>
          <reference field="38" count="0" selected="0"/>
          <reference field="39" count="1">
            <x v="49"/>
          </reference>
        </references>
      </pivotArea>
    </format>
    <format dxfId="551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6"/>
          </reference>
        </references>
      </pivotArea>
    </format>
    <format dxfId="551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550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5"/>
          </reference>
          <reference field="38" count="0" selected="0"/>
          <reference field="39" count="1">
            <x v="47"/>
          </reference>
        </references>
      </pivotArea>
    </format>
    <format dxfId="550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2"/>
          </reference>
          <reference field="38" count="0" selected="0"/>
          <reference field="39" count="1">
            <x v="48"/>
          </reference>
        </references>
      </pivotArea>
    </format>
    <format dxfId="550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3"/>
          </reference>
        </references>
      </pivotArea>
    </format>
    <format dxfId="550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1"/>
          </reference>
          <reference field="38" count="0" selected="0"/>
          <reference field="39" count="1">
            <x v="40"/>
          </reference>
        </references>
      </pivotArea>
    </format>
    <format dxfId="550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2"/>
          </reference>
          <reference field="38" count="0" selected="0"/>
          <reference field="39" count="1">
            <x v="41"/>
          </reference>
        </references>
      </pivotArea>
    </format>
    <format dxfId="550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50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11"/>
          </reference>
        </references>
      </pivotArea>
    </format>
    <format dxfId="550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550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550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49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10"/>
          </reference>
        </references>
      </pivotArea>
    </format>
    <format dxfId="549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549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52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549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549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49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49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49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49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49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48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48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48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48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48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48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548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7"/>
          </reference>
        </references>
      </pivotArea>
    </format>
    <format dxfId="548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9"/>
          </reference>
        </references>
      </pivotArea>
    </format>
    <format dxfId="548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3"/>
          </reference>
        </references>
      </pivotArea>
    </format>
    <format dxfId="548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547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20"/>
          </reference>
        </references>
      </pivotArea>
    </format>
    <format dxfId="5478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477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476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5475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6"/>
          </reference>
        </references>
      </pivotArea>
    </format>
    <format dxfId="547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47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47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47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47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46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46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46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46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46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46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46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46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546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546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545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1"/>
          </reference>
          <reference field="37" count="1" selected="0">
            <x v="1"/>
          </reference>
          <reference field="38" count="0" selected="0"/>
          <reference field="39" count="1">
            <x v="96"/>
          </reference>
        </references>
      </pivotArea>
    </format>
    <format dxfId="545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45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45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45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45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45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45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45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45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44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4"/>
          </reference>
        </references>
      </pivotArea>
    </format>
    <format dxfId="544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544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9"/>
          </reference>
        </references>
      </pivotArea>
    </format>
    <format dxfId="544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87"/>
          </reference>
        </references>
      </pivotArea>
    </format>
    <format dxfId="544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5"/>
          </reference>
        </references>
      </pivotArea>
    </format>
    <format dxfId="544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544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44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5441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440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439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9"/>
          </reference>
          <reference field="38" count="0" selected="0"/>
          <reference field="39" count="1">
            <x v="153"/>
          </reference>
        </references>
      </pivotArea>
    </format>
    <format dxfId="543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43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43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43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43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43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43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43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43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42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42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42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542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542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42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42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8"/>
          </reference>
        </references>
      </pivotArea>
    </format>
    <format dxfId="542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542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8"/>
          </reference>
        </references>
      </pivotArea>
    </format>
    <format dxfId="542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541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5418">
      <pivotArea dataOnly="0" labelOnly="1" outline="0" fieldPosition="0">
        <references count="1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17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5416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15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5414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5413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12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5411">
      <pivotArea dataOnly="0" labelOnly="1" outline="0" fieldPosition="0">
        <references count="1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10">
      <pivotArea dataOnly="0" labelOnly="1" outline="0" fieldPosition="0">
        <references count="1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4"/>
          </reference>
        </references>
      </pivotArea>
    </format>
    <format dxfId="5409">
      <pivotArea dataOnly="0" labelOnly="1" outline="0" fieldPosition="0">
        <references count="15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08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9"/>
          </reference>
        </references>
      </pivotArea>
    </format>
    <format dxfId="5407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06">
      <pivotArea dataOnly="0" labelOnly="1" outline="0" fieldPosition="0">
        <references count="15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 selected="0">
            <x v="2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05">
      <pivotArea dataOnly="0" labelOnly="1" outline="0" fieldPosition="0">
        <references count="1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6"/>
          </reference>
        </references>
      </pivotArea>
    </format>
    <format dxfId="5404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5403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5402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5401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5400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 selected="0">
            <x v="1"/>
          </reference>
          <reference field="38" count="0" selected="0"/>
          <reference field="39" count="1">
            <x v="3"/>
          </reference>
        </references>
      </pivotArea>
    </format>
    <format dxfId="539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39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397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396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395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87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394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86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39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85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392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391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5"/>
          </reference>
        </references>
      </pivotArea>
    </format>
    <format dxfId="539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1"/>
          </reference>
          <reference field="38" count="0" selected="0"/>
          <reference field="39" count="1">
            <x v="135"/>
          </reference>
        </references>
      </pivotArea>
    </format>
    <format dxfId="538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5"/>
          </reference>
        </references>
      </pivotArea>
    </format>
    <format dxfId="538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7"/>
          </reference>
        </references>
      </pivotArea>
    </format>
    <format dxfId="5387">
      <pivotArea dataOnly="0" labelOnly="1" outline="0" fieldPosition="0">
        <references count="1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9"/>
          </reference>
        </references>
      </pivotArea>
    </format>
    <format dxfId="5386">
      <pivotArea dataOnly="0" labelOnly="1" outline="0" fieldPosition="0">
        <references count="1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5"/>
          </reference>
        </references>
      </pivotArea>
    </format>
    <format dxfId="5385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1"/>
          </reference>
        </references>
      </pivotArea>
    </format>
    <format dxfId="5384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1"/>
          </reference>
        </references>
      </pivotArea>
    </format>
    <format dxfId="5383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0"/>
          </reference>
        </references>
      </pivotArea>
    </format>
    <format dxfId="5382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3"/>
          </reference>
        </references>
      </pivotArea>
    </format>
    <format dxfId="5381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5380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5379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5378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5377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9"/>
          </reference>
        </references>
      </pivotArea>
    </format>
    <format dxfId="537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37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37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37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37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37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37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36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36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36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36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36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36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5"/>
          </reference>
        </references>
      </pivotArea>
    </format>
    <format dxfId="536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2"/>
          </reference>
        </references>
      </pivotArea>
    </format>
    <format dxfId="536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8"/>
          </reference>
        </references>
      </pivotArea>
    </format>
    <format dxfId="536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536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4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535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4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535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535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3"/>
          </reference>
          <reference field="38" count="0" selected="0"/>
          <reference field="39" count="1">
            <x v="83"/>
          </reference>
        </references>
      </pivotArea>
    </format>
    <format dxfId="535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35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7"/>
          </reference>
        </references>
      </pivotArea>
    </format>
    <format dxfId="535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2"/>
          </reference>
        </references>
      </pivotArea>
    </format>
    <format dxfId="535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535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6"/>
          </reference>
        </references>
      </pivotArea>
    </format>
    <format dxfId="535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 selected="0">
            <x v="3"/>
          </reference>
          <reference field="38" count="0" selected="0"/>
          <reference field="39" count="1">
            <x v="82"/>
          </reference>
        </references>
      </pivotArea>
    </format>
    <format dxfId="535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534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3"/>
          </reference>
          <reference field="38" count="0" selected="0"/>
          <reference field="39" count="1">
            <x v="191"/>
          </reference>
        </references>
      </pivotArea>
    </format>
    <format dxfId="534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4"/>
          </reference>
          <reference field="38" count="0" selected="0"/>
          <reference field="39" count="1">
            <x v="192"/>
          </reference>
        </references>
      </pivotArea>
    </format>
    <format dxfId="534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534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534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534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34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34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34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34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33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33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33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33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33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33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33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109"/>
          </reference>
        </references>
      </pivotArea>
    </format>
    <format dxfId="533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533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533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532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7"/>
          </reference>
        </references>
      </pivotArea>
    </format>
    <format dxfId="532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56"/>
          </reference>
        </references>
      </pivotArea>
    </format>
    <format dxfId="532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532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532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03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532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32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32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32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32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2">
            <x v="98"/>
            <x v="99"/>
          </reference>
        </references>
      </pivotArea>
    </format>
    <format dxfId="531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531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9"/>
          </reference>
        </references>
      </pivotArea>
    </format>
    <format dxfId="531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87"/>
          </reference>
          <reference field="37" count="1" selected="0">
            <x v="1"/>
          </reference>
          <reference field="38" count="0" selected="0"/>
          <reference field="39" count="1">
            <x v="16"/>
          </reference>
        </references>
      </pivotArea>
    </format>
    <format dxfId="531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5315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5314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5313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531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31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31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30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308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307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30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30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30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30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30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30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30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29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29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29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29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29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29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29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29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8"/>
          </reference>
        </references>
      </pivotArea>
    </format>
    <format dxfId="529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97"/>
          </reference>
        </references>
      </pivotArea>
    </format>
    <format dxfId="5290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100"/>
          </reference>
        </references>
      </pivotArea>
    </format>
    <format dxfId="5289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5288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1"/>
          </reference>
        </references>
      </pivotArea>
    </format>
    <format dxfId="5287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286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5285">
      <pivotArea field="36" type="button" dataOnly="0" labelOnly="1" outline="0" axis="axisRow" fieldPosition="11"/>
    </format>
    <format dxfId="5284">
      <pivotArea field="37" type="button" dataOnly="0" labelOnly="1" outline="0" axis="axisRow" fieldPosition="12"/>
    </format>
    <format dxfId="528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28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528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528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527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527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27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527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527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527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527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527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527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527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26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26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526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526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526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26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26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26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526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526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525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525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525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25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25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25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25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525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525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525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524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24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524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524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524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524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524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524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524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24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523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238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523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523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523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5234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523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523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523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23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22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22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22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522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522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22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522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522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522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522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521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521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217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521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521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5214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521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521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521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521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520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520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520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520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520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520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520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520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520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520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519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51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519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519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519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519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519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519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519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519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518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518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518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518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518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518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518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518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518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5180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17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17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517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517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517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17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17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517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517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170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516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16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167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16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516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5164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16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516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516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16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15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15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15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15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515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515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15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515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15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515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514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514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514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514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514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514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514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514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514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14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13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13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13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13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513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13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513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513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13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513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5129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512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512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512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12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12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12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12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512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512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11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11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11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511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11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511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511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511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511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511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510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510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510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510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10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5104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510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510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10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10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09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09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509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09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509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09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509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09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509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509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5089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088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5087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508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508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508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508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508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508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5080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079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507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07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5076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507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07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507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07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07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07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06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06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506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06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06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506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506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506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506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06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505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505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505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505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505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505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505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05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05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505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504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504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504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04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04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04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04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04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504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04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03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503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503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503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03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503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503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503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503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503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02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502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502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02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502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502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02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02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02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02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501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018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01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501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01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501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501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501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501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501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500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500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500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5006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500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500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500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500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500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500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499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499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499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499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499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499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499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499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499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499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498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498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498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498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498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498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498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498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498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498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497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497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497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497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497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4974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497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497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497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497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496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496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496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496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496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496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496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496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496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4960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495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495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495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495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495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495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495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495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495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495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494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494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94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494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494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494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494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4942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494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494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939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4938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493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93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93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493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493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493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493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493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492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492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492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92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4925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4924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492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92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492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92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491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491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491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491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491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491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491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491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491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491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490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490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490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490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490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490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4903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4902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4901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4900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489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489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489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89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89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489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89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489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489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489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488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488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488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488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4885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88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883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488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8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88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87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87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487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487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7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487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7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487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7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487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6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486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486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86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4865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486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6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486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486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86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85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485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485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5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485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4854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4853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4852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4851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4850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4849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4848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47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4846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4845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4844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43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4842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484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4840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4839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4838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3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83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83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83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483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483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483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483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482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482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482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482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482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482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482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82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82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482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481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481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481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481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481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481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481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481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481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481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480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480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4807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4806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4805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4804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4803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802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480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480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4799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4798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479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79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79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79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479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479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4791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4790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478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478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78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4786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785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478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478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478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4781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4780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477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477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477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477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477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477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477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477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477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477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476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476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476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476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476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476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476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4762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4761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4760">
      <pivotArea field="30" type="button" dataOnly="0" labelOnly="1" outline="0" axis="axisRow" fieldPosition="5"/>
    </format>
    <format dxfId="4759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475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475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475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475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475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475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475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475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475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474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74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4747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4746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474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4744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474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742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74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474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473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73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73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473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473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473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733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4732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473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473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472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472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727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472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472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472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4723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4722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472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72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471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71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471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471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471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71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71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471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71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71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70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70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470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70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470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70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70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470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70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70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99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469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469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69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69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69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69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9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69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69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468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8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68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68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68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684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8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68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68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68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67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7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467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67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67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67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67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67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71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67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466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466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66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6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466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466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66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66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661">
      <pivotArea field="30" type="button" dataOnly="0" labelOnly="1" outline="0" axis="axisRow" fieldPosition="5"/>
    </format>
    <format dxfId="4660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465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465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465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465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465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465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465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465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465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465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4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464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4647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464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464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464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64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4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464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464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63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63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463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463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463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63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4633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463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463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463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462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628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462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462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462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462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4623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462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62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462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1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461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461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461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61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61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461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61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1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61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60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460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60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460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60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60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460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60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60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60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459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459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59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59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59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59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59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59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59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459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58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58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58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58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58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58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58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58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58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58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57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457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57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57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57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57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57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572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57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457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456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56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56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456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456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56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56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562">
      <pivotArea field="26" type="button" dataOnly="0" labelOnly="1" outline="0" axis="axisRow" fieldPosition="1"/>
    </format>
    <format dxfId="4561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4560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4559">
      <pivotArea field="29" type="button" dataOnly="0" labelOnly="1" outline="0" axis="axisRow" fieldPosition="4"/>
    </format>
    <format dxfId="4558">
      <pivotArea field="30" type="button" dataOnly="0" labelOnly="1" outline="0" axis="axisRow" fieldPosition="5"/>
    </format>
    <format dxfId="4557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4556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4555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4554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4553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4552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4551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4550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4549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4548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4547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4546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4545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4544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4543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4542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4541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4540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4539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4538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4537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4536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4535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4534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4533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4532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4531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4530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4529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4528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4527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4526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4525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4524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4523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4522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4521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4520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4519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4518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4517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4516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4515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4514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4513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4512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4511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4510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450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450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450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450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450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450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450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450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450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450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49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449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4497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4496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449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4494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49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9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449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449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48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48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448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448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448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484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4483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448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448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448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447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478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447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447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447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4474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4473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447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47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447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6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446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446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446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46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46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446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46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6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46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45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445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45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445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45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45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445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45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451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5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444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444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44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44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44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44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4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44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44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444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3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43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43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43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43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3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43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43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43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43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2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442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442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442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442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442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42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22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442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442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441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441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441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441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441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441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441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4412">
      <pivotArea field="32" type="button" dataOnly="0" labelOnly="1" outline="0" axis="axisRow" fieldPosition="7"/>
    </format>
    <format dxfId="4411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4410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4409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4408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4407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440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4405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4404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4403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4402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4401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440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439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439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4397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439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439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439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439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439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439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439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438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438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438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438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438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438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438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438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438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438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437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4378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4377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4376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4375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4374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4373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437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437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437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436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436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436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436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436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436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436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436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436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436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435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4358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4357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4356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4355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4354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4353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4352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4351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4350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434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434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434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4346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434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434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434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434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434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434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433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433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433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433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433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433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433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433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433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433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432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432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432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432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432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432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432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432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432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432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431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431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431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431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431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431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431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431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431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431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430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4308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4307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4306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4305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4304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4303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4302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430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4300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4299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4298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4297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4296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4295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4294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4293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4292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4291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4290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4289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4288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428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428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428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428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428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428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428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428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427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427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427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427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427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427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427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427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427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427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426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426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426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426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426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426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426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426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426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426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425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425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425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425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4255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4254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4253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425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425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425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424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424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424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424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424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424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424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424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424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424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423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423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423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423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423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423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423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423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4231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4230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422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422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422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422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422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422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422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422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422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422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421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421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421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421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4215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4214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4213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4212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4211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4210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4209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4208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4207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4206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4205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4204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4203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4202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4201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4200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4199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419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419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419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4195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4194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4193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4192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4191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4190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4189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4188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418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418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418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418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418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418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418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418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417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417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417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417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417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417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417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417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417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417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416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416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416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416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416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416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416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416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416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416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415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415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415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415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415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415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415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415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415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415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414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414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414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414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414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414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414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414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414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414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413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4138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4137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4136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4135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413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413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4132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4131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4130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4129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4128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4127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4126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4125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4124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4123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412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412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412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411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411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411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411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411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411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411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411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411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411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4109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4108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4107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4106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4105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410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410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410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410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410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409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409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409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409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409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409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409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409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409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409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408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408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408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408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408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408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408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408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408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408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407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407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407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407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407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407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407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407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407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407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406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406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406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406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406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406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4063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4062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4061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4060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4059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405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405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405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405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405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405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405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405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405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404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404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4047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404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4045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4044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4043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404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404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404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403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4038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4037">
      <pivotArea field="33" type="button" dataOnly="0" labelOnly="1" outline="0" axis="axisRow" fieldPosition="8"/>
    </format>
    <format dxfId="4036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4035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4034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4033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403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403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403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402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402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402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402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402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402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402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4022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4021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402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401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401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401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401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401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401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401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4012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4011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4010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4009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400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400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400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400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400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400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400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400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400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399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399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399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399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399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3994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399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3992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3991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3990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3989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3988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398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398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398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398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398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398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398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398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397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397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397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397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3975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397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397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3972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3971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3970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3969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3968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3967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3966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3965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3964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3963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3962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3961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3960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3959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3958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3957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3956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3955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3954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3953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3952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3951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3950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3949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394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394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394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394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394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394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394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394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394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393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393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393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393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393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393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3933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393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393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393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3929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3928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3927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3926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3925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3924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392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392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392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3920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3919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391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391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391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391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391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391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3912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3911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3910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3909">
      <pivotArea field="36" type="button" dataOnly="0" labelOnly="1" outline="0" axis="axisRow" fieldPosition="11"/>
    </format>
    <format dxfId="3908">
      <pivotArea field="37" type="button" dataOnly="0" labelOnly="1" outline="0" axis="axisRow" fieldPosition="12"/>
    </format>
    <format dxfId="390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90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390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390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390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390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90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390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389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389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389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389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3895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3894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893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892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3891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389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388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88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88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88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388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388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388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388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388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88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87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87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87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387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387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387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387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87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387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387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386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386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386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386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386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86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386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3862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3861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3860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3859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3858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3857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3856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385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85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85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85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85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385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384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84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384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384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384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384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384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384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3841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3840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3839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3838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3837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3836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3835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3834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3833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383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383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383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382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382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382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382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382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382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382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382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382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382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381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381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381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381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381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381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381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381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381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381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380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380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380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380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380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3804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803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802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3801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380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379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798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9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379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379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3794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3793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3792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791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90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3789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3788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87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3786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3785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378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78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78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78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78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377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377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77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377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77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377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377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377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377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377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376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376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376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376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376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376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76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76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76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76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375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75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375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375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5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375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3753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3752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3751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375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74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74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74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74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374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374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374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74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374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374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73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373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373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373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373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373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373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373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373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373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72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3728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3727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372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72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72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72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72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372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72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371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71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371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1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371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371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3713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12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3711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3710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3709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3708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3707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3706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3705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3704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03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3702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701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3700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3699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69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369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69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69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69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69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69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369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69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68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368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368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368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368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68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368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368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368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368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367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367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367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67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67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67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67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367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367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67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66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66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366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66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366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366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66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366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366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366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65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365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365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365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365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365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365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365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365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65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364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364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64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64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3645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644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3643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642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3641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3640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63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363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63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63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363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363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63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363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363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3630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629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3628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627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362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62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62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62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62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362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362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61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61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361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61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361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361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361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361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361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361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60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360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60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360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360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360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360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60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360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360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359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359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3597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596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3595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59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359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359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359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359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358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358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358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358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358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584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58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358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58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358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357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357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357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357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357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357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357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357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57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357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356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356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356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3566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3565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3564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563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3562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356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56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55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355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355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355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355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355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355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355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355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55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3549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3548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354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54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3545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54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354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354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354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354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353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353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353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353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353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353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353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353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353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353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352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352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3527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3526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3525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3524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3523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3522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352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52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51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351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51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351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351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351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351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351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351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351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3509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508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507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3506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50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50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50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50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350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350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9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349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9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349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9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349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9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349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349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49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3489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3488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87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348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348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48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48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348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348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8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347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3478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3477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3476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3475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3474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3473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3472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71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3470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3469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3468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67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3466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3465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3464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3463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3462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6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46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45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45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345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345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345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345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345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345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345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345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344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344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344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44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44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344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344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344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344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344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343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343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343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343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343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343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343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343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3431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3430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3429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3428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342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42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3425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3424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3423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3422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342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42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41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41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341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341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341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341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3413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3412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411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341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40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3408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3407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3406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340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3404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3403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3402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340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340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339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339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339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339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339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339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339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339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339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339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338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338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3387">
      <pivotArea field="26" type="button" dataOnly="0" labelOnly="1" outline="0" axis="axisRow" fieldPosition="1"/>
    </format>
    <format dxfId="3386">
      <pivotArea dataOnly="0" labelOnly="1" outline="0" fieldPosition="0">
        <references count="2">
          <reference field="25" count="0" selected="0"/>
          <reference field="2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3385">
      <pivotArea dataOnly="0" labelOnly="1" outline="0" fieldPosition="0">
        <references count="2">
          <reference field="25" count="0" selected="0"/>
          <reference field="26" count="2">
            <x v="53"/>
            <x v="54"/>
          </reference>
        </references>
      </pivotArea>
    </format>
    <format dxfId="3384">
      <pivotArea field="29" type="button" dataOnly="0" labelOnly="1" outline="0" axis="axisRow" fieldPosition="4"/>
    </format>
    <format dxfId="3383">
      <pivotArea field="30" type="button" dataOnly="0" labelOnly="1" outline="0" axis="axisRow" fieldPosition="5"/>
    </format>
    <format dxfId="3382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3381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3380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3379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3378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3377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3376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3375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3374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3373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3372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3371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3370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3369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3368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3367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3366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3365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3364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3363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3362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3361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3360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3359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3358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3357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3356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3355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3354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3353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3352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3351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3350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3349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3348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3347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3346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3345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3344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3343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3342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3341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3340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3339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3338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3337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3336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3335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3334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3333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3332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3331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333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3329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3328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3327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3326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3325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324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3323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3322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3321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3320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3319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3318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31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331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331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331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331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331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331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331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3309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3308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3307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3306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3305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3304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3303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3302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3301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3300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3299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3298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329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329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329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9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329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329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329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329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328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328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328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8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328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328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328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3282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3281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3280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3279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3278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3277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3276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75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327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327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327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327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327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326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6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326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3266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3265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64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3263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3262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3261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3260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5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325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325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325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325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5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325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325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3251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3250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324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3248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47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3246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3245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3244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3243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324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3241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3240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3239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3238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3237">
      <pivotArea field="33" type="button" dataOnly="0" labelOnly="1" outline="0" axis="axisRow" fieldPosition="8"/>
    </format>
    <format dxfId="3236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3235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3234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3233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323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323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323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322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322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322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322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322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322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322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3222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3221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322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321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321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321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321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321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321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321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3212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3211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3210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3209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320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320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320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320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320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320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320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320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3200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3199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319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319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319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319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3194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3193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3192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3191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3190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3189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3188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3187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3186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318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318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3183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3182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318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318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317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3178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3177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317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3175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3174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3173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3172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3171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3170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3169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3168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3167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3166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3165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3164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3163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3162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3161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3160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3159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3158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3157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3156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3155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3154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3153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3152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3151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3150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3149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314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314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314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314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314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314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314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314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314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313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313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313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313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313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313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3133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3132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313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313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3129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3128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3127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3126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3125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3124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3123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312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312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3120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3119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3118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3117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311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311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311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311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3112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3111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3110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3109">
      <pivotArea field="32" type="button" dataOnly="0" labelOnly="1" outline="0" axis="axisRow" fieldPosition="7"/>
    </format>
    <format dxfId="3108">
      <pivotArea dataOnly="0" labelOnly="1" outline="0" fieldPosition="0">
        <references count="8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>
            <x v="0"/>
          </reference>
        </references>
      </pivotArea>
    </format>
    <format dxfId="3107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>
            <x v="175"/>
          </reference>
        </references>
      </pivotArea>
    </format>
    <format dxfId="3106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79"/>
          </reference>
        </references>
      </pivotArea>
    </format>
    <format dxfId="3105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76"/>
          </reference>
        </references>
      </pivotArea>
    </format>
    <format dxfId="3104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74"/>
          </reference>
        </references>
      </pivotArea>
    </format>
    <format dxfId="3103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7"/>
          </reference>
        </references>
      </pivotArea>
    </format>
    <format dxfId="3102">
      <pivotArea dataOnly="0" labelOnly="1" outline="0" fieldPosition="0">
        <references count="8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0"/>
          </reference>
        </references>
      </pivotArea>
    </format>
    <format dxfId="3101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8"/>
          </reference>
        </references>
      </pivotArea>
    </format>
    <format dxfId="3100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3099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474"/>
          </reference>
        </references>
      </pivotArea>
    </format>
    <format dxfId="3098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61"/>
          </reference>
        </references>
      </pivotArea>
    </format>
    <format dxfId="3097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5"/>
          </reference>
        </references>
      </pivotArea>
    </format>
    <format dxfId="3096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>
            <x v="481"/>
          </reference>
        </references>
      </pivotArea>
    </format>
    <format dxfId="3095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9"/>
          </reference>
        </references>
      </pivotArea>
    </format>
    <format dxfId="3094">
      <pivotArea dataOnly="0" labelOnly="1" outline="0" fieldPosition="0">
        <references count="8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3"/>
          </reference>
        </references>
      </pivotArea>
    </format>
    <format dxfId="309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309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5"/>
          </reference>
        </references>
      </pivotArea>
    </format>
    <format dxfId="309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3"/>
          </reference>
        </references>
      </pivotArea>
    </format>
    <format dxfId="309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2"/>
          </reference>
        </references>
      </pivotArea>
    </format>
    <format dxfId="308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1"/>
          </reference>
        </references>
      </pivotArea>
    </format>
    <format dxfId="308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"/>
          </reference>
        </references>
      </pivotArea>
    </format>
    <format dxfId="308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308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3"/>
          </reference>
        </references>
      </pivotArea>
    </format>
    <format dxfId="3085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599"/>
          </reference>
        </references>
      </pivotArea>
    </format>
    <format dxfId="3084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60"/>
          </reference>
        </references>
      </pivotArea>
    </format>
    <format dxfId="3083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189"/>
          </reference>
        </references>
      </pivotArea>
    </format>
    <format dxfId="3082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7"/>
          </reference>
        </references>
      </pivotArea>
    </format>
    <format dxfId="3081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02"/>
          </reference>
        </references>
      </pivotArea>
    </format>
    <format dxfId="3080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27"/>
          </reference>
        </references>
      </pivotArea>
    </format>
    <format dxfId="3079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89"/>
          </reference>
        </references>
      </pivotArea>
    </format>
    <format dxfId="3078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624"/>
          </reference>
        </references>
      </pivotArea>
    </format>
    <format dxfId="3077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5"/>
          </reference>
        </references>
      </pivotArea>
    </format>
    <format dxfId="3076">
      <pivotArea dataOnly="0" labelOnly="1" outline="0" fieldPosition="0">
        <references count="8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0"/>
          </reference>
        </references>
      </pivotArea>
    </format>
    <format dxfId="3075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269"/>
          </reference>
        </references>
      </pivotArea>
    </format>
    <format dxfId="3074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20"/>
          </reference>
        </references>
      </pivotArea>
    </format>
    <format dxfId="3073">
      <pivotArea dataOnly="0" labelOnly="1" outline="0" fieldPosition="0">
        <references count="8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57"/>
          </reference>
        </references>
      </pivotArea>
    </format>
    <format dxfId="3072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98"/>
          </reference>
        </references>
      </pivotArea>
    </format>
    <format dxfId="3071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68"/>
          </reference>
        </references>
      </pivotArea>
    </format>
    <format dxfId="3070">
      <pivotArea dataOnly="0" labelOnly="1" outline="0" fieldPosition="0">
        <references count="8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597"/>
          </reference>
        </references>
      </pivotArea>
    </format>
    <format dxfId="306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30"/>
          </reference>
        </references>
      </pivotArea>
    </format>
    <format dxfId="306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306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306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3065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3064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8"/>
          </reference>
        </references>
      </pivotArea>
    </format>
    <format dxfId="3063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17"/>
          </reference>
        </references>
      </pivotArea>
    </format>
    <format dxfId="3062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55"/>
          </reference>
        </references>
      </pivotArea>
    </format>
    <format dxfId="3061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36"/>
          </reference>
        </references>
      </pivotArea>
    </format>
    <format dxfId="3060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8"/>
          </reference>
        </references>
      </pivotArea>
    </format>
    <format dxfId="3059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26"/>
          </reference>
        </references>
      </pivotArea>
    </format>
    <format dxfId="3058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06"/>
          </reference>
        </references>
      </pivotArea>
    </format>
    <format dxfId="3057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595"/>
          </reference>
        </references>
      </pivotArea>
    </format>
    <format dxfId="3056">
      <pivotArea dataOnly="0" labelOnly="1" outline="0" fieldPosition="0">
        <references count="8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57"/>
          </reference>
        </references>
      </pivotArea>
    </format>
    <format dxfId="3055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68"/>
          </reference>
        </references>
      </pivotArea>
    </format>
    <format dxfId="3054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8"/>
          </reference>
        </references>
      </pivotArea>
    </format>
    <format dxfId="3053">
      <pivotArea dataOnly="0" labelOnly="1" outline="0" fieldPosition="0">
        <references count="8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10"/>
          </reference>
        </references>
      </pivotArea>
    </format>
    <format dxfId="3052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9"/>
          </reference>
        </references>
      </pivotArea>
    </format>
    <format dxfId="3051">
      <pivotArea dataOnly="0" labelOnly="1" outline="0" fieldPosition="0">
        <references count="8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50"/>
          </reference>
        </references>
      </pivotArea>
    </format>
    <format dxfId="3050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9"/>
          </reference>
        </references>
      </pivotArea>
    </format>
    <format dxfId="3049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90"/>
          </reference>
        </references>
      </pivotArea>
    </format>
    <format dxfId="3048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47"/>
          </reference>
        </references>
      </pivotArea>
    </format>
    <format dxfId="3047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9"/>
          </reference>
        </references>
      </pivotArea>
    </format>
    <format dxfId="3046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74"/>
          </reference>
        </references>
      </pivotArea>
    </format>
    <format dxfId="3045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196"/>
          </reference>
        </references>
      </pivotArea>
    </format>
    <format dxfId="3044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1"/>
          </reference>
        </references>
      </pivotArea>
    </format>
    <format dxfId="3043">
      <pivotArea dataOnly="0" labelOnly="1" outline="0" fieldPosition="0">
        <references count="8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4"/>
          </reference>
        </references>
      </pivotArea>
    </format>
    <format dxfId="304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2"/>
          </reference>
        </references>
      </pivotArea>
    </format>
    <format dxfId="304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8"/>
          </reference>
        </references>
      </pivotArea>
    </format>
    <format dxfId="304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200"/>
          </reference>
        </references>
      </pivotArea>
    </format>
    <format dxfId="303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303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67"/>
          </reference>
        </references>
      </pivotArea>
    </format>
    <format dxfId="303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>
            <x v="297"/>
          </reference>
        </references>
      </pivotArea>
    </format>
    <format dxfId="303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>
            <x v="294"/>
          </reference>
        </references>
      </pivotArea>
    </format>
    <format dxfId="303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>
            <x v="286"/>
          </reference>
        </references>
      </pivotArea>
    </format>
    <format dxfId="303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>
            <x v="293"/>
          </reference>
        </references>
      </pivotArea>
    </format>
    <format dxfId="303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>
            <x v="292"/>
          </reference>
        </references>
      </pivotArea>
    </format>
    <format dxfId="303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>
            <x v="295"/>
          </reference>
        </references>
      </pivotArea>
    </format>
    <format dxfId="303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>
            <x v="287"/>
          </reference>
        </references>
      </pivotArea>
    </format>
    <format dxfId="3030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>
            <x v="288"/>
          </reference>
        </references>
      </pivotArea>
    </format>
    <format dxfId="3029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>
            <x v="296"/>
          </reference>
        </references>
      </pivotArea>
    </format>
    <format dxfId="3028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>
            <x v="291"/>
          </reference>
        </references>
      </pivotArea>
    </format>
    <format dxfId="3027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>
            <x v="298"/>
          </reference>
        </references>
      </pivotArea>
    </format>
    <format dxfId="3026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>
            <x v="290"/>
          </reference>
        </references>
      </pivotArea>
    </format>
    <format dxfId="3025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>
            <x v="411"/>
          </reference>
        </references>
      </pivotArea>
    </format>
    <format dxfId="3024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351"/>
          </reference>
        </references>
      </pivotArea>
    </format>
    <format dxfId="3023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>
            <x v="299"/>
          </reference>
        </references>
      </pivotArea>
    </format>
    <format dxfId="3022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>
            <x v="289"/>
          </reference>
        </references>
      </pivotArea>
    </format>
    <format dxfId="3021">
      <pivotArea dataOnly="0" labelOnly="1" outline="0" fieldPosition="0">
        <references count="8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4"/>
          </reference>
        </references>
      </pivotArea>
    </format>
    <format dxfId="302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0"/>
          </reference>
        </references>
      </pivotArea>
    </format>
    <format dxfId="301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>
            <x v="309"/>
          </reference>
        </references>
      </pivotArea>
    </format>
    <format dxfId="301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>
            <x v="318"/>
          </reference>
        </references>
      </pivotArea>
    </format>
    <format dxfId="301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>
            <x v="317"/>
          </reference>
        </references>
      </pivotArea>
    </format>
    <format dxfId="301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>
            <x v="311"/>
          </reference>
        </references>
      </pivotArea>
    </format>
    <format dxfId="3015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>
            <x v="312"/>
          </reference>
        </references>
      </pivotArea>
    </format>
    <format dxfId="3014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>
            <x v="313"/>
          </reference>
        </references>
      </pivotArea>
    </format>
    <format dxfId="3013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>
            <x v="315"/>
          </reference>
        </references>
      </pivotArea>
    </format>
    <format dxfId="3012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>
            <x v="316"/>
          </reference>
        </references>
      </pivotArea>
    </format>
    <format dxfId="3011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>
            <x v="310"/>
          </reference>
        </references>
      </pivotArea>
    </format>
    <format dxfId="3010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>
            <x v="307"/>
          </reference>
        </references>
      </pivotArea>
    </format>
    <format dxfId="3009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43"/>
          </reference>
        </references>
      </pivotArea>
    </format>
    <format dxfId="3008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>
            <x v="491"/>
          </reference>
        </references>
      </pivotArea>
    </format>
    <format dxfId="3007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96"/>
          </reference>
        </references>
      </pivotArea>
    </format>
    <format dxfId="3006">
      <pivotArea dataOnly="0" labelOnly="1" outline="0" fieldPosition="0">
        <references count="8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>
            <x v="574"/>
          </reference>
        </references>
      </pivotArea>
    </format>
    <format dxfId="3005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605"/>
          </reference>
        </references>
      </pivotArea>
    </format>
    <format dxfId="3004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610"/>
          </reference>
        </references>
      </pivotArea>
    </format>
    <format dxfId="3003">
      <pivotArea dataOnly="0" labelOnly="1" outline="0" fieldPosition="0">
        <references count="8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>
            <x v="607"/>
          </reference>
        </references>
      </pivotArea>
    </format>
    <format dxfId="3002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60"/>
          </reference>
        </references>
      </pivotArea>
    </format>
    <format dxfId="3001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65"/>
          </reference>
        </references>
      </pivotArea>
    </format>
    <format dxfId="3000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62"/>
          </reference>
        </references>
      </pivotArea>
    </format>
    <format dxfId="2999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263"/>
          </reference>
        </references>
      </pivotArea>
    </format>
    <format dxfId="2998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264"/>
          </reference>
        </references>
      </pivotArea>
    </format>
    <format dxfId="2997">
      <pivotArea dataOnly="0" labelOnly="1" outline="0" fieldPosition="0">
        <references count="8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267"/>
          </reference>
        </references>
      </pivotArea>
    </format>
    <format dxfId="2996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18"/>
          </reference>
        </references>
      </pivotArea>
    </format>
    <format dxfId="2995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21"/>
          </reference>
        </references>
      </pivotArea>
    </format>
    <format dxfId="2994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16"/>
          </reference>
        </references>
      </pivotArea>
    </format>
    <format dxfId="2993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419"/>
          </reference>
        </references>
      </pivotArea>
    </format>
    <format dxfId="2992">
      <pivotArea dataOnly="0" labelOnly="1" outline="0" fieldPosition="0">
        <references count="8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20"/>
          </reference>
        </references>
      </pivotArea>
    </format>
    <format dxfId="2991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>
            <x v="572"/>
          </reference>
        </references>
      </pivotArea>
    </format>
    <format dxfId="2990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71"/>
          </reference>
        </references>
      </pivotArea>
    </format>
    <format dxfId="2989">
      <pivotArea dataOnly="0" labelOnly="1" outline="0" fieldPosition="0">
        <references count="8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573"/>
          </reference>
        </references>
      </pivotArea>
    </format>
    <format dxfId="2988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621"/>
          </reference>
        </references>
      </pivotArea>
    </format>
    <format dxfId="2987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39"/>
          </reference>
        </references>
      </pivotArea>
    </format>
    <format dxfId="2986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83"/>
          </reference>
        </references>
      </pivotArea>
    </format>
    <format dxfId="2985">
      <pivotArea dataOnly="0" labelOnly="1" outline="0" fieldPosition="0">
        <references count="8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622"/>
          </reference>
        </references>
      </pivotArea>
    </format>
    <format dxfId="298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26"/>
          </reference>
        </references>
      </pivotArea>
    </format>
    <format dxfId="298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21"/>
          </reference>
        </references>
      </pivotArea>
    </format>
    <format dxfId="298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19"/>
          </reference>
        </references>
      </pivotArea>
    </format>
    <format dxfId="298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18"/>
          </reference>
        </references>
      </pivotArea>
    </format>
    <format dxfId="298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25"/>
          </reference>
        </references>
      </pivotArea>
    </format>
    <format dxfId="297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22"/>
          </reference>
        </references>
      </pivotArea>
    </format>
    <format dxfId="297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08"/>
          </reference>
        </references>
      </pivotArea>
    </format>
    <format dxfId="297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510"/>
          </reference>
        </references>
      </pivotArea>
    </format>
    <format dxfId="297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07"/>
          </reference>
        </references>
      </pivotArea>
    </format>
    <format dxfId="297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509"/>
          </reference>
        </references>
      </pivotArea>
    </format>
    <format dxfId="297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2">
            <x v="495"/>
            <x v="498"/>
          </reference>
        </references>
      </pivotArea>
    </format>
    <format dxfId="297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96"/>
          </reference>
        </references>
      </pivotArea>
    </format>
    <format dxfId="2972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497"/>
          </reference>
        </references>
      </pivotArea>
    </format>
    <format dxfId="2971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3"/>
          </reference>
        </references>
      </pivotArea>
    </format>
    <format dxfId="2970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24"/>
          </reference>
        </references>
      </pivotArea>
    </format>
    <format dxfId="2969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492"/>
          </reference>
        </references>
      </pivotArea>
    </format>
    <format dxfId="2968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>
            <x v="511"/>
          </reference>
        </references>
      </pivotArea>
    </format>
    <format dxfId="2967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17"/>
          </reference>
        </references>
      </pivotArea>
    </format>
    <format dxfId="2966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520"/>
          </reference>
        </references>
      </pivotArea>
    </format>
    <format dxfId="2965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03"/>
          </reference>
        </references>
      </pivotArea>
    </format>
    <format dxfId="2964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>
            <x v="527"/>
          </reference>
        </references>
      </pivotArea>
    </format>
    <format dxfId="2963">
      <pivotArea dataOnly="0" labelOnly="1" outline="0" fieldPosition="0">
        <references count="8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505"/>
          </reference>
        </references>
      </pivotArea>
    </format>
    <format dxfId="2962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401"/>
          </reference>
        </references>
      </pivotArea>
    </format>
    <format dxfId="2961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400"/>
          </reference>
        </references>
      </pivotArea>
    </format>
    <format dxfId="2960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99"/>
          </reference>
        </references>
      </pivotArea>
    </format>
    <format dxfId="2959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98"/>
          </reference>
        </references>
      </pivotArea>
    </format>
    <format dxfId="2958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403"/>
          </reference>
        </references>
      </pivotArea>
    </format>
    <format dxfId="2957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88"/>
          </reference>
        </references>
      </pivotArea>
    </format>
    <format dxfId="2956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94"/>
          </reference>
        </references>
      </pivotArea>
    </format>
    <format dxfId="2955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92"/>
          </reference>
        </references>
      </pivotArea>
    </format>
    <format dxfId="2954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>
            <x v="402"/>
          </reference>
        </references>
      </pivotArea>
    </format>
    <format dxfId="2953">
      <pivotArea dataOnly="0" labelOnly="1" outline="0" fieldPosition="0">
        <references count="8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393"/>
          </reference>
        </references>
      </pivotArea>
    </format>
    <format dxfId="2952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0"/>
          </reference>
        </references>
      </pivotArea>
    </format>
    <format dxfId="2951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198"/>
          </reference>
        </references>
      </pivotArea>
    </format>
    <format dxfId="2950">
      <pivotArea dataOnly="0" labelOnly="1" outline="0" fieldPosition="0">
        <references count="8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58"/>
          </reference>
        </references>
      </pivotArea>
    </format>
    <format dxfId="294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83"/>
          </reference>
        </references>
      </pivotArea>
    </format>
    <format dxfId="294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62"/>
          </reference>
        </references>
      </pivotArea>
    </format>
    <format dxfId="294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54"/>
          </reference>
        </references>
      </pivotArea>
    </format>
    <format dxfId="294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61"/>
          </reference>
        </references>
      </pivotArea>
    </format>
    <format dxfId="294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76"/>
          </reference>
        </references>
      </pivotArea>
    </format>
    <format dxfId="294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365"/>
          </reference>
        </references>
      </pivotArea>
    </format>
    <format dxfId="294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60"/>
          </reference>
        </references>
      </pivotArea>
    </format>
    <format dxfId="294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59"/>
          </reference>
        </references>
      </pivotArea>
    </format>
    <format dxfId="294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75"/>
          </reference>
        </references>
      </pivotArea>
    </format>
    <format dxfId="294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>
            <x v="379"/>
          </reference>
        </references>
      </pivotArea>
    </format>
    <format dxfId="293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2">
            <x v="364"/>
            <x v="371"/>
          </reference>
        </references>
      </pivotArea>
    </format>
    <format dxfId="2938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>
            <x v="363"/>
          </reference>
        </references>
      </pivotArea>
    </format>
    <format dxfId="2937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4"/>
          </reference>
        </references>
      </pivotArea>
    </format>
    <format dxfId="2936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>
            <x v="373"/>
          </reference>
        </references>
      </pivotArea>
    </format>
    <format dxfId="2935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>
            <x v="378"/>
          </reference>
        </references>
      </pivotArea>
    </format>
    <format dxfId="2934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49"/>
          </reference>
        </references>
      </pivotArea>
    </format>
    <format dxfId="2933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384"/>
          </reference>
        </references>
      </pivotArea>
    </format>
    <format dxfId="2932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382"/>
          </reference>
        </references>
      </pivotArea>
    </format>
    <format dxfId="2931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386"/>
          </reference>
        </references>
      </pivotArea>
    </format>
    <format dxfId="2930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81"/>
          </reference>
        </references>
      </pivotArea>
    </format>
    <format dxfId="2929">
      <pivotArea dataOnly="0" labelOnly="1" outline="0" fieldPosition="0">
        <references count="8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467"/>
          </reference>
        </references>
      </pivotArea>
    </format>
    <format dxfId="2928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69"/>
          </reference>
        </references>
      </pivotArea>
    </format>
    <format dxfId="2927">
      <pivotArea dataOnly="0" labelOnly="1" outline="0" fieldPosition="0">
        <references count="8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>
            <x v="372"/>
          </reference>
        </references>
      </pivotArea>
    </format>
    <format dxfId="292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244"/>
          </reference>
        </references>
      </pivotArea>
    </format>
    <format dxfId="292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242"/>
          </reference>
        </references>
      </pivotArea>
    </format>
    <format dxfId="292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241"/>
          </reference>
        </references>
      </pivotArea>
    </format>
    <format dxfId="292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240"/>
          </reference>
        </references>
      </pivotArea>
    </format>
    <format dxfId="2922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243"/>
          </reference>
        </references>
      </pivotArea>
    </format>
    <format dxfId="2921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22"/>
          </reference>
        </references>
      </pivotArea>
    </format>
    <format dxfId="2920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30"/>
          </reference>
        </references>
      </pivotArea>
    </format>
    <format dxfId="2919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36"/>
          </reference>
        </references>
      </pivotArea>
    </format>
    <format dxfId="2918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226"/>
          </reference>
        </references>
      </pivotArea>
    </format>
    <format dxfId="2917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31"/>
          </reference>
        </references>
      </pivotArea>
    </format>
    <format dxfId="2916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228"/>
          </reference>
        </references>
      </pivotArea>
    </format>
    <format dxfId="2915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237"/>
          </reference>
        </references>
      </pivotArea>
    </format>
    <format dxfId="2914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>
            <x v="239"/>
          </reference>
        </references>
      </pivotArea>
    </format>
    <format dxfId="2913">
      <pivotArea dataOnly="0" labelOnly="1" outline="0" fieldPosition="0">
        <references count="8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235"/>
          </reference>
        </references>
      </pivotArea>
    </format>
    <format dxfId="2912">
      <pivotArea dataOnly="0" labelOnly="1" outline="0" fieldPosition="0">
        <references count="8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7"/>
          </reference>
        </references>
      </pivotArea>
    </format>
    <format dxfId="2911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48"/>
          </reference>
        </references>
      </pivotArea>
    </format>
    <format dxfId="2910">
      <pivotArea dataOnly="0" labelOnly="1" outline="0" fieldPosition="0">
        <references count="8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49"/>
          </reference>
        </references>
      </pivotArea>
    </format>
    <format dxfId="2909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250"/>
          </reference>
        </references>
      </pivotArea>
    </format>
    <format dxfId="2908">
      <pivotArea dataOnly="0" labelOnly="1" outline="0" fieldPosition="0">
        <references count="8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252"/>
          </reference>
        </references>
      </pivotArea>
    </format>
    <format dxfId="2907">
      <pivotArea dataOnly="0" labelOnly="1" outline="0" fieldPosition="0">
        <references count="8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253"/>
          </reference>
        </references>
      </pivotArea>
    </format>
    <format dxfId="2906">
      <pivotArea dataOnly="0" labelOnly="1" outline="0" fieldPosition="0">
        <references count="8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387"/>
          </reference>
        </references>
      </pivotArea>
    </format>
    <format dxfId="2905">
      <pivotArea dataOnly="0" labelOnly="1" outline="0" fieldPosition="0">
        <references count="8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72"/>
          </reference>
        </references>
      </pivotArea>
    </format>
    <format dxfId="2904">
      <pivotArea dataOnly="0" labelOnly="1" outline="0" fieldPosition="0">
        <references count="8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4"/>
          </reference>
        </references>
      </pivotArea>
    </format>
    <format dxfId="2903">
      <pivotArea dataOnly="0" labelOnly="1" outline="0" fieldPosition="0">
        <references count="8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48"/>
          </reference>
        </references>
      </pivotArea>
    </format>
    <format dxfId="2902">
      <pivotArea dataOnly="0" labelOnly="1" outline="0" fieldPosition="0">
        <references count="8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197"/>
          </reference>
        </references>
      </pivotArea>
    </format>
    <format dxfId="2901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51"/>
          </reference>
        </references>
      </pivotArea>
    </format>
    <format dxfId="2900">
      <pivotArea dataOnly="0" labelOnly="1" outline="0" fieldPosition="0">
        <references count="8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>
            <x v="449"/>
          </reference>
        </references>
      </pivotArea>
    </format>
    <format dxfId="2899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2898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88"/>
          </reference>
        </references>
      </pivotArea>
    </format>
    <format dxfId="2897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87"/>
          </reference>
        </references>
      </pivotArea>
    </format>
    <format dxfId="2896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86"/>
          </reference>
        </references>
      </pivotArea>
    </format>
    <format dxfId="2895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85"/>
          </reference>
        </references>
      </pivotArea>
    </format>
    <format dxfId="2894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71"/>
          </reference>
        </references>
      </pivotArea>
    </format>
    <format dxfId="2893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84"/>
          </reference>
        </references>
      </pivotArea>
    </format>
    <format dxfId="2892">
      <pivotArea dataOnly="0" labelOnly="1" outline="0" fieldPosition="0">
        <references count="8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>
            <x v="181"/>
          </reference>
        </references>
      </pivotArea>
    </format>
    <format dxfId="2891">
      <pivotArea dataOnly="0" labelOnly="1" outline="0" fieldPosition="0">
        <references count="8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60"/>
          </reference>
        </references>
      </pivotArea>
    </format>
    <format dxfId="2890">
      <pivotArea dataOnly="0" labelOnly="1" outline="0" fieldPosition="0">
        <references count="8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9"/>
          </reference>
        </references>
      </pivotArea>
    </format>
    <format dxfId="2889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>
            <x v="567"/>
          </reference>
        </references>
      </pivotArea>
    </format>
    <format dxfId="2888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>
            <x v="566"/>
          </reference>
        </references>
      </pivotArea>
    </format>
    <format dxfId="2887">
      <pivotArea dataOnly="0" labelOnly="1" outline="0" fieldPosition="0">
        <references count="8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>
            <x v="565"/>
          </reference>
        </references>
      </pivotArea>
    </format>
    <format dxfId="2886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>
            <x v="472"/>
          </reference>
        </references>
      </pivotArea>
    </format>
    <format dxfId="2885">
      <pivotArea dataOnly="0" labelOnly="1" outline="0" fieldPosition="0">
        <references count="8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475"/>
          </reference>
        </references>
      </pivotArea>
    </format>
    <format dxfId="288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288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554"/>
          </reference>
        </references>
      </pivotArea>
    </format>
    <format dxfId="288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542"/>
          </reference>
        </references>
      </pivotArea>
    </format>
    <format dxfId="288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540"/>
          </reference>
        </references>
      </pivotArea>
    </format>
    <format dxfId="288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538"/>
          </reference>
        </references>
      </pivotArea>
    </format>
    <format dxfId="287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549"/>
          </reference>
        </references>
      </pivotArea>
    </format>
    <format dxfId="287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>
            <x v="543"/>
          </reference>
        </references>
      </pivotArea>
    </format>
    <format dxfId="287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35"/>
          </reference>
        </references>
      </pivotArea>
    </format>
    <format dxfId="287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533"/>
          </reference>
        </references>
      </pivotArea>
    </format>
    <format dxfId="287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534"/>
          </reference>
        </references>
      </pivotArea>
    </format>
    <format dxfId="287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45"/>
          </reference>
        </references>
      </pivotArea>
    </format>
    <format dxfId="287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44"/>
          </reference>
        </references>
      </pivotArea>
    </format>
    <format dxfId="287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41"/>
          </reference>
        </references>
      </pivotArea>
    </format>
    <format dxfId="287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3"/>
          </reference>
        </references>
      </pivotArea>
    </format>
    <format dxfId="287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>
            <x v="546"/>
          </reference>
        </references>
      </pivotArea>
    </format>
    <format dxfId="286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536"/>
          </reference>
        </references>
      </pivotArea>
    </format>
    <format dxfId="286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>
            <x v="550"/>
          </reference>
        </references>
      </pivotArea>
    </format>
    <format dxfId="2867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>
            <x v="547"/>
          </reference>
        </references>
      </pivotArea>
    </format>
    <format dxfId="2866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>
            <x v="539"/>
          </reference>
        </references>
      </pivotArea>
    </format>
    <format dxfId="2865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32"/>
          </reference>
        </references>
      </pivotArea>
    </format>
    <format dxfId="2864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>
            <x v="557"/>
          </reference>
        </references>
      </pivotArea>
    </format>
    <format dxfId="2863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>
            <x v="556"/>
          </reference>
        </references>
      </pivotArea>
    </format>
    <format dxfId="2862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>
            <x v="558"/>
          </reference>
        </references>
      </pivotArea>
    </format>
    <format dxfId="2861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>
            <x v="559"/>
          </reference>
        </references>
      </pivotArea>
    </format>
    <format dxfId="2860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531"/>
          </reference>
        </references>
      </pivotArea>
    </format>
    <format dxfId="2859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>
            <x v="555"/>
          </reference>
        </references>
      </pivotArea>
    </format>
    <format dxfId="2858">
      <pivotArea dataOnly="0" labelOnly="1" outline="0" fieldPosition="0">
        <references count="8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>
            <x v="552"/>
          </reference>
        </references>
      </pivotArea>
    </format>
    <format dxfId="285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02"/>
          </reference>
        </references>
      </pivotArea>
    </format>
    <format dxfId="285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05"/>
          </reference>
        </references>
      </pivotArea>
    </format>
    <format dxfId="285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01"/>
          </reference>
        </references>
      </pivotArea>
    </format>
    <format dxfId="285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97"/>
          </reference>
        </references>
      </pivotArea>
    </format>
    <format dxfId="285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16"/>
          </reference>
        </references>
      </pivotArea>
    </format>
    <format dxfId="285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94"/>
          </reference>
        </references>
      </pivotArea>
    </format>
    <format dxfId="285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92"/>
          </reference>
        </references>
      </pivotArea>
    </format>
    <format dxfId="285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91"/>
          </reference>
        </references>
      </pivotArea>
    </format>
    <format dxfId="284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9"/>
          </reference>
        </references>
      </pivotArea>
    </format>
    <format dxfId="284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06"/>
          </reference>
        </references>
      </pivotArea>
    </format>
    <format dxfId="284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>
            <x v="591"/>
          </reference>
        </references>
      </pivotArea>
    </format>
    <format dxfId="284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592"/>
          </reference>
        </references>
      </pivotArea>
    </format>
    <format dxfId="2845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08"/>
          </reference>
        </references>
      </pivotArea>
    </format>
    <format dxfId="2844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03"/>
          </reference>
        </references>
      </pivotArea>
    </format>
    <format dxfId="2843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15"/>
          </reference>
        </references>
      </pivotArea>
    </format>
    <format dxfId="2842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0"/>
          </reference>
        </references>
      </pivotArea>
    </format>
    <format dxfId="2841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>
            <x v="96"/>
          </reference>
        </references>
      </pivotArea>
    </format>
    <format dxfId="2840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12"/>
          </reference>
        </references>
      </pivotArea>
    </format>
    <format dxfId="2839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07"/>
          </reference>
        </references>
      </pivotArea>
    </format>
    <format dxfId="2838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13"/>
          </reference>
        </references>
      </pivotArea>
    </format>
    <format dxfId="2837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>
            <x v="593"/>
          </reference>
        </references>
      </pivotArea>
    </format>
    <format dxfId="2836">
      <pivotArea dataOnly="0" labelOnly="1" outline="0" fieldPosition="0">
        <references count="8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114"/>
          </reference>
        </references>
      </pivotArea>
    </format>
    <format dxfId="2835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7"/>
          </reference>
        </references>
      </pivotArea>
    </format>
    <format dxfId="2834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3"/>
          </reference>
        </references>
      </pivotArea>
    </format>
    <format dxfId="2833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1"/>
          </reference>
        </references>
      </pivotArea>
    </format>
    <format dxfId="2832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52"/>
          </reference>
        </references>
      </pivotArea>
    </format>
    <format dxfId="2831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55"/>
          </reference>
        </references>
      </pivotArea>
    </format>
    <format dxfId="2830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57"/>
          </reference>
        </references>
      </pivotArea>
    </format>
    <format dxfId="2829">
      <pivotArea dataOnly="0" labelOnly="1" outline="0" fieldPosition="0">
        <references count="8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6"/>
          </reference>
        </references>
      </pivotArea>
    </format>
    <format dxfId="2828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82"/>
          </reference>
        </references>
      </pivotArea>
    </format>
    <format dxfId="2827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5"/>
          </reference>
        </references>
      </pivotArea>
    </format>
    <format dxfId="2826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83"/>
          </reference>
        </references>
      </pivotArea>
    </format>
    <format dxfId="2825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87"/>
          </reference>
        </references>
      </pivotArea>
    </format>
    <format dxfId="2824">
      <pivotArea dataOnly="0" labelOnly="1" outline="0" fieldPosition="0">
        <references count="8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86"/>
          </reference>
        </references>
      </pivotArea>
    </format>
    <format dxfId="2823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10"/>
          </reference>
        </references>
      </pivotArea>
    </format>
    <format dxfId="2822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16"/>
          </reference>
        </references>
      </pivotArea>
    </format>
    <format dxfId="2821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>
            <x v="207"/>
          </reference>
        </references>
      </pivotArea>
    </format>
    <format dxfId="2820">
      <pivotArea dataOnly="0" labelOnly="1" outline="0" fieldPosition="0">
        <references count="8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>
            <x v="211"/>
          </reference>
        </references>
      </pivotArea>
    </format>
    <format dxfId="281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"/>
          </reference>
        </references>
      </pivotArea>
    </format>
    <format dxfId="281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"/>
          </reference>
        </references>
      </pivotArea>
    </format>
    <format dxfId="281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"/>
          </reference>
        </references>
      </pivotArea>
    </format>
    <format dxfId="2816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"/>
          </reference>
        </references>
      </pivotArea>
    </format>
    <format dxfId="2815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0"/>
          </reference>
        </references>
      </pivotArea>
    </format>
    <format dxfId="2814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7"/>
          </reference>
        </references>
      </pivotArea>
    </format>
    <format dxfId="2813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8"/>
          </reference>
        </references>
      </pivotArea>
    </format>
    <format dxfId="2812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1"/>
          </reference>
        </references>
      </pivotArea>
    </format>
    <format dxfId="2811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6"/>
          </reference>
        </references>
      </pivotArea>
    </format>
    <format dxfId="2810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6"/>
          </reference>
        </references>
      </pivotArea>
    </format>
    <format dxfId="2809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4"/>
          </reference>
        </references>
      </pivotArea>
    </format>
    <format dxfId="2808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9"/>
          </reference>
        </references>
      </pivotArea>
    </format>
    <format dxfId="2807">
      <pivotArea dataOnly="0" labelOnly="1" outline="0" fieldPosition="0">
        <references count="8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5"/>
          </reference>
        </references>
      </pivotArea>
    </format>
    <format dxfId="2806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44"/>
          </reference>
        </references>
      </pivotArea>
    </format>
    <format dxfId="2805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141"/>
          </reference>
        </references>
      </pivotArea>
    </format>
    <format dxfId="2804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45"/>
          </reference>
        </references>
      </pivotArea>
    </format>
    <format dxfId="2803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142"/>
          </reference>
        </references>
      </pivotArea>
    </format>
    <format dxfId="2802">
      <pivotArea dataOnly="0" labelOnly="1" outline="0" fieldPosition="0">
        <references count="8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146"/>
          </reference>
        </references>
      </pivotArea>
    </format>
    <format dxfId="280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132"/>
          </reference>
        </references>
      </pivotArea>
    </format>
    <format dxfId="280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126"/>
          </reference>
        </references>
      </pivotArea>
    </format>
    <format dxfId="279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123"/>
          </reference>
        </references>
      </pivotArea>
    </format>
    <format dxfId="2798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121"/>
          </reference>
        </references>
      </pivotArea>
    </format>
    <format dxfId="2797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133"/>
          </reference>
        </references>
      </pivotArea>
    </format>
    <format dxfId="2796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119"/>
          </reference>
        </references>
      </pivotArea>
    </format>
    <format dxfId="2795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117"/>
          </reference>
        </references>
      </pivotArea>
    </format>
    <format dxfId="2794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118"/>
          </reference>
        </references>
      </pivotArea>
    </format>
    <format dxfId="2793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128"/>
          </reference>
        </references>
      </pivotArea>
    </format>
    <format dxfId="2792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25"/>
          </reference>
        </references>
      </pivotArea>
    </format>
    <format dxfId="2791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27"/>
          </reference>
        </references>
      </pivotArea>
    </format>
    <format dxfId="2790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24"/>
          </reference>
        </references>
      </pivotArea>
    </format>
    <format dxfId="2789">
      <pivotArea dataOnly="0" labelOnly="1" outline="0" fieldPosition="0">
        <references count="8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31"/>
          </reference>
        </references>
      </pivotArea>
    </format>
    <format dxfId="278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>
            <x v="349"/>
          </reference>
        </references>
      </pivotArea>
    </format>
    <format dxfId="278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>
            <x v="338"/>
          </reference>
        </references>
      </pivotArea>
    </format>
    <format dxfId="278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>
            <x v="335"/>
          </reference>
        </references>
      </pivotArea>
    </format>
    <format dxfId="278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>
            <x v="333"/>
          </reference>
        </references>
      </pivotArea>
    </format>
    <format dxfId="278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>
            <x v="348"/>
          </reference>
        </references>
      </pivotArea>
    </format>
    <format dxfId="278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330"/>
          </reference>
        </references>
      </pivotArea>
    </format>
    <format dxfId="278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328"/>
          </reference>
        </references>
      </pivotArea>
    </format>
    <format dxfId="2781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327"/>
          </reference>
        </references>
      </pivotArea>
    </format>
    <format dxfId="2780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329"/>
          </reference>
        </references>
      </pivotArea>
    </format>
    <format dxfId="2779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39"/>
          </reference>
        </references>
      </pivotArea>
    </format>
    <format dxfId="2778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337"/>
          </reference>
        </references>
      </pivotArea>
    </format>
    <format dxfId="2777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340"/>
          </reference>
        </references>
      </pivotArea>
    </format>
    <format dxfId="2776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336"/>
          </reference>
        </references>
      </pivotArea>
    </format>
    <format dxfId="2775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347"/>
          </reference>
        </references>
      </pivotArea>
    </format>
    <format dxfId="2774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344"/>
          </reference>
        </references>
      </pivotArea>
    </format>
    <format dxfId="2773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>
            <x v="343"/>
          </reference>
        </references>
      </pivotArea>
    </format>
    <format dxfId="2772">
      <pivotArea dataOnly="0" labelOnly="1" outline="0" fieldPosition="0">
        <references count="8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345"/>
          </reference>
        </references>
      </pivotArea>
    </format>
    <format dxfId="277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430"/>
          </reference>
        </references>
      </pivotArea>
    </format>
    <format dxfId="2770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428"/>
          </reference>
        </references>
      </pivotArea>
    </format>
    <format dxfId="2769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427"/>
          </reference>
        </references>
      </pivotArea>
    </format>
    <format dxfId="2768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>
            <x v="429"/>
          </reference>
        </references>
      </pivotArea>
    </format>
    <format dxfId="2767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437"/>
          </reference>
        </references>
      </pivotArea>
    </format>
    <format dxfId="2766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435"/>
          </reference>
        </references>
      </pivotArea>
    </format>
    <format dxfId="2765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438"/>
          </reference>
        </references>
      </pivotArea>
    </format>
    <format dxfId="2764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436"/>
          </reference>
        </references>
      </pivotArea>
    </format>
    <format dxfId="2763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433"/>
          </reference>
        </references>
      </pivotArea>
    </format>
    <format dxfId="2762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440"/>
          </reference>
        </references>
      </pivotArea>
    </format>
    <format dxfId="2761">
      <pivotArea dataOnly="0" labelOnly="1" outline="0" fieldPosition="0">
        <references count="8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>
            <x v="441"/>
          </reference>
        </references>
      </pivotArea>
    </format>
    <format dxfId="2760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>
            <x v="587"/>
          </reference>
        </references>
      </pivotArea>
    </format>
    <format dxfId="2759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580"/>
          </reference>
        </references>
      </pivotArea>
    </format>
    <format dxfId="2758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577"/>
          </reference>
        </references>
      </pivotArea>
    </format>
    <format dxfId="2757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588"/>
          </reference>
        </references>
      </pivotArea>
    </format>
    <format dxfId="2756">
      <pivotArea dataOnly="0" labelOnly="1" outline="0" fieldPosition="0">
        <references count="8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579"/>
          </reference>
        </references>
      </pivotArea>
    </format>
    <format dxfId="275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>
            <x v="159"/>
          </reference>
        </references>
      </pivotArea>
    </format>
    <format dxfId="2754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>
            <x v="154"/>
          </reference>
        </references>
      </pivotArea>
    </format>
    <format dxfId="2753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>
            <x v="156"/>
          </reference>
        </references>
      </pivotArea>
    </format>
    <format dxfId="2752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>
            <x v="153"/>
          </reference>
        </references>
      </pivotArea>
    </format>
    <format dxfId="2751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>
            <x v="166"/>
          </reference>
        </references>
      </pivotArea>
    </format>
    <format dxfId="2750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164"/>
          </reference>
        </references>
      </pivotArea>
    </format>
    <format dxfId="2749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>
            <x v="152"/>
          </reference>
        </references>
      </pivotArea>
    </format>
    <format dxfId="2748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151"/>
          </reference>
        </references>
      </pivotArea>
    </format>
    <format dxfId="2747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>
            <x v="161"/>
          </reference>
        </references>
      </pivotArea>
    </format>
    <format dxfId="2746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>
            <x v="170"/>
          </reference>
        </references>
      </pivotArea>
    </format>
    <format dxfId="2745">
      <pivotArea dataOnly="0" labelOnly="1" outline="0" fieldPosition="0">
        <references count="8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>
            <x v="162"/>
          </reference>
        </references>
      </pivotArea>
    </format>
    <format dxfId="2744">
      <pivotArea dataOnly="0" labelOnly="1" outline="0" fieldPosition="0">
        <references count="8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324"/>
          </reference>
        </references>
      </pivotArea>
    </format>
    <format dxfId="2743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>
            <x v="281"/>
          </reference>
        </references>
      </pivotArea>
    </format>
    <format dxfId="2742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>
            <x v="246"/>
          </reference>
        </references>
      </pivotArea>
    </format>
    <format dxfId="2741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>
            <x v="283"/>
          </reference>
        </references>
      </pivotArea>
    </format>
    <format dxfId="2740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>
            <x v="280"/>
          </reference>
        </references>
      </pivotArea>
    </format>
    <format dxfId="2739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>
            <x v="285"/>
          </reference>
        </references>
      </pivotArea>
    </format>
    <format dxfId="2738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>
            <x v="278"/>
          </reference>
        </references>
      </pivotArea>
    </format>
    <format dxfId="2737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>
            <x v="31"/>
          </reference>
        </references>
      </pivotArea>
    </format>
    <format dxfId="2736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>
            <x v="282"/>
          </reference>
        </references>
      </pivotArea>
    </format>
    <format dxfId="2735">
      <pivotArea dataOnly="0" labelOnly="1" outline="0" fieldPosition="0">
        <references count="8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>
            <x v="466"/>
          </reference>
        </references>
      </pivotArea>
    </format>
    <format dxfId="2734">
      <pivotArea field="36" type="button" dataOnly="0" labelOnly="1" outline="0" axis="axisRow" fieldPosition="11"/>
    </format>
    <format dxfId="2733">
      <pivotArea field="37" type="button" dataOnly="0" labelOnly="1" outline="0" axis="axisRow" fieldPosition="12"/>
    </format>
    <format dxfId="273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73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273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72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272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72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72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72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72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272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72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272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2720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2719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71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71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271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271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271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71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71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71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271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270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270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70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270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70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70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70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70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270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270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69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269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69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69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269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269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69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69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69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269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68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268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687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2686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268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2684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2683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2682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2681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68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67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67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67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67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267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67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67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267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67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67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66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66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266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666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665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2664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2663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2662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661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266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265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65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65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265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265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265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265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265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265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265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264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264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264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264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264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264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264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264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264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264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263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263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263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263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2635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263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263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263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263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63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2629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628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62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626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2625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2624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62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62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262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262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619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2618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617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616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615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614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613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612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61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610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60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60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60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60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60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260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260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60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60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60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259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59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259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59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259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259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59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59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259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59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58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58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58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58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58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58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58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58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58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58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257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2578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577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576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57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57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57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57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57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57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256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56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56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56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256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56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56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56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56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56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55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55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55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55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55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55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553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552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255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55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54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54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54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54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54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54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54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54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54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54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53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538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537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2536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2535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2534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2533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53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53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253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529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528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2527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526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2525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2524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52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252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52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52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51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51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51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251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51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51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51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51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251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51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50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50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50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50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250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50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50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50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50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50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49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49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49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249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49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49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49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49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9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249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48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48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248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48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48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8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48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248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248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248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47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478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247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247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7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47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47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72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71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47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6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46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67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466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2465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6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46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46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46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46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245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45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245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45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2455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54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45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52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45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45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44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44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44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244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244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44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44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244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44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44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43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43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43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43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243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43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43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43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43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243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2429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428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42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242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42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242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2423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422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2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420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1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41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41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41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241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41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41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41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41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41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09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0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40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0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240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40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40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240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40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40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239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239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239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9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239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39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239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239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2391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2390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2389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388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2387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238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8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38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238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238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238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238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237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237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237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237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7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2374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2373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2372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71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237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36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236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236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236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2365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236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236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236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236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236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235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2358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235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235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235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235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235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2352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351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2350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2349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2348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234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234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4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34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234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34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34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234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233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233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233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233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233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2334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33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332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331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33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2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32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32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32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32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32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32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32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32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32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31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31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231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231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31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2314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2313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312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231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231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30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30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230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230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30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230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2303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302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2301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2300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2299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2298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297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296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295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2294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2293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292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2291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229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2289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2288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228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28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28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28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28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28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228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228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227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227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227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227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227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227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227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227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27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27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226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26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226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26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226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226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226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2262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2261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226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25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25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225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2256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255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254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253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2252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251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25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24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248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247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2246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245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24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24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24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24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240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2239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223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23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23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235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234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223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223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223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2230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2229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22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22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22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222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222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222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22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222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222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221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2218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2217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21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221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221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221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2212">
      <pivotArea field="36" type="button" dataOnly="0" labelOnly="1" outline="0" axis="axisRow" fieldPosition="11"/>
    </format>
    <format dxfId="2211">
      <pivotArea field="37" type="button" dataOnly="0" labelOnly="1" outline="0" axis="axisRow" fieldPosition="12"/>
    </format>
    <format dxfId="221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20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220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20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220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20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20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20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20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220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20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219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2198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2197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19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195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2194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2193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2192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19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19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18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218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218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218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18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218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18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18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18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18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217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217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17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217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17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17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217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217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17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17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16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216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16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216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165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2164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2163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2162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2161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2160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2159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15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15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15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15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15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215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215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15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215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14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14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214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14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214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144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2143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2142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2141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2140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139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213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2137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136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13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213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213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213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213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213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212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212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212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212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212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212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212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212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212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212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211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211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211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211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211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2114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2113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211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211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211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210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10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2107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2106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105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104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2103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2102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10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10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209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2098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97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2096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2095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2094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93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92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091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90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89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2088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8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8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8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8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8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208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208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8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07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7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207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07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207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207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207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207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207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7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206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6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206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6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6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6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6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6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206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6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05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5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205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2056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55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54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5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5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5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5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4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4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204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4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4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204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204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4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4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4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3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3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3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03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3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203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203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3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31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2030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202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202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202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202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202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202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202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202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202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202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1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201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201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2016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15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2014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2013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2012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2011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201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2009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2008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2007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06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2005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04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2003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2002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200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200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9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9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9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9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9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99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9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9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99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99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98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8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8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98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98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8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98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98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8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98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7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7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7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7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97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97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7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7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7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7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6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96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6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6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96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96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6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6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96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96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95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95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957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56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95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95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5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95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5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50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49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4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4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4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45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44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943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4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941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4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3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3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93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3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93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3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933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932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931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930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92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2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2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2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2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92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92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2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2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92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1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91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91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91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91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91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91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91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1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91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0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90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907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906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90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90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90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90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901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900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899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89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89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89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89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89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89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89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89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89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88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88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887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886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885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88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88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88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88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88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87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87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877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87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87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87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87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87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87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87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869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868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867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866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865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86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86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86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86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86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85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85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85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85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85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85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85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852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851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850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849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84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84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84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845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844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843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84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84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84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83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83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837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836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83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83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83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83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83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830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829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828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827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826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825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82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82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82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82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82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81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81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81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81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81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81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81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812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811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810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809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80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80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80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80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80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80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80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80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80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79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9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79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9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79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79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9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792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791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9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789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788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8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8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78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78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8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78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781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80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779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778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777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776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75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74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73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772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771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70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769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76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767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766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76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6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6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6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6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6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75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75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75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75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75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75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75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75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75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75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4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4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74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4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74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4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74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74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74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740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739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73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3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3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73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734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33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32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31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730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29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2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2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26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25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724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23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2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2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72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1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18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717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71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1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13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12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71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71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70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708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707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70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70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704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703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70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70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70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69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69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69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696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695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9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69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69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69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690">
      <pivotArea field="36" type="button" dataOnly="0" labelOnly="1" outline="0" axis="axisRow" fieldPosition="11"/>
    </format>
    <format dxfId="1689">
      <pivotArea field="37" type="button" dataOnly="0" labelOnly="1" outline="0" axis="axisRow" fieldPosition="12"/>
    </format>
    <format dxfId="168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8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57"/>
            <x v="73"/>
          </reference>
        </references>
      </pivotArea>
    </format>
    <format dxfId="1686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85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8">
            <x v="4"/>
            <x v="5"/>
            <x v="6"/>
            <x v="7"/>
            <x v="8"/>
            <x v="9"/>
            <x v="34"/>
            <x v="97"/>
          </reference>
        </references>
      </pivotArea>
    </format>
    <format dxfId="1684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83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82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681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680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36"/>
            <x v="47"/>
          </reference>
        </references>
      </pivotArea>
    </format>
    <format dxfId="1679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78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2">
            <x v="51"/>
            <x v="72"/>
          </reference>
        </references>
      </pivotArea>
    </format>
    <format dxfId="1677">
      <pivotArea dataOnly="0" labelOnly="1" outline="0" fieldPosition="0">
        <references count="12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>
            <x v="98"/>
          </reference>
        </references>
      </pivotArea>
    </format>
    <format dxfId="1676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675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74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73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672">
      <pivotArea dataOnly="0" labelOnly="1" outline="0" fieldPosition="0">
        <references count="12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>
            <x v="17"/>
          </reference>
        </references>
      </pivotArea>
    </format>
    <format dxfId="1671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3"/>
          </reference>
        </references>
      </pivotArea>
    </format>
    <format dxfId="1670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69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68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67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5"/>
            <x v="34"/>
          </reference>
        </references>
      </pivotArea>
    </format>
    <format dxfId="1666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3">
            <x v="10"/>
            <x v="12"/>
            <x v="19"/>
          </reference>
        </references>
      </pivotArea>
    </format>
    <format dxfId="1665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2">
            <x v="20"/>
            <x v="51"/>
          </reference>
        </references>
      </pivotArea>
    </format>
    <format dxfId="1664">
      <pivotArea dataOnly="0" labelOnly="1" outline="0" fieldPosition="0">
        <references count="12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66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11"/>
          </reference>
        </references>
      </pivotArea>
    </format>
    <format dxfId="166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6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6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5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5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3">
            <x v="5"/>
            <x v="12"/>
            <x v="34"/>
          </reference>
        </references>
      </pivotArea>
    </format>
    <format dxfId="165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2">
            <x v="0"/>
            <x v="10"/>
          </reference>
        </references>
      </pivotArea>
    </format>
    <format dxfId="165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65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65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653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652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651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99"/>
          </reference>
        </references>
      </pivotArea>
    </format>
    <format dxfId="1650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649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648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647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646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45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644">
      <pivotArea dataOnly="0" labelOnly="1" outline="0" fieldPosition="0">
        <references count="12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43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>
            <x v="14"/>
          </reference>
        </references>
      </pivotArea>
    </format>
    <format dxfId="1642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3">
            <x v="13"/>
            <x v="19"/>
            <x v="20"/>
          </reference>
        </references>
      </pivotArea>
    </format>
    <format dxfId="1641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>
            <x v="32"/>
          </reference>
        </references>
      </pivotArea>
    </format>
    <format dxfId="1640">
      <pivotArea dataOnly="0" labelOnly="1" outline="0" fieldPosition="0">
        <references count="12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2">
            <x v="28"/>
            <x v="33"/>
          </reference>
        </references>
      </pivotArea>
    </format>
    <format dxfId="1639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2">
            <x v="51"/>
            <x v="91"/>
          </reference>
        </references>
      </pivotArea>
    </format>
    <format dxfId="1638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48"/>
          </reference>
        </references>
      </pivotArea>
    </format>
    <format dxfId="1637">
      <pivotArea dataOnly="0" labelOnly="1" outline="0" fieldPosition="0">
        <references count="12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63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63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63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63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632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6">
            <x v="4"/>
            <x v="5"/>
            <x v="10"/>
            <x v="11"/>
            <x v="12"/>
            <x v="34"/>
          </reference>
        </references>
      </pivotArea>
    </format>
    <format dxfId="1631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630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629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23"/>
          </reference>
        </references>
      </pivotArea>
    </format>
    <format dxfId="1628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627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626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3">
            <x v="54"/>
            <x v="55"/>
            <x v="56"/>
          </reference>
        </references>
      </pivotArea>
    </format>
    <format dxfId="1625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24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623">
      <pivotArea dataOnly="0" labelOnly="1" outline="0" fieldPosition="0">
        <references count="12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622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621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52"/>
          </reference>
        </references>
      </pivotArea>
    </format>
    <format dxfId="1620">
      <pivotArea dataOnly="0" labelOnly="1" outline="0" fieldPosition="0">
        <references count="12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>
            <x v="72"/>
          </reference>
        </references>
      </pivotArea>
    </format>
    <format dxfId="1619">
      <pivotArea dataOnly="0" labelOnly="1" outline="0" fieldPosition="0">
        <references count="12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30"/>
          </reference>
        </references>
      </pivotArea>
    </format>
    <format dxfId="1618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617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2"/>
            <x v="57"/>
          </reference>
        </references>
      </pivotArea>
    </format>
    <format dxfId="1616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615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614">
      <pivotArea dataOnly="0" labelOnly="1" outline="0" fieldPosition="0">
        <references count="12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61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61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39"/>
          </reference>
        </references>
      </pivotArea>
    </format>
    <format dxfId="161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6"/>
          </reference>
        </references>
      </pivotArea>
    </format>
    <format dxfId="161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6"/>
          </reference>
        </references>
      </pivotArea>
    </format>
    <format dxfId="160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60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35"/>
          </reference>
        </references>
      </pivotArea>
    </format>
    <format dxfId="160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>
            <x v="58"/>
          </reference>
        </references>
      </pivotArea>
    </format>
    <format dxfId="160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59"/>
          </reference>
        </references>
      </pivotArea>
    </format>
    <format dxfId="160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0"/>
          </reference>
        </references>
      </pivotArea>
    </format>
    <format dxfId="160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60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2"/>
          </reference>
        </references>
      </pivotArea>
    </format>
    <format dxfId="1602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3"/>
          </reference>
        </references>
      </pivotArea>
    </format>
    <format dxfId="1601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4"/>
          </reference>
        </references>
      </pivotArea>
    </format>
    <format dxfId="1600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5"/>
          </reference>
        </references>
      </pivotArea>
    </format>
    <format dxfId="1599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6"/>
          </reference>
        </references>
      </pivotArea>
    </format>
    <format dxfId="1598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7"/>
          </reference>
        </references>
      </pivotArea>
    </format>
    <format dxfId="1597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8"/>
          </reference>
        </references>
      </pivotArea>
    </format>
    <format dxfId="1596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>
            <x v="61"/>
          </reference>
        </references>
      </pivotArea>
    </format>
    <format dxfId="1595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594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78"/>
          </reference>
        </references>
      </pivotArea>
    </format>
    <format dxfId="1593">
      <pivotArea dataOnly="0" labelOnly="1" outline="0" fieldPosition="0">
        <references count="12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89"/>
          </reference>
        </references>
      </pivotArea>
    </format>
    <format dxfId="1592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>
            <x v="42"/>
          </reference>
        </references>
      </pivotArea>
    </format>
    <format dxfId="1591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>
            <x v="40"/>
          </reference>
        </references>
      </pivotArea>
    </format>
    <format dxfId="1590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>
            <x v="41"/>
          </reference>
        </references>
      </pivotArea>
    </format>
    <format dxfId="1589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2">
            <x v="53"/>
            <x v="93"/>
          </reference>
        </references>
      </pivotArea>
    </format>
    <format dxfId="1588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4">
            <x v="77"/>
            <x v="78"/>
            <x v="80"/>
            <x v="81"/>
          </reference>
        </references>
      </pivotArea>
    </format>
    <format dxfId="1587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586">
      <pivotArea dataOnly="0" labelOnly="1" outline="0" fieldPosition="0">
        <references count="12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90"/>
          </reference>
        </references>
      </pivotArea>
    </format>
    <format dxfId="1585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584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83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582">
      <pivotArea dataOnly="0" labelOnly="1" outline="0" fieldPosition="0">
        <references count="12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79"/>
          </reference>
        </references>
      </pivotArea>
    </format>
    <format dxfId="1581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27"/>
            <x v="51"/>
          </reference>
        </references>
      </pivotArea>
    </format>
    <format dxfId="1580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79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78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577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2">
            <x v="94"/>
            <x v="95"/>
          </reference>
        </references>
      </pivotArea>
    </format>
    <format dxfId="1576">
      <pivotArea dataOnly="0" labelOnly="1" outline="0" fieldPosition="0">
        <references count="12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575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2">
            <x v="43"/>
            <x v="44"/>
          </reference>
        </references>
      </pivotArea>
    </format>
    <format dxfId="1574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573">
      <pivotArea dataOnly="0" labelOnly="1" outline="0" fieldPosition="0">
        <references count="12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572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71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570">
      <pivotArea dataOnly="0" labelOnly="1" outline="0" fieldPosition="0">
        <references count="12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569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68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567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566">
      <pivotArea dataOnly="0" labelOnly="1" outline="0" fieldPosition="0">
        <references count="12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56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6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6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6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6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2"/>
            <x v="34"/>
          </reference>
        </references>
      </pivotArea>
    </format>
    <format dxfId="156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0"/>
            <x v="11"/>
          </reference>
        </references>
      </pivotArea>
    </format>
    <format dxfId="155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5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55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5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16"/>
          </reference>
        </references>
      </pivotArea>
    </format>
    <format dxfId="1555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554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2">
            <x v="13"/>
            <x v="25"/>
          </reference>
        </references>
      </pivotArea>
    </format>
    <format dxfId="1553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>
            <x v="24"/>
          </reference>
        </references>
      </pivotArea>
    </format>
    <format dxfId="1552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13"/>
            <x v="29"/>
          </reference>
        </references>
      </pivotArea>
    </format>
    <format dxfId="1551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21"/>
            <x v="50"/>
          </reference>
        </references>
      </pivotArea>
    </format>
    <format dxfId="1550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549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548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50"/>
          </reference>
        </references>
      </pivotArea>
    </format>
    <format dxfId="1547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46">
      <pivotArea dataOnly="0" labelOnly="1" outline="0" fieldPosition="0">
        <references count="12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54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44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43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42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41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40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539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538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537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536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94"/>
          </reference>
        </references>
      </pivotArea>
    </format>
    <format dxfId="1535">
      <pivotArea dataOnly="0" labelOnly="1" outline="0" fieldPosition="0">
        <references count="12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>
            <x v="69"/>
          </reference>
        </references>
      </pivotArea>
    </format>
    <format dxfId="1534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33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532">
      <pivotArea dataOnly="0" labelOnly="1" outline="0" fieldPosition="0">
        <references count="12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3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3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2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2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2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2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52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2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2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52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31"/>
          </reference>
        </references>
      </pivotArea>
    </format>
    <format dxfId="152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52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19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18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17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16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515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514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513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512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76"/>
          </reference>
        </references>
      </pivotArea>
    </format>
    <format dxfId="1511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10">
      <pivotArea dataOnly="0" labelOnly="1" outline="0" fieldPosition="0">
        <references count="12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509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2">
            <x v="0"/>
            <x v="51"/>
          </reference>
        </references>
      </pivotArea>
    </format>
    <format dxfId="1508">
      <pivotArea dataOnly="0" labelOnly="1" outline="0" fieldPosition="0">
        <references count="12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>
            <x v="19"/>
          </reference>
        </references>
      </pivotArea>
    </format>
    <format dxfId="150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50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50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504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503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502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501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500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99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98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97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496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95">
      <pivotArea dataOnly="0" labelOnly="1" outline="0" fieldPosition="0">
        <references count="12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494">
      <pivotArea dataOnly="0" labelOnly="1" outline="0" fieldPosition="0">
        <references count="12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93">
      <pivotArea dataOnly="0" labelOnly="1" outline="0" fieldPosition="0">
        <references count="12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2">
            <x v="19"/>
            <x v="51"/>
          </reference>
        </references>
      </pivotArea>
    </format>
    <format dxfId="1492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2">
            <x v="50"/>
            <x v="90"/>
          </reference>
        </references>
      </pivotArea>
    </format>
    <format dxfId="1491">
      <pivotArea dataOnly="0" labelOnly="1" outline="0" fieldPosition="0">
        <references count="12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>
            <x v="74"/>
          </reference>
        </references>
      </pivotArea>
    </format>
    <format dxfId="1490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489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57"/>
          </reference>
        </references>
      </pivotArea>
    </format>
    <format dxfId="1488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487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>
            <x v="49"/>
          </reference>
        </references>
      </pivotArea>
    </format>
    <format dxfId="1486">
      <pivotArea dataOnly="0" labelOnly="1" outline="0" fieldPosition="0">
        <references count="12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>
            <x v="70"/>
          </reference>
        </references>
      </pivotArea>
    </format>
    <format dxfId="1485">
      <pivotArea dataOnly="0" labelOnly="1" outline="0" fieldPosition="0">
        <references count="12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84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>
            <x v="54"/>
          </reference>
        </references>
      </pivotArea>
    </format>
    <format dxfId="1483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82">
      <pivotArea dataOnly="0" labelOnly="1" outline="0" fieldPosition="0">
        <references count="12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>
            <x v="56"/>
          </reference>
        </references>
      </pivotArea>
    </format>
    <format dxfId="1481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2">
            <x v="52"/>
            <x v="92"/>
          </reference>
        </references>
      </pivotArea>
    </format>
    <format dxfId="1480">
      <pivotArea dataOnly="0" labelOnly="1" outline="0" fieldPosition="0">
        <references count="12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7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4">
            <x v="5"/>
            <x v="11"/>
            <x v="12"/>
            <x v="34"/>
          </reference>
        </references>
      </pivotArea>
    </format>
    <format dxfId="147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7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7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7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7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7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10"/>
          </reference>
        </references>
      </pivotArea>
    </format>
    <format dxfId="147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7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7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5"/>
          </reference>
        </references>
      </pivotArea>
    </format>
    <format dxfId="146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0"/>
          </reference>
        </references>
      </pivotArea>
    </format>
    <format dxfId="1468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22"/>
          </reference>
        </references>
      </pivotArea>
    </format>
    <format dxfId="1467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66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65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51"/>
          </reference>
        </references>
      </pivotArea>
    </format>
    <format dxfId="1464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47"/>
          </reference>
        </references>
      </pivotArea>
    </format>
    <format dxfId="1463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62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5"/>
          </reference>
        </references>
      </pivotArea>
    </format>
    <format dxfId="1461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1"/>
          </reference>
        </references>
      </pivotArea>
    </format>
    <format dxfId="1460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59">
      <pivotArea dataOnly="0" labelOnly="1" outline="0" fieldPosition="0">
        <references count="12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>
            <x v="88"/>
          </reference>
        </references>
      </pivotArea>
    </format>
    <format dxfId="145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5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5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5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5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45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2">
            <x v="15"/>
            <x v="16"/>
          </reference>
        </references>
      </pivotArea>
    </format>
    <format dxfId="145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5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5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4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4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4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44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45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44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443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>
            <x v="38"/>
          </reference>
        </references>
      </pivotArea>
    </format>
    <format dxfId="1442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41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40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439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>
            <x v="87"/>
          </reference>
        </references>
      </pivotArea>
    </format>
    <format dxfId="1438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3"/>
          </reference>
        </references>
      </pivotArea>
    </format>
    <format dxfId="1437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>
            <x v="84"/>
          </reference>
        </references>
      </pivotArea>
    </format>
    <format dxfId="1436">
      <pivotArea dataOnly="0" labelOnly="1" outline="0" fieldPosition="0">
        <references count="12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435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34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3"/>
          </reference>
        </references>
      </pivotArea>
    </format>
    <format dxfId="1433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2">
            <x v="44"/>
            <x v="45"/>
          </reference>
        </references>
      </pivotArea>
    </format>
    <format dxfId="1432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31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>
            <x v="0"/>
          </reference>
        </references>
      </pivotArea>
    </format>
    <format dxfId="1430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29">
      <pivotArea dataOnly="0" labelOnly="1" outline="0" fieldPosition="0">
        <references count="12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28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27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26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25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424">
      <pivotArea dataOnly="0" labelOnly="1" outline="0" fieldPosition="0">
        <references count="12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23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22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102"/>
          </reference>
        </references>
      </pivotArea>
    </format>
    <format dxfId="1421">
      <pivotArea dataOnly="0" labelOnly="1" outline="0" fieldPosition="0">
        <references count="12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20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419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18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417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416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415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414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413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412">
      <pivotArea dataOnly="0" labelOnly="1" outline="0" fieldPosition="0">
        <references count="12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>
            <x v="86"/>
          </reference>
        </references>
      </pivotArea>
    </format>
    <format dxfId="1411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410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409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408">
      <pivotArea dataOnly="0" labelOnly="1" outline="0" fieldPosition="0">
        <references count="12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>
            <x v="73"/>
          </reference>
        </references>
      </pivotArea>
    </format>
    <format dxfId="1407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406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405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404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403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3">
            <x v="10"/>
            <x v="11"/>
            <x v="12"/>
          </reference>
        </references>
      </pivotArea>
    </format>
    <format dxfId="1402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5"/>
          </reference>
        </references>
      </pivotArea>
    </format>
    <format dxfId="1401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400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99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4">
            <x v="15"/>
            <x v="16"/>
            <x v="18"/>
            <x v="26"/>
          </reference>
        </references>
      </pivotArea>
    </format>
    <format dxfId="1398">
      <pivotArea dataOnly="0" labelOnly="1" outline="0" fieldPosition="0">
        <references count="12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9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4"/>
          </reference>
        </references>
      </pivotArea>
    </format>
    <format dxfId="139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2">
            <x v="6"/>
            <x v="9"/>
          </reference>
        </references>
      </pivotArea>
    </format>
    <format dxfId="1395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7"/>
          </reference>
        </references>
      </pivotArea>
    </format>
    <format dxfId="1394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>
            <x v="8"/>
          </reference>
        </references>
      </pivotArea>
    </format>
    <format dxfId="1393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5">
            <x v="5"/>
            <x v="10"/>
            <x v="11"/>
            <x v="12"/>
            <x v="34"/>
          </reference>
        </references>
      </pivotArea>
    </format>
    <format dxfId="1392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4">
            <x v="13"/>
            <x v="15"/>
            <x v="16"/>
            <x v="18"/>
          </reference>
        </references>
      </pivotArea>
    </format>
    <format dxfId="1391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90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89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88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387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1"/>
          </reference>
        </references>
      </pivotArea>
    </format>
    <format dxfId="1386">
      <pivotArea dataOnly="0" labelOnly="1" outline="0" fieldPosition="0">
        <references count="12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>
            <x v="85"/>
          </reference>
        </references>
      </pivotArea>
    </format>
    <format dxfId="1385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384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83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3">
            <x v="13"/>
            <x v="15"/>
            <x v="16"/>
          </reference>
        </references>
      </pivotArea>
    </format>
    <format dxfId="1382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81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0"/>
            <x v="21"/>
          </reference>
        </references>
      </pivotArea>
    </format>
    <format dxfId="1380">
      <pivotArea dataOnly="0" labelOnly="1" outline="0" fieldPosition="0">
        <references count="12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2">
            <x v="85"/>
            <x v="86"/>
          </reference>
        </references>
      </pivotArea>
    </format>
    <format dxfId="1379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78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77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76">
      <pivotArea dataOnly="0" labelOnly="1" outline="0" fieldPosition="0">
        <references count="12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75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6"/>
          </reference>
        </references>
      </pivotArea>
    </format>
    <format dxfId="1374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8"/>
          </reference>
        </references>
      </pivotArea>
    </format>
    <format dxfId="1373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13"/>
          </reference>
        </references>
      </pivotArea>
    </format>
    <format dxfId="1372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3">
            <x v="15"/>
            <x v="18"/>
            <x v="26"/>
          </reference>
        </references>
      </pivotArea>
    </format>
    <format dxfId="1371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70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6"/>
          </reference>
        </references>
      </pivotArea>
    </format>
    <format dxfId="1369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21"/>
          </reference>
        </references>
      </pivotArea>
    </format>
    <format dxfId="1368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>
            <x v="37"/>
          </reference>
        </references>
      </pivotArea>
    </format>
    <format dxfId="1367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>
            <x v="91"/>
          </reference>
        </references>
      </pivotArea>
    </format>
    <format dxfId="1366">
      <pivotArea dataOnly="0" labelOnly="1" outline="0" fieldPosition="0">
        <references count="12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65">
      <pivotArea dataOnly="0" labelOnly="1" outline="0" fieldPosition="0">
        <references count="12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64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63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62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3">
            <x v="43"/>
            <x v="44"/>
            <x v="45"/>
          </reference>
        </references>
      </pivotArea>
    </format>
    <format dxfId="1361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4"/>
          </reference>
        </references>
      </pivotArea>
    </format>
    <format dxfId="1360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45"/>
          </reference>
        </references>
      </pivotArea>
    </format>
    <format dxfId="1359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100"/>
          </reference>
        </references>
      </pivotArea>
    </format>
    <format dxfId="1358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>
            <x v="82"/>
          </reference>
        </references>
      </pivotArea>
    </format>
    <format dxfId="1357">
      <pivotArea dataOnly="0" labelOnly="1" outline="0" fieldPosition="0">
        <references count="12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>
            <x v="96"/>
          </reference>
        </references>
      </pivotArea>
    </format>
    <format dxfId="1356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>
            <x v="1"/>
          </reference>
        </references>
      </pivotArea>
    </format>
    <format dxfId="1355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2"/>
          </reference>
        </references>
      </pivotArea>
    </format>
    <format dxfId="1354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>
            <x v="1"/>
          </reference>
        </references>
      </pivotArea>
    </format>
    <format dxfId="1353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52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351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350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>
            <x v="1"/>
          </reference>
        </references>
      </pivotArea>
    </format>
    <format dxfId="1349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1"/>
          </reference>
        </references>
      </pivotArea>
    </format>
    <format dxfId="1348">
      <pivotArea dataOnly="0" labelOnly="1" outline="0" fieldPosition="0">
        <references count="13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>
            <x v="13"/>
          </reference>
        </references>
      </pivotArea>
    </format>
    <format dxfId="1347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1"/>
          </reference>
        </references>
      </pivotArea>
    </format>
    <format dxfId="1346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>
            <x v="2"/>
          </reference>
        </references>
      </pivotArea>
    </format>
    <format dxfId="1345">
      <pivotArea dataOnly="0" labelOnly="1" outline="0" fieldPosition="0">
        <references count="13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44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5"/>
          </reference>
        </references>
      </pivotArea>
    </format>
    <format dxfId="1343">
      <pivotArea dataOnly="0" labelOnly="1" outline="0" fieldPosition="0">
        <references count="13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34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4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40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339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>
            <x v="1"/>
          </reference>
        </references>
      </pivotArea>
    </format>
    <format dxfId="1338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2"/>
          </reference>
        </references>
      </pivotArea>
    </format>
    <format dxfId="1337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336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335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5"/>
          </reference>
        </references>
      </pivotArea>
    </format>
    <format dxfId="1334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>
            <x v="8"/>
          </reference>
        </references>
      </pivotArea>
    </format>
    <format dxfId="1333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332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31">
      <pivotArea dataOnly="0" labelOnly="1" outline="0" fieldPosition="0">
        <references count="13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1"/>
          </reference>
        </references>
      </pivotArea>
    </format>
    <format dxfId="1330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329">
      <pivotArea dataOnly="0" labelOnly="1" outline="0" fieldPosition="0">
        <references count="13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>
            <x v="1"/>
          </reference>
        </references>
      </pivotArea>
    </format>
    <format dxfId="1328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27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>
            <x v="1"/>
          </reference>
        </references>
      </pivotArea>
    </format>
    <format dxfId="1326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325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>
            <x v="1"/>
          </reference>
        </references>
      </pivotArea>
    </format>
    <format dxfId="1324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323">
      <pivotArea dataOnly="0" labelOnly="1" outline="0" fieldPosition="0">
        <references count="13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322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>
            <x v="4"/>
          </reference>
        </references>
      </pivotArea>
    </format>
    <format dxfId="1321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>
            <x v="1"/>
          </reference>
        </references>
      </pivotArea>
    </format>
    <format dxfId="1320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>
            <x v="2"/>
          </reference>
        </references>
      </pivotArea>
    </format>
    <format dxfId="1319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>
            <x v="1"/>
          </reference>
        </references>
      </pivotArea>
    </format>
    <format dxfId="1318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2"/>
          </reference>
        </references>
      </pivotArea>
    </format>
    <format dxfId="1317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3"/>
          </reference>
        </references>
      </pivotArea>
    </format>
    <format dxfId="1316">
      <pivotArea dataOnly="0" labelOnly="1" outline="0" fieldPosition="0">
        <references count="13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>
            <x v="4"/>
          </reference>
        </references>
      </pivotArea>
    </format>
    <format dxfId="1315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>
            <x v="1"/>
          </reference>
        </references>
      </pivotArea>
    </format>
    <format dxfId="1314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>
            <x v="2"/>
          </reference>
        </references>
      </pivotArea>
    </format>
    <format dxfId="1313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2">
            <x v="1"/>
            <x v="2"/>
          </reference>
        </references>
      </pivotArea>
    </format>
    <format dxfId="1312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>
            <x v="1"/>
          </reference>
        </references>
      </pivotArea>
    </format>
    <format dxfId="1311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>
            <x v="2"/>
          </reference>
        </references>
      </pivotArea>
    </format>
    <format dxfId="1310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>
            <x v="1"/>
          </reference>
        </references>
      </pivotArea>
    </format>
    <format dxfId="1309">
      <pivotArea dataOnly="0" labelOnly="1" outline="0" fieldPosition="0">
        <references count="13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>
            <x v="2"/>
          </reference>
        </references>
      </pivotArea>
    </format>
    <format dxfId="1308">
      <pivotArea dataOnly="0" labelOnly="1" outline="0" fieldPosition="0">
        <references count="13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307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306">
      <pivotArea dataOnly="0" labelOnly="1" outline="0" fieldPosition="0">
        <references count="13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>
            <x v="1"/>
          </reference>
        </references>
      </pivotArea>
    </format>
    <format dxfId="1305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2"/>
            <x v="3"/>
          </reference>
        </references>
      </pivotArea>
    </format>
    <format dxfId="1304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303">
      <pivotArea dataOnly="0" labelOnly="1" outline="0" fieldPosition="0">
        <references count="13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30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30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300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2">
            <x v="3"/>
            <x v="4"/>
          </reference>
        </references>
      </pivotArea>
    </format>
    <format dxfId="1299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98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297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5"/>
          </reference>
        </references>
      </pivotArea>
    </format>
    <format dxfId="1296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>
            <x v="2"/>
          </reference>
        </references>
      </pivotArea>
    </format>
    <format dxfId="1295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2">
            <x v="1"/>
            <x v="2"/>
          </reference>
        </references>
      </pivotArea>
    </format>
    <format dxfId="1294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293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292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291">
      <pivotArea dataOnly="0" labelOnly="1" outline="0" fieldPosition="0">
        <references count="13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290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89">
      <pivotArea dataOnly="0" labelOnly="1" outline="0" fieldPosition="0">
        <references count="13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88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87">
      <pivotArea dataOnly="0" labelOnly="1" outline="0" fieldPosition="0">
        <references count="13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8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8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8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8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8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8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80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79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78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77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76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75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74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73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>
            <x v="1"/>
          </reference>
        </references>
      </pivotArea>
    </format>
    <format dxfId="1272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71">
      <pivotArea dataOnly="0" labelOnly="1" outline="0" fieldPosition="0">
        <references count="13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270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2">
            <x v="9"/>
            <x v="10"/>
          </reference>
        </references>
      </pivotArea>
    </format>
    <format dxfId="1269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8">
      <pivotArea dataOnly="0" labelOnly="1" outline="0" fieldPosition="0">
        <references count="13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9"/>
          </reference>
        </references>
      </pivotArea>
    </format>
    <format dxfId="1267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2">
            <x v="1"/>
            <x v="12"/>
          </reference>
        </references>
      </pivotArea>
    </format>
    <format dxfId="1266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65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64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263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62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61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60">
      <pivotArea dataOnly="0" labelOnly="1" outline="0" fieldPosition="0">
        <references count="13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>
            <x v="1"/>
          </reference>
        </references>
      </pivotArea>
    </format>
    <format dxfId="1259">
      <pivotArea dataOnly="0" labelOnly="1" outline="0" fieldPosition="0">
        <references count="13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58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257">
      <pivotArea dataOnly="0" labelOnly="1" outline="0" fieldPosition="0">
        <references count="13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56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2">
            <x v="1"/>
            <x v="3"/>
          </reference>
        </references>
      </pivotArea>
    </format>
    <format dxfId="1255">
      <pivotArea dataOnly="0" labelOnly="1" outline="0" fieldPosition="0">
        <references count="13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2"/>
          </reference>
        </references>
      </pivotArea>
    </format>
    <format dxfId="1254">
      <pivotArea dataOnly="0" labelOnly="1" outline="0" fieldPosition="0">
        <references count="13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53">
      <pivotArea dataOnly="0" labelOnly="1" outline="0" fieldPosition="0">
        <references count="13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52">
      <pivotArea dataOnly="0" labelOnly="1" outline="0" fieldPosition="0">
        <references count="13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51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>
            <x v="6"/>
          </reference>
        </references>
      </pivotArea>
    </format>
    <format dxfId="1250">
      <pivotArea dataOnly="0" labelOnly="1" outline="0" fieldPosition="0">
        <references count="13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3"/>
          </reference>
        </references>
      </pivotArea>
    </format>
    <format dxfId="1249">
      <pivotArea dataOnly="0" labelOnly="1" outline="0" fieldPosition="0">
        <references count="13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48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>
            <x v="2"/>
          </reference>
        </references>
      </pivotArea>
    </format>
    <format dxfId="1247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2">
            <x v="1"/>
            <x v="2"/>
          </reference>
        </references>
      </pivotArea>
    </format>
    <format dxfId="1246">
      <pivotArea dataOnly="0" labelOnly="1" outline="0" fieldPosition="0">
        <references count="13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>
            <x v="1"/>
          </reference>
        </references>
      </pivotArea>
    </format>
    <format dxfId="1245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>
            <x v="2"/>
          </reference>
        </references>
      </pivotArea>
    </format>
    <format dxfId="1244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2">
            <x v="1"/>
            <x v="2"/>
          </reference>
        </references>
      </pivotArea>
    </format>
    <format dxfId="1243">
      <pivotArea dataOnly="0" labelOnly="1" outline="0" fieldPosition="0">
        <references count="13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4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4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4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3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38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>
            <x v="1"/>
          </reference>
        </references>
      </pivotArea>
    </format>
    <format dxfId="1237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>
            <x v="3"/>
          </reference>
        </references>
      </pivotArea>
    </format>
    <format dxfId="1236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>
            <x v="8"/>
          </reference>
        </references>
      </pivotArea>
    </format>
    <format dxfId="1235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2"/>
          </reference>
        </references>
      </pivotArea>
    </format>
    <format dxfId="1234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>
            <x v="1"/>
          </reference>
        </references>
      </pivotArea>
    </format>
    <format dxfId="1233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>
            <x v="3"/>
          </reference>
        </references>
      </pivotArea>
    </format>
    <format dxfId="1232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2"/>
          </reference>
        </references>
      </pivotArea>
    </format>
    <format dxfId="1231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3"/>
          </reference>
        </references>
      </pivotArea>
    </format>
    <format dxfId="1230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>
            <x v="4"/>
          </reference>
        </references>
      </pivotArea>
    </format>
    <format dxfId="1229">
      <pivotArea dataOnly="0" labelOnly="1" outline="0" fieldPosition="0">
        <references count="13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>
            <x v="1"/>
          </reference>
        </references>
      </pivotArea>
    </format>
    <format dxfId="1228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27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26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2">
            <x v="2"/>
            <x v="3"/>
          </reference>
        </references>
      </pivotArea>
    </format>
    <format dxfId="1225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24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5">
            <x v="2"/>
            <x v="3"/>
            <x v="4"/>
            <x v="5"/>
            <x v="7"/>
          </reference>
        </references>
      </pivotArea>
    </format>
    <format dxfId="1223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22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221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220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>
            <x v="5"/>
          </reference>
        </references>
      </pivotArea>
    </format>
    <format dxfId="1219">
      <pivotArea dataOnly="0" labelOnly="1" outline="0" fieldPosition="0">
        <references count="13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>
            <x v="1"/>
          </reference>
        </references>
      </pivotArea>
    </format>
    <format dxfId="1218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217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>
            <x v="1"/>
          </reference>
        </references>
      </pivotArea>
    </format>
    <format dxfId="1216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15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14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213">
      <pivotArea dataOnly="0" labelOnly="1" outline="0" fieldPosition="0">
        <references count="13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>
            <x v="1"/>
          </reference>
        </references>
      </pivotArea>
    </format>
    <format dxfId="1212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11">
      <pivotArea dataOnly="0" labelOnly="1" outline="0" fieldPosition="0">
        <references count="13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210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9">
      <pivotArea dataOnly="0" labelOnly="1" outline="0" fieldPosition="0">
        <references count="13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208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207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206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205">
      <pivotArea dataOnly="0" labelOnly="1" outline="0" fieldPosition="0">
        <references count="13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204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203">
      <pivotArea dataOnly="0" labelOnly="1" outline="0" fieldPosition="0">
        <references count="13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1"/>
          </reference>
        </references>
      </pivotArea>
    </format>
    <format dxfId="1202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201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200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199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198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197">
      <pivotArea dataOnly="0" labelOnly="1" outline="0" fieldPosition="0">
        <references count="13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196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>
            <x v="12"/>
          </reference>
        </references>
      </pivotArea>
    </format>
    <format dxfId="1195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>
            <x v="1"/>
          </reference>
        </references>
      </pivotArea>
    </format>
    <format dxfId="1194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193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192">
      <pivotArea dataOnly="0" labelOnly="1" outline="0" fieldPosition="0">
        <references count="13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191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190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1"/>
          </reference>
        </references>
      </pivotArea>
    </format>
    <format dxfId="1189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>
            <x v="3"/>
          </reference>
        </references>
      </pivotArea>
    </format>
    <format dxfId="1188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>
            <x v="1"/>
          </reference>
        </references>
      </pivotArea>
    </format>
    <format dxfId="1187">
      <pivotArea dataOnly="0" labelOnly="1" outline="0" fieldPosition="0">
        <references count="13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>
            <x v="2"/>
          </reference>
        </references>
      </pivotArea>
    </format>
    <format dxfId="1186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7"/>
          </reference>
        </references>
      </pivotArea>
    </format>
    <format dxfId="1185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184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183">
      <pivotArea dataOnly="0" labelOnly="1" outline="0" fieldPosition="0">
        <references count="13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182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2"/>
          </reference>
        </references>
      </pivotArea>
    </format>
    <format dxfId="1181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>
            <x v="1"/>
          </reference>
        </references>
      </pivotArea>
    </format>
    <format dxfId="1180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>
            <x v="3"/>
          </reference>
        </references>
      </pivotArea>
    </format>
    <format dxfId="1179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178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4">
            <x v="2"/>
            <x v="3"/>
            <x v="4"/>
            <x v="5"/>
          </reference>
        </references>
      </pivotArea>
    </format>
    <format dxfId="1177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>
            <x v="1"/>
          </reference>
        </references>
      </pivotArea>
    </format>
    <format dxfId="1176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>
            <x v="8"/>
          </reference>
        </references>
      </pivotArea>
    </format>
    <format dxfId="1175">
      <pivotArea dataOnly="0" labelOnly="1" outline="0" fieldPosition="0">
        <references count="13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>
            <x v="1"/>
          </reference>
        </references>
      </pivotArea>
    </format>
    <format dxfId="1174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>
            <x v="3"/>
          </reference>
        </references>
      </pivotArea>
    </format>
    <format dxfId="1173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172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3">
            <x v="2"/>
            <x v="4"/>
            <x v="5"/>
          </reference>
        </references>
      </pivotArea>
    </format>
    <format dxfId="1171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>
            <x v="1"/>
          </reference>
        </references>
      </pivotArea>
    </format>
    <format dxfId="1170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>
            <x v="8"/>
          </reference>
        </references>
      </pivotArea>
    </format>
    <format dxfId="1169">
      <pivotArea dataOnly="0" labelOnly="1" outline="0" fieldPosition="0">
        <references count="13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>
            <x v="1"/>
          </reference>
        </references>
      </pivotArea>
    </format>
    <format dxfId="1168">
      <pivotArea field="29" type="button" dataOnly="0" labelOnly="1" outline="0" axis="axisRow" fieldPosition="4"/>
    </format>
    <format dxfId="1167">
      <pivotArea field="30" type="button" dataOnly="0" labelOnly="1" outline="0" axis="axisRow" fieldPosition="5"/>
    </format>
    <format dxfId="1166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165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164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163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162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161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160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159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158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157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156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155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154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153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152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151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150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149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148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147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1146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1145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1144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1143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42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1141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1140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1139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38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1137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1136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1135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1134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1133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1132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1131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1130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1129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1128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27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1126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1125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24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1123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1122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1121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1120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1119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111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1117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1116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115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11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111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1112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1111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1110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1109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108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1107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1106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1105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104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1103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102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10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10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109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9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9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1096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1095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109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093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092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09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1090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1089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088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87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1086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1085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1084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1083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1082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108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8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107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7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1077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1076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1075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7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7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107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7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7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69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68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106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066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065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64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63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062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61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60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59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105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105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5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5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5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53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52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5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5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1049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48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47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46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045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44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4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4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4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04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39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38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1037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103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103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1034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1033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32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31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103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1029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1028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1027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102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102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1024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1023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1022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1021">
      <pivotArea field="29" type="button" dataOnly="0" labelOnly="1" outline="0" axis="axisRow" fieldPosition="4"/>
    </format>
    <format dxfId="1020">
      <pivotArea field="30" type="button" dataOnly="0" labelOnly="1" outline="0" axis="axisRow" fieldPosition="5"/>
    </format>
    <format dxfId="1019">
      <pivotArea dataOnly="0" labelOnly="1" outline="0" fieldPosition="0">
        <references count="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>
            <x v="0"/>
          </reference>
        </references>
      </pivotArea>
    </format>
    <format dxfId="1018">
      <pivotArea dataOnly="0" labelOnly="1" outline="0" fieldPosition="0">
        <references count="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6">
            <x v="2"/>
            <x v="3"/>
            <x v="4"/>
            <x v="6"/>
            <x v="7"/>
            <x v="10"/>
          </reference>
        </references>
      </pivotArea>
    </format>
    <format dxfId="1017">
      <pivotArea dataOnly="0" labelOnly="1" outline="0" fieldPosition="0">
        <references count="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16"/>
            <x v="17"/>
            <x v="48"/>
          </reference>
        </references>
      </pivotArea>
    </format>
    <format dxfId="1016">
      <pivotArea dataOnly="0" labelOnly="1" outline="0" fieldPosition="0">
        <references count="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5">
            <x v="1"/>
            <x v="3"/>
            <x v="4"/>
            <x v="5"/>
            <x v="6"/>
            <x v="7"/>
            <x v="8"/>
            <x v="17"/>
            <x v="18"/>
            <x v="24"/>
            <x v="27"/>
            <x v="46"/>
            <x v="48"/>
            <x v="49"/>
            <x v="55"/>
          </reference>
        </references>
      </pivotArea>
    </format>
    <format dxfId="1015">
      <pivotArea dataOnly="0" labelOnly="1" outline="0" fieldPosition="0">
        <references count="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3">
            <x v="9"/>
            <x v="10"/>
            <x v="14"/>
          </reference>
        </references>
      </pivotArea>
    </format>
    <format dxfId="1014">
      <pivotArea dataOnly="0" labelOnly="1" outline="0" fieldPosition="0">
        <references count="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3">
            <x v="26"/>
            <x v="30"/>
            <x v="37"/>
          </reference>
        </references>
      </pivotArea>
    </format>
    <format dxfId="1013">
      <pivotArea dataOnly="0" labelOnly="1" outline="0" fieldPosition="0">
        <references count="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4">
            <x v="3"/>
            <x v="4"/>
            <x v="5"/>
            <x v="6"/>
            <x v="7"/>
            <x v="10"/>
            <x v="11"/>
            <x v="13"/>
            <x v="23"/>
            <x v="24"/>
            <x v="27"/>
            <x v="49"/>
            <x v="52"/>
            <x v="55"/>
          </reference>
        </references>
      </pivotArea>
    </format>
    <format dxfId="1012">
      <pivotArea dataOnly="0" labelOnly="1" outline="0" fieldPosition="0">
        <references count="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3">
            <x v="17"/>
            <x v="25"/>
            <x v="49"/>
          </reference>
        </references>
      </pivotArea>
    </format>
    <format dxfId="1011">
      <pivotArea dataOnly="0" labelOnly="1" outline="0" fieldPosition="0">
        <references count="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2">
            <x v="10"/>
            <x v="17"/>
          </reference>
        </references>
      </pivotArea>
    </format>
    <format dxfId="1010">
      <pivotArea dataOnly="0" labelOnly="1" outline="0" fieldPosition="0">
        <references count="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8">
            <x v="3"/>
            <x v="4"/>
            <x v="5"/>
            <x v="6"/>
            <x v="7"/>
            <x v="8"/>
            <x v="17"/>
            <x v="49"/>
          </reference>
        </references>
      </pivotArea>
    </format>
    <format dxfId="1009">
      <pivotArea dataOnly="0" labelOnly="1" outline="0" fieldPosition="0">
        <references count="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6">
            <x v="17"/>
            <x v="21"/>
            <x v="22"/>
            <x v="25"/>
            <x v="29"/>
            <x v="32"/>
            <x v="33"/>
            <x v="34"/>
            <x v="35"/>
            <x v="36"/>
            <x v="37"/>
            <x v="38"/>
            <x v="39"/>
            <x v="40"/>
            <x v="51"/>
            <x v="52"/>
          </reference>
        </references>
      </pivotArea>
    </format>
    <format dxfId="1008">
      <pivotArea dataOnly="0" labelOnly="1" outline="0" fieldPosition="0">
        <references count="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8">
            <x v="17"/>
            <x v="19"/>
            <x v="20"/>
            <x v="21"/>
            <x v="26"/>
            <x v="40"/>
            <x v="47"/>
            <x v="53"/>
          </reference>
        </references>
      </pivotArea>
    </format>
    <format dxfId="1007">
      <pivotArea dataOnly="0" labelOnly="1" outline="0" fieldPosition="0">
        <references count="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3">
            <x v="25"/>
            <x v="41"/>
            <x v="42"/>
          </reference>
        </references>
      </pivotArea>
    </format>
    <format dxfId="1006">
      <pivotArea dataOnly="0" labelOnly="1" outline="0" fieldPosition="0">
        <references count="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5">
            <x v="13"/>
            <x v="17"/>
            <x v="26"/>
            <x v="54"/>
            <x v="55"/>
          </reference>
        </references>
      </pivotArea>
    </format>
    <format dxfId="1005">
      <pivotArea dataOnly="0" labelOnly="1" outline="0" fieldPosition="0">
        <references count="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4">
            <x v="13"/>
            <x v="17"/>
            <x v="41"/>
            <x v="49"/>
          </reference>
        </references>
      </pivotArea>
    </format>
    <format dxfId="1004">
      <pivotArea dataOnly="0" labelOnly="1" outline="0" fieldPosition="0">
        <references count="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3">
            <x v="9"/>
            <x v="17"/>
            <x v="46"/>
          </reference>
        </references>
      </pivotArea>
    </format>
    <format dxfId="1003">
      <pivotArea dataOnly="0" labelOnly="1" outline="0" fieldPosition="0">
        <references count="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4">
            <x v="17"/>
            <x v="24"/>
            <x v="49"/>
            <x v="55"/>
          </reference>
        </references>
      </pivotArea>
    </format>
    <format dxfId="1002">
      <pivotArea dataOnly="0" labelOnly="1" outline="0" fieldPosition="0">
        <references count="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7">
            <x v="3"/>
            <x v="4"/>
            <x v="5"/>
            <x v="6"/>
            <x v="7"/>
            <x v="8"/>
            <x v="10"/>
            <x v="11"/>
            <x v="12"/>
            <x v="13"/>
            <x v="14"/>
            <x v="17"/>
            <x v="23"/>
            <x v="24"/>
            <x v="25"/>
            <x v="49"/>
            <x v="55"/>
          </reference>
        </references>
      </pivotArea>
    </format>
    <format dxfId="1001">
      <pivotArea dataOnly="0" labelOnly="1" outline="0" fieldPosition="0">
        <references count="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0">
            <x v="3"/>
            <x v="4"/>
            <x v="5"/>
            <x v="6"/>
            <x v="7"/>
            <x v="10"/>
            <x v="13"/>
            <x v="26"/>
            <x v="52"/>
            <x v="54"/>
          </reference>
        </references>
      </pivotArea>
    </format>
    <format dxfId="1000">
      <pivotArea dataOnly="0" labelOnly="1" outline="0" fieldPosition="0">
        <references count="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3">
            <x v="17"/>
            <x v="30"/>
            <x v="48"/>
          </reference>
        </references>
      </pivotArea>
    </format>
    <format dxfId="999">
      <pivotArea dataOnly="0" labelOnly="1" outline="0" fieldPosition="0">
        <references count="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8"/>
            <x v="10"/>
            <x v="11"/>
            <x v="13"/>
            <x v="15"/>
            <x v="17"/>
            <x v="46"/>
            <x v="47"/>
            <x v="48"/>
            <x v="49"/>
            <x v="56"/>
          </reference>
        </references>
      </pivotArea>
    </format>
    <format dxfId="998">
      <pivotArea dataOnly="0" labelOnly="1" outline="0" fieldPosition="0">
        <references count="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>
            <x v="17"/>
          </reference>
        </references>
      </pivotArea>
    </format>
    <format dxfId="997">
      <pivotArea dataOnly="0" labelOnly="1" outline="0" fieldPosition="0">
        <references count="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1"/>
            <x v="13"/>
            <x v="17"/>
            <x v="24"/>
            <x v="26"/>
            <x v="30"/>
            <x v="47"/>
            <x v="56"/>
          </reference>
        </references>
      </pivotArea>
    </format>
    <format dxfId="996">
      <pivotArea dataOnly="0" labelOnly="1" outline="0" fieldPosition="0">
        <references count="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995">
      <pivotArea dataOnly="0" labelOnly="1" outline="0" fieldPosition="0">
        <references count="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>
            <x v="28"/>
          </reference>
        </references>
      </pivotArea>
    </format>
    <format dxfId="994">
      <pivotArea dataOnly="0" labelOnly="1" outline="0" fieldPosition="0">
        <references count="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2">
            <x v="26"/>
            <x v="28"/>
          </reference>
        </references>
      </pivotArea>
    </format>
    <format dxfId="993">
      <pivotArea dataOnly="0" labelOnly="1" outline="0" fieldPosition="0">
        <references count="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>
            <x v="25"/>
          </reference>
        </references>
      </pivotArea>
    </format>
    <format dxfId="992">
      <pivotArea dataOnly="0" labelOnly="1" outline="0" fieldPosition="0">
        <references count="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991">
      <pivotArea dataOnly="0" labelOnly="1" outline="0" fieldPosition="0">
        <references count="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2">
            <x v="25"/>
            <x v="50"/>
          </reference>
        </references>
      </pivotArea>
    </format>
    <format dxfId="990">
      <pivotArea dataOnly="0" labelOnly="1" outline="0" fieldPosition="0">
        <references count="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8">
            <x v="1"/>
            <x v="3"/>
            <x v="4"/>
            <x v="5"/>
            <x v="6"/>
            <x v="7"/>
            <x v="17"/>
            <x v="46"/>
          </reference>
        </references>
      </pivotArea>
    </format>
    <format dxfId="989">
      <pivotArea dataOnly="0" labelOnly="1" outline="0" fieldPosition="0">
        <references count="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>
            <x v="26"/>
          </reference>
        </references>
      </pivotArea>
    </format>
    <format dxfId="988">
      <pivotArea dataOnly="0" labelOnly="1" outline="0" fieldPosition="0">
        <references count="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2">
            <x v="27"/>
            <x v="28"/>
          </reference>
        </references>
      </pivotArea>
    </format>
    <format dxfId="987">
      <pivotArea dataOnly="0" labelOnly="1" outline="0" fieldPosition="0">
        <references count="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2">
            <x v="25"/>
            <x v="26"/>
          </reference>
        </references>
      </pivotArea>
    </format>
    <format dxfId="986">
      <pivotArea dataOnly="0" labelOnly="1" outline="0" fieldPosition="0">
        <references count="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22">
            <x v="1"/>
            <x v="3"/>
            <x v="4"/>
            <x v="5"/>
            <x v="6"/>
            <x v="7"/>
            <x v="8"/>
            <x v="10"/>
            <x v="11"/>
            <x v="13"/>
            <x v="17"/>
            <x v="18"/>
            <x v="24"/>
            <x v="26"/>
            <x v="30"/>
            <x v="44"/>
            <x v="45"/>
            <x v="47"/>
            <x v="48"/>
            <x v="49"/>
            <x v="54"/>
            <x v="56"/>
          </reference>
        </references>
      </pivotArea>
    </format>
    <format dxfId="985">
      <pivotArea dataOnly="0" labelOnly="1" outline="0" fieldPosition="0">
        <references count="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6">
            <x v="3"/>
            <x v="4"/>
            <x v="5"/>
            <x v="6"/>
            <x v="7"/>
            <x v="10"/>
            <x v="11"/>
            <x v="13"/>
            <x v="14"/>
            <x v="17"/>
            <x v="22"/>
            <x v="24"/>
            <x v="44"/>
            <x v="49"/>
            <x v="53"/>
            <x v="55"/>
          </reference>
        </references>
      </pivotArea>
    </format>
    <format dxfId="984">
      <pivotArea dataOnly="0" labelOnly="1" outline="0" fieldPosition="0">
        <references count="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5">
            <x v="10"/>
            <x v="13"/>
            <x v="14"/>
            <x v="17"/>
            <x v="44"/>
          </reference>
        </references>
      </pivotArea>
    </format>
    <format dxfId="983">
      <pivotArea dataOnly="0" labelOnly="1" outline="0" fieldPosition="0">
        <references count="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4">
            <x v="13"/>
            <x v="14"/>
            <x v="17"/>
            <x v="44"/>
          </reference>
        </references>
      </pivotArea>
    </format>
    <format dxfId="982">
      <pivotArea dataOnly="0" labelOnly="1" outline="0" fieldPosition="0">
        <references count="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4">
            <x v="13"/>
            <x v="17"/>
            <x v="29"/>
            <x v="41"/>
          </reference>
        </references>
      </pivotArea>
    </format>
    <format dxfId="981">
      <pivotArea dataOnly="0" labelOnly="1" outline="0" fieldPosition="0">
        <references count="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980">
      <pivotArea dataOnly="0" labelOnly="1" outline="0" fieldPosition="0">
        <references count="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4">
            <x v="13"/>
            <x v="17"/>
            <x v="44"/>
            <x v="49"/>
          </reference>
        </references>
      </pivotArea>
    </format>
    <format dxfId="979">
      <pivotArea dataOnly="0" labelOnly="1" outline="0" fieldPosition="0">
        <references count="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1">
            <x v="3"/>
            <x v="4"/>
            <x v="5"/>
            <x v="6"/>
            <x v="7"/>
            <x v="10"/>
            <x v="11"/>
            <x v="12"/>
            <x v="13"/>
            <x v="14"/>
            <x v="17"/>
          </reference>
        </references>
      </pivotArea>
    </format>
    <format dxfId="978">
      <pivotArea dataOnly="0" labelOnly="1" outline="0" fieldPosition="0">
        <references count="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3">
            <x v="3"/>
            <x v="4"/>
            <x v="5"/>
            <x v="6"/>
            <x v="7"/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977">
      <pivotArea dataOnly="0" labelOnly="1" outline="0" fieldPosition="0">
        <references count="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8">
            <x v="10"/>
            <x v="11"/>
            <x v="12"/>
            <x v="13"/>
            <x v="14"/>
            <x v="17"/>
            <x v="44"/>
            <x v="49"/>
          </reference>
        </references>
      </pivotArea>
    </format>
    <format dxfId="976">
      <pivotArea dataOnly="0" labelOnly="1" outline="0" fieldPosition="0">
        <references count="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3">
            <x v="10"/>
            <x v="13"/>
            <x v="44"/>
          </reference>
        </references>
      </pivotArea>
    </format>
    <format dxfId="975">
      <pivotArea dataOnly="0" labelOnly="1" outline="0" fieldPosition="0">
        <references count="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9">
            <x v="10"/>
            <x v="11"/>
            <x v="12"/>
            <x v="13"/>
            <x v="14"/>
            <x v="17"/>
            <x v="23"/>
            <x v="41"/>
            <x v="44"/>
          </reference>
        </references>
      </pivotArea>
    </format>
    <format dxfId="974">
      <pivotArea dataOnly="0" labelOnly="1" outline="0" fieldPosition="0">
        <references count="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>
            <x v="13"/>
          </reference>
        </references>
      </pivotArea>
    </format>
    <format dxfId="973">
      <pivotArea dataOnly="0" labelOnly="1" outline="0" fieldPosition="0">
        <references count="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7">
            <x v="11"/>
            <x v="13"/>
            <x v="14"/>
            <x v="17"/>
            <x v="22"/>
            <x v="44"/>
            <x v="55"/>
          </reference>
        </references>
      </pivotArea>
    </format>
    <format dxfId="972">
      <pivotArea dataOnly="0" labelOnly="1" outline="0" fieldPosition="0">
        <references count="6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>
            <x v="0"/>
          </reference>
        </references>
      </pivotArea>
    </format>
    <format dxfId="971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2">
            <x v="1"/>
            <x v="2"/>
          </reference>
        </references>
      </pivotArea>
    </format>
    <format dxfId="970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>
            <x v="0"/>
          </reference>
        </references>
      </pivotArea>
    </format>
    <format dxfId="969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968">
      <pivotArea dataOnly="0" labelOnly="1" outline="0" fieldPosition="0">
        <references count="6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967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3">
            <x v="1"/>
            <x v="2"/>
            <x v="3"/>
          </reference>
        </references>
      </pivotArea>
    </format>
    <format dxfId="966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3">
            <x v="1"/>
            <x v="2"/>
            <x v="3"/>
          </reference>
        </references>
      </pivotArea>
    </format>
    <format dxfId="965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>
            <x v="0"/>
          </reference>
        </references>
      </pivotArea>
    </format>
    <format dxfId="964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>
            <x v="1"/>
          </reference>
        </references>
      </pivotArea>
    </format>
    <format dxfId="963">
      <pivotArea dataOnly="0" labelOnly="1" outline="0" fieldPosition="0">
        <references count="6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>
            <x v="0"/>
          </reference>
        </references>
      </pivotArea>
    </format>
    <format dxfId="962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61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>
            <x v="0"/>
          </reference>
        </references>
      </pivotArea>
    </format>
    <format dxfId="960">
      <pivotArea dataOnly="0" labelOnly="1" outline="0" fieldPosition="0">
        <references count="6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1"/>
          </reference>
        </references>
      </pivotArea>
    </format>
    <format dxfId="959">
      <pivotArea dataOnly="0" labelOnly="1" outline="0" fieldPosition="0">
        <references count="6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>
            <x v="0"/>
          </reference>
        </references>
      </pivotArea>
    </format>
    <format dxfId="958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957">
      <pivotArea dataOnly="0" labelOnly="1" outline="0" fieldPosition="0">
        <references count="6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>
            <x v="0"/>
          </reference>
        </references>
      </pivotArea>
    </format>
    <format dxfId="956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955">
      <pivotArea dataOnly="0" labelOnly="1" outline="0" fieldPosition="0">
        <references count="6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54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953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0"/>
          </reference>
        </references>
      </pivotArea>
    </format>
    <format dxfId="952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951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950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>
            <x v="5"/>
          </reference>
        </references>
      </pivotArea>
    </format>
    <format dxfId="949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>
            <x v="0"/>
          </reference>
        </references>
      </pivotArea>
    </format>
    <format dxfId="948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1"/>
          </reference>
        </references>
      </pivotArea>
    </format>
    <format dxfId="947">
      <pivotArea dataOnly="0" labelOnly="1" outline="0" fieldPosition="0">
        <references count="6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946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945">
      <pivotArea dataOnly="0" labelOnly="1" outline="0" fieldPosition="0">
        <references count="6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944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4">
            <x v="1"/>
            <x v="2"/>
            <x v="3"/>
            <x v="4"/>
          </reference>
        </references>
      </pivotArea>
    </format>
    <format dxfId="943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>
            <x v="0"/>
          </reference>
        </references>
      </pivotArea>
    </format>
    <format dxfId="942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941">
      <pivotArea dataOnly="0" labelOnly="1" outline="0" fieldPosition="0">
        <references count="6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40">
      <pivotArea dataOnly="0" labelOnly="1" outline="0" fieldPosition="0">
        <references count="6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2"/>
          </reference>
        </references>
      </pivotArea>
    </format>
    <format dxfId="939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>
            <x v="0"/>
          </reference>
        </references>
      </pivotArea>
    </format>
    <format dxfId="938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>
            <x v="1"/>
          </reference>
        </references>
      </pivotArea>
    </format>
    <format dxfId="937">
      <pivotArea dataOnly="0" labelOnly="1" outline="0" fieldPosition="0">
        <references count="6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>
            <x v="0"/>
          </reference>
        </references>
      </pivotArea>
    </format>
    <format dxfId="936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>
            <x v="1"/>
          </reference>
        </references>
      </pivotArea>
    </format>
    <format dxfId="935">
      <pivotArea dataOnly="0" labelOnly="1" outline="0" fieldPosition="0">
        <references count="6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>
            <x v="0"/>
          </reference>
        </references>
      </pivotArea>
    </format>
    <format dxfId="934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33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3">
            <x v="0"/>
            <x v="1"/>
            <x v="2"/>
          </reference>
        </references>
      </pivotArea>
    </format>
    <format dxfId="932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31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>
            <x v="1"/>
          </reference>
        </references>
      </pivotArea>
    </format>
    <format dxfId="930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>
            <x v="0"/>
          </reference>
        </references>
      </pivotArea>
    </format>
    <format dxfId="929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>
            <x v="1"/>
          </reference>
        </references>
      </pivotArea>
    </format>
    <format dxfId="928">
      <pivotArea dataOnly="0" labelOnly="1" outline="0" fieldPosition="0">
        <references count="6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7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26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4">
            <x v="0"/>
            <x v="2"/>
            <x v="3"/>
            <x v="4"/>
          </reference>
        </references>
      </pivotArea>
    </format>
    <format dxfId="925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24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23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22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21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>
            <x v="3"/>
          </reference>
        </references>
      </pivotArea>
    </format>
    <format dxfId="920">
      <pivotArea dataOnly="0" labelOnly="1" outline="0" fieldPosition="0">
        <references count="6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919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918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917">
      <pivotArea dataOnly="0" labelOnly="1" outline="0" fieldPosition="0">
        <references count="6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16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915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914">
      <pivotArea dataOnly="0" labelOnly="1" outline="0" fieldPosition="0">
        <references count="6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13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12">
      <pivotArea dataOnly="0" labelOnly="1" outline="0" fieldPosition="0">
        <references count="6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>
            <x v="2"/>
          </reference>
        </references>
      </pivotArea>
    </format>
    <format dxfId="911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0"/>
          </reference>
        </references>
      </pivotArea>
    </format>
    <format dxfId="910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909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908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907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906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05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04">
      <pivotArea dataOnly="0" labelOnly="1" outline="0" fieldPosition="0">
        <references count="6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903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2"/>
          </reference>
        </references>
      </pivotArea>
    </format>
    <format dxfId="902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901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900">
      <pivotArea dataOnly="0" labelOnly="1" outline="0" fieldPosition="0">
        <references count="6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899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898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897">
      <pivotArea dataOnly="0" labelOnly="1" outline="0" fieldPosition="0">
        <references count="6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896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895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894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893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892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891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1"/>
          </reference>
        </references>
      </pivotArea>
    </format>
    <format dxfId="890">
      <pivotArea dataOnly="0" labelOnly="1" outline="0" fieldPosition="0">
        <references count="6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>
            <x v="0"/>
          </reference>
        </references>
      </pivotArea>
    </format>
    <format dxfId="889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1"/>
          </reference>
        </references>
      </pivotArea>
    </format>
    <format dxfId="888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>
            <x v="0"/>
          </reference>
        </references>
      </pivotArea>
    </format>
    <format dxfId="887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1"/>
          </reference>
        </references>
      </pivotArea>
    </format>
    <format dxfId="886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885">
      <pivotArea dataOnly="0" labelOnly="1" outline="0" fieldPosition="0">
        <references count="6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884">
      <pivotArea dataOnly="0" labelOnly="1" outline="0" fieldPosition="0">
        <references count="6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1"/>
            <x v="2"/>
          </reference>
        </references>
      </pivotArea>
    </format>
    <format dxfId="883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>
            <x v="1"/>
          </reference>
        </references>
      </pivotArea>
    </format>
    <format dxfId="882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>
            <x v="4"/>
          </reference>
        </references>
      </pivotArea>
    </format>
    <format dxfId="881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2">
            <x v="0"/>
            <x v="1"/>
          </reference>
        </references>
      </pivotArea>
    </format>
    <format dxfId="880">
      <pivotArea dataOnly="0" labelOnly="1" outline="0" fieldPosition="0">
        <references count="6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>
            <x v="0"/>
          </reference>
        </references>
      </pivotArea>
    </format>
    <format dxfId="879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>
            <x v="2"/>
          </reference>
        </references>
      </pivotArea>
    </format>
    <format dxfId="878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2">
            <x v="0"/>
            <x v="2"/>
          </reference>
        </references>
      </pivotArea>
    </format>
    <format dxfId="877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>
            <x v="0"/>
          </reference>
        </references>
      </pivotArea>
    </format>
    <format dxfId="876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>
            <x v="2"/>
          </reference>
        </references>
      </pivotArea>
    </format>
    <format dxfId="875">
      <pivotArea dataOnly="0" labelOnly="1" outline="0" fieldPosition="0">
        <references count="6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>
            <x v="0"/>
          </reference>
        </references>
      </pivotArea>
    </format>
    <format dxfId="874">
      <pivotArea field="39" type="button" dataOnly="0" labelOnly="1" outline="0" axis="axisRow" fieldPosition="14"/>
    </format>
    <format dxfId="87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7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87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7"/>
          </reference>
        </references>
      </pivotArea>
    </format>
    <format dxfId="87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8"/>
          </reference>
        </references>
      </pivotArea>
    </format>
    <format dxfId="86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86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86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6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6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6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6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6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6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97"/>
          </reference>
          <reference field="37" count="1" selected="0">
            <x v="1"/>
          </reference>
          <reference field="38" count="0" selected="0"/>
          <reference field="39" count="1">
            <x v="85"/>
          </reference>
        </references>
      </pivotArea>
    </format>
    <format dxfId="86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859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83"/>
          </reference>
        </references>
      </pivotArea>
    </format>
    <format dxfId="858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857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856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855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144"/>
          </reference>
        </references>
      </pivotArea>
    </format>
    <format dxfId="854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853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9"/>
          </reference>
        </references>
      </pivotArea>
    </format>
    <format dxfId="852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1"/>
          </reference>
          <reference field="38" count="0" selected="0"/>
          <reference field="39" count="1">
            <x v="113"/>
          </reference>
        </references>
      </pivotArea>
    </format>
    <format dxfId="851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1"/>
          </reference>
          <reference field="38" count="0" selected="0"/>
          <reference field="39" count="1">
            <x v="158"/>
          </reference>
        </references>
      </pivotArea>
    </format>
    <format dxfId="850">
      <pivotArea dataOnly="0" labelOnly="1" outline="0" fieldPosition="0">
        <references count="15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" selected="0">
            <x v="69"/>
          </reference>
          <reference field="34" count="0" selected="0"/>
          <reference field="35" count="0" selected="0"/>
          <reference field="36" count="1" selected="0">
            <x v="98"/>
          </reference>
          <reference field="37" count="1" selected="0">
            <x v="13"/>
          </reference>
          <reference field="38" count="0" selected="0"/>
          <reference field="39" count="1">
            <x v="193"/>
          </reference>
        </references>
      </pivotArea>
    </format>
    <format dxfId="849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8"/>
          </reference>
        </references>
      </pivotArea>
    </format>
    <format dxfId="848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79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2"/>
          </reference>
          <reference field="38" count="0" selected="0"/>
          <reference field="39" count="1">
            <x v="172"/>
          </reference>
        </references>
      </pivotArea>
    </format>
    <format dxfId="847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46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76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45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74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44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43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42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7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41">
      <pivotArea dataOnly="0" labelOnly="1" outline="0" fieldPosition="0">
        <references count="15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0"/>
          </reference>
          <reference field="33" count="1" selected="0">
            <x v="5"/>
          </reference>
          <reference field="34" count="0" selected="0"/>
          <reference field="35" count="0" selected="0"/>
          <reference field="36" count="1" selected="0">
            <x v="17"/>
          </reference>
          <reference field="37" count="1" selected="0">
            <x v="1"/>
          </reference>
          <reference field="38" count="0" selected="0"/>
          <reference field="39" count="1">
            <x v="108"/>
          </reference>
        </references>
      </pivotArea>
    </format>
    <format dxfId="84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"/>
          </reference>
          <reference field="37" count="1" selected="0">
            <x v="1"/>
          </reference>
          <reference field="38" count="0" selected="0"/>
          <reference field="39" count="1">
            <x v="171"/>
          </reference>
        </references>
      </pivotArea>
    </format>
    <format dxfId="83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3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3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474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36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6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35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34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5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33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832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31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1"/>
          </reference>
          <reference field="38" count="0" selected="0"/>
          <reference field="39" count="1">
            <x v="152"/>
          </reference>
        </references>
      </pivotArea>
    </format>
    <format dxfId="830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6"/>
          </reference>
          <reference field="30" count="1" selected="0">
            <x v="0"/>
          </reference>
          <reference field="31" count="0" selected="0"/>
          <reference field="32" count="1" selected="0">
            <x v="481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29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828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2"/>
          </reference>
        </references>
      </pivotArea>
    </format>
    <format dxfId="827">
      <pivotArea dataOnly="0" labelOnly="1" outline="0" fieldPosition="0">
        <references count="15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 selected="0">
            <x v="30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82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82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82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5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82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82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3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82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2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82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81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81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81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81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1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81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2"/>
          </reference>
          <reference field="38" count="0" selected="0"/>
          <reference field="39" count="1">
            <x v="151"/>
          </reference>
        </references>
      </pivotArea>
    </format>
    <format dxfId="81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81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81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6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4"/>
          </reference>
        </references>
      </pivotArea>
    </format>
    <format dxfId="81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0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5"/>
          </reference>
          <reference field="38" count="0" selected="0"/>
          <reference field="39" count="1">
            <x v="150"/>
          </reference>
        </references>
      </pivotArea>
    </format>
    <format dxfId="80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99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80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806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805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804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803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802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27"/>
          </reference>
          <reference field="33" count="1" selected="0">
            <x v="40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801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800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7"/>
          </reference>
        </references>
      </pivotArea>
    </format>
    <format dxfId="799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98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75"/>
          </reference>
        </references>
      </pivotArea>
    </format>
    <format dxfId="797">
      <pivotArea dataOnly="0" labelOnly="1" outline="0" fieldPosition="0">
        <references count="15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796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6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795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14"/>
          </reference>
          <reference field="37" count="1" selected="0">
            <x v="1"/>
          </reference>
          <reference field="38" count="0" selected="0"/>
          <reference field="39" count="1">
            <x v="84"/>
          </reference>
        </references>
      </pivotArea>
    </format>
    <format dxfId="794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793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7"/>
          </reference>
        </references>
      </pivotArea>
    </format>
    <format dxfId="792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791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2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2"/>
          </reference>
          <reference field="37" count="1" selected="0">
            <x v="1"/>
          </reference>
          <reference field="38" count="0" selected="0"/>
          <reference field="39" count="1">
            <x v="156"/>
          </reference>
        </references>
      </pivotArea>
    </format>
    <format dxfId="790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28"/>
          </reference>
          <reference field="37" count="1" selected="0">
            <x v="1"/>
          </reference>
          <reference field="38" count="0" selected="0"/>
          <reference field="39" count="1">
            <x v="42"/>
          </reference>
        </references>
      </pivotArea>
    </format>
    <format dxfId="789">
      <pivotArea dataOnly="0" labelOnly="1" outline="0" fieldPosition="0">
        <references count="15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57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3"/>
          </reference>
          <reference field="37" count="1" selected="0">
            <x v="1"/>
          </reference>
          <reference field="38" count="0" selected="0"/>
          <reference field="39" count="1">
            <x v="13"/>
          </reference>
        </references>
      </pivotArea>
    </format>
    <format dxfId="788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0"/>
          </reference>
        </references>
      </pivotArea>
    </format>
    <format dxfId="787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6"/>
          </reference>
        </references>
      </pivotArea>
    </format>
    <format dxfId="786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68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48"/>
          </reference>
          <reference field="37" count="1" selected="0">
            <x v="1"/>
          </reference>
          <reference field="38" count="0" selected="0"/>
          <reference field="39" count="1">
            <x v="6"/>
          </reference>
        </references>
      </pivotArea>
    </format>
    <format dxfId="785">
      <pivotArea dataOnly="0" labelOnly="1" outline="0" fieldPosition="0">
        <references count="15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597"/>
          </reference>
          <reference field="33" count="1" selected="0">
            <x v="53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5"/>
          </reference>
        </references>
      </pivotArea>
    </format>
    <format dxfId="78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78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78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78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78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77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77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77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7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7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7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77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77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1"/>
          </reference>
        </references>
      </pivotArea>
    </format>
    <format dxfId="771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 selected="0">
            <x v="3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0"/>
          </reference>
        </references>
      </pivotArea>
    </format>
    <format dxfId="770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23"/>
          </reference>
          <reference field="37" count="1" selected="0">
            <x v="1"/>
          </reference>
          <reference field="38" count="0" selected="0"/>
          <reference field="39" count="1">
            <x v="51"/>
          </reference>
        </references>
      </pivotArea>
    </format>
    <format dxfId="769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3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768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8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767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79"/>
          </reference>
        </references>
      </pivotArea>
    </format>
    <format dxfId="766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5"/>
          </reference>
          <reference field="37" count="1" selected="0">
            <x v="1"/>
          </reference>
          <reference field="38" count="0" selected="0"/>
          <reference field="39" count="1">
            <x v="178"/>
          </reference>
        </references>
      </pivotArea>
    </format>
    <format dxfId="765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 selected="0">
            <x v="31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2"/>
          </reference>
        </references>
      </pivotArea>
    </format>
    <format dxfId="764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763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762">
      <pivotArea dataOnly="0" labelOnly="1" outline="0" fieldPosition="0">
        <references count="15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761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"/>
          </reference>
          <reference field="38" count="0" selected="0"/>
          <reference field="39" count="1">
            <x v="148"/>
          </reference>
        </references>
      </pivotArea>
    </format>
    <format dxfId="760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8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1"/>
          </reference>
        </references>
      </pivotArea>
    </format>
    <format dxfId="759">
      <pivotArea dataOnly="0" labelOnly="1" outline="0" fieldPosition="0">
        <references count="15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10"/>
          </reference>
          <reference field="33" count="1" selected="0">
            <x v="43"/>
          </reference>
          <reference field="34" count="0" selected="0"/>
          <reference field="35" count="0" selected="0"/>
          <reference field="36" count="1" selected="0">
            <x v="72"/>
          </reference>
          <reference field="37" count="1" selected="0">
            <x v="1"/>
          </reference>
          <reference field="38" count="0" selected="0"/>
          <reference field="39" count="1">
            <x v="159"/>
          </reference>
        </references>
      </pivotArea>
    </format>
    <format dxfId="758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7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6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5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4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3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2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1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9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50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49">
      <pivotArea dataOnly="0" labelOnly="1" outline="0" fieldPosition="0">
        <references count="15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30"/>
          </reference>
          <reference field="37" count="1" selected="0">
            <x v="1"/>
          </reference>
          <reference field="38" count="0" selected="0"/>
          <reference field="39" count="1">
            <x v="46"/>
          </reference>
        </references>
      </pivotArea>
    </format>
    <format dxfId="748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747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90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746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4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745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9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744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743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7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7"/>
          </reference>
        </references>
      </pivotArea>
    </format>
    <format dxfId="742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741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196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740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1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739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0"/>
          </reference>
        </references>
      </pivotArea>
    </format>
    <format dxfId="738">
      <pivotArea dataOnly="0" labelOnly="1" outline="0" fieldPosition="0">
        <references count="15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4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0"/>
          </reference>
        </references>
      </pivotArea>
    </format>
    <format dxfId="73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2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1"/>
          </reference>
          <reference field="38" count="0" selected="0"/>
          <reference field="39" count="1">
            <x v="17"/>
          </reference>
        </references>
      </pivotArea>
    </format>
    <format dxfId="73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39"/>
          </reference>
          <reference field="37" count="1" selected="0">
            <x v="1"/>
          </reference>
          <reference field="38" count="0" selected="0"/>
          <reference field="39" count="1">
            <x v="91"/>
          </reference>
        </references>
      </pivotArea>
    </format>
    <format dxfId="73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6"/>
          </reference>
          <reference field="37" count="1" selected="0">
            <x v="1"/>
          </reference>
          <reference field="38" count="0" selected="0"/>
          <reference field="39" count="1">
            <x v="32"/>
          </reference>
        </references>
      </pivotArea>
    </format>
    <format dxfId="73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6"/>
          </reference>
          <reference field="37" count="1" selected="0">
            <x v="1"/>
          </reference>
          <reference field="38" count="0" selected="0"/>
          <reference field="39" count="1">
            <x v="169"/>
          </reference>
        </references>
      </pivotArea>
    </format>
    <format dxfId="73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73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35"/>
          </reference>
          <reference field="37" count="1" selected="0">
            <x v="1"/>
          </reference>
          <reference field="38" count="0" selected="0"/>
          <reference field="39" count="1">
            <x v="161"/>
          </reference>
        </references>
      </pivotArea>
    </format>
    <format dxfId="73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7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2"/>
          </reference>
        </references>
      </pivotArea>
    </format>
    <format dxfId="73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8"/>
          </reference>
          <reference field="37" count="1" selected="0">
            <x v="1"/>
          </reference>
          <reference field="38" count="0" selected="0"/>
          <reference field="39" count="1">
            <x v="77"/>
          </reference>
        </references>
      </pivotArea>
    </format>
    <format dxfId="72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1"/>
          </reference>
          <reference field="31" count="0" selected="0"/>
          <reference field="32" count="1" selected="0">
            <x v="294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59"/>
          </reference>
          <reference field="37" count="1" selected="0">
            <x v="1"/>
          </reference>
          <reference field="38" count="0" selected="0"/>
          <reference field="39" count="1">
            <x v="75"/>
          </reference>
        </references>
      </pivotArea>
    </format>
    <format dxfId="72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2"/>
          </reference>
          <reference field="31" count="0" selected="0"/>
          <reference field="32" count="1" selected="0">
            <x v="28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0"/>
          </reference>
          <reference field="37" count="1" selected="0">
            <x v="1"/>
          </reference>
          <reference field="38" count="0" selected="0"/>
          <reference field="39" count="1">
            <x v="69"/>
          </reference>
        </references>
      </pivotArea>
    </format>
    <format dxfId="72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3"/>
          </reference>
          <reference field="31" count="0" selected="0"/>
          <reference field="32" count="1" selected="0">
            <x v="293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1"/>
          </reference>
          <reference field="38" count="0" selected="0"/>
          <reference field="39" count="1">
            <x v="73"/>
          </reference>
        </references>
      </pivotArea>
    </format>
    <format dxfId="72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1"/>
          </reference>
          <reference field="31" count="0" selected="0"/>
          <reference field="32" count="1" selected="0">
            <x v="292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2"/>
          </reference>
          <reference field="37" count="1" selected="0">
            <x v="1"/>
          </reference>
          <reference field="38" count="0" selected="0"/>
          <reference field="39" count="1">
            <x v="70"/>
          </reference>
        </references>
      </pivotArea>
    </format>
    <format dxfId="72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2"/>
          </reference>
          <reference field="31" count="0" selected="0"/>
          <reference field="32" count="1" selected="0">
            <x v="295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3"/>
          </reference>
          <reference field="37" count="1" selected="0">
            <x v="1"/>
          </reference>
          <reference field="38" count="0" selected="0"/>
          <reference field="39" count="1">
            <x v="76"/>
          </reference>
        </references>
      </pivotArea>
    </format>
    <format dxfId="72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3"/>
          </reference>
          <reference field="30" count="1" selected="0">
            <x v="3"/>
          </reference>
          <reference field="31" count="0" selected="0"/>
          <reference field="32" count="1" selected="0">
            <x v="287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4"/>
          </reference>
          <reference field="37" count="1" selected="0">
            <x v="1"/>
          </reference>
          <reference field="38" count="0" selected="0"/>
          <reference field="39" count="1">
            <x v="81"/>
          </reference>
        </references>
      </pivotArea>
    </format>
    <format dxfId="723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4"/>
          </reference>
          <reference field="30" count="1" selected="0">
            <x v="0"/>
          </reference>
          <reference field="31" count="0" selected="0"/>
          <reference field="32" count="1" selected="0">
            <x v="28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5"/>
          </reference>
          <reference field="37" count="1" selected="0">
            <x v="1"/>
          </reference>
          <reference field="38" count="0" selected="0"/>
          <reference field="39" count="1">
            <x v="71"/>
          </reference>
        </references>
      </pivotArea>
    </format>
    <format dxfId="722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5"/>
          </reference>
          <reference field="30" count="1" selected="0">
            <x v="0"/>
          </reference>
          <reference field="31" count="0" selected="0"/>
          <reference field="32" count="1" selected="0">
            <x v="296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6"/>
          </reference>
          <reference field="37" count="1" selected="0">
            <x v="1"/>
          </reference>
          <reference field="38" count="0" selected="0"/>
          <reference field="39" count="1">
            <x v="34"/>
          </reference>
        </references>
      </pivotArea>
    </format>
    <format dxfId="721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6"/>
          </reference>
          <reference field="30" count="1" selected="0">
            <x v="0"/>
          </reference>
          <reference field="31" count="0" selected="0"/>
          <reference field="32" count="1" selected="0">
            <x v="291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7"/>
          </reference>
          <reference field="37" count="1" selected="0">
            <x v="1"/>
          </reference>
          <reference field="38" count="0" selected="0"/>
          <reference field="39" count="1">
            <x v="74"/>
          </reference>
        </references>
      </pivotArea>
    </format>
    <format dxfId="720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7"/>
          </reference>
          <reference field="30" count="1" selected="0">
            <x v="0"/>
          </reference>
          <reference field="31" count="0" selected="0"/>
          <reference field="32" count="1" selected="0">
            <x v="298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8"/>
          </reference>
          <reference field="37" count="1" selected="0">
            <x v="1"/>
          </reference>
          <reference field="38" count="0" selected="0"/>
          <reference field="39" count="1">
            <x v="78"/>
          </reference>
        </references>
      </pivotArea>
    </format>
    <format dxfId="719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8"/>
          </reference>
          <reference field="30" count="1" selected="0">
            <x v="0"/>
          </reference>
          <reference field="31" count="0" selected="0"/>
          <reference field="32" count="1" selected="0">
            <x v="290"/>
          </reference>
          <reference field="33" count="1" selected="0">
            <x v="54"/>
          </reference>
          <reference field="34" count="0" selected="0"/>
          <reference field="35" count="0" selected="0"/>
          <reference field="36" count="1" selected="0">
            <x v="61"/>
          </reference>
          <reference field="37" count="1" selected="0">
            <x v="2"/>
          </reference>
          <reference field="38" count="0" selected="0"/>
          <reference field="39" count="1">
            <x v="72"/>
          </reference>
        </references>
      </pivotArea>
    </format>
    <format dxfId="718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 selected="0">
            <x v="18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136"/>
          </reference>
        </references>
      </pivotArea>
    </format>
    <format dxfId="717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1"/>
          </reference>
          <reference field="38" count="0" selected="0"/>
          <reference field="39" count="1">
            <x v="92"/>
          </reference>
        </references>
      </pivotArea>
    </format>
    <format dxfId="716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2"/>
          </reference>
          <reference field="38" count="0" selected="0"/>
          <reference field="39" count="1">
            <x v="80"/>
          </reference>
        </references>
      </pivotArea>
    </format>
    <format dxfId="715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1"/>
          </reference>
          <reference field="31" count="0" selected="0"/>
          <reference field="32" count="1" selected="0">
            <x v="289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3"/>
          </reference>
          <reference field="38" count="0" selected="0"/>
          <reference field="39" count="1">
            <x v="79"/>
          </reference>
        </references>
      </pivotArea>
    </format>
    <format dxfId="714">
      <pivotArea dataOnly="0" labelOnly="1" outline="0" fieldPosition="0">
        <references count="15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89"/>
          </reference>
          <reference field="37" count="1" selected="0">
            <x v="4"/>
          </reference>
          <reference field="38" count="0" selected="0"/>
          <reference field="39" count="1">
            <x v="170"/>
          </reference>
        </references>
      </pivotArea>
    </format>
    <format dxfId="71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 selected="0">
            <x v="67"/>
          </reference>
          <reference field="34" count="0" selected="0"/>
          <reference field="35" count="0" selected="0"/>
          <reference field="36" count="1" selected="0">
            <x v="42"/>
          </reference>
          <reference field="37" count="1" selected="0">
            <x v="1"/>
          </reference>
          <reference field="38" count="0" selected="0"/>
          <reference field="39" count="1">
            <x v="55"/>
          </reference>
        </references>
      </pivotArea>
    </format>
    <format dxfId="71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1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3"/>
          </reference>
          <reference field="31" count="0" selected="0"/>
          <reference field="32" count="1" selected="0">
            <x v="318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1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4"/>
          </reference>
          <reference field="31" count="0" selected="0"/>
          <reference field="32" count="1" selected="0">
            <x v="317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0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5"/>
          </reference>
          <reference field="31" count="0" selected="0"/>
          <reference field="32" count="1" selected="0">
            <x v="31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0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6"/>
          </reference>
          <reference field="31" count="0" selected="0"/>
          <reference field="32" count="1" selected="0">
            <x v="312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0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7"/>
          </reference>
          <reference field="31" count="0" selected="0"/>
          <reference field="32" count="1" selected="0">
            <x v="313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0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8"/>
          </reference>
          <reference field="31" count="0" selected="0"/>
          <reference field="32" count="1" selected="0">
            <x v="315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0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9"/>
          </reference>
          <reference field="31" count="0" selected="0"/>
          <reference field="32" count="1" selected="0">
            <x v="316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0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0"/>
          </reference>
          <reference field="30" count="1" selected="0">
            <x v="10"/>
          </reference>
          <reference field="31" count="0" selected="0"/>
          <reference field="32" count="1" selected="0">
            <x v="310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40"/>
          </reference>
          <reference field="37" count="1" selected="0">
            <x v="1"/>
          </reference>
          <reference field="38" count="0" selected="0"/>
          <reference field="39" count="1">
            <x v="94"/>
          </reference>
        </references>
      </pivotArea>
    </format>
    <format dxfId="70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41"/>
          </reference>
          <reference field="37" count="1" selected="0">
            <x v="1"/>
          </reference>
          <reference field="38" count="0" selected="0"/>
          <reference field="39" count="1">
            <x v="12"/>
          </reference>
        </references>
      </pivotArea>
    </format>
    <format dxfId="702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701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5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700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1"/>
          </reference>
          <reference field="38" count="0" selected="0"/>
          <reference field="39" count="1">
            <x v="139"/>
          </reference>
        </references>
      </pivotArea>
    </format>
    <format dxfId="699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43"/>
          </reference>
          <reference field="33" count="1" selected="0">
            <x v="55"/>
          </reference>
          <reference field="34" count="0" selected="0"/>
          <reference field="35" count="0" selected="0"/>
          <reference field="36" count="1" selected="0">
            <x v="93"/>
          </reference>
          <reference field="37" count="1" selected="0">
            <x v="2"/>
          </reference>
          <reference field="38" count="0" selected="0"/>
          <reference field="39" count="1">
            <x v="140"/>
          </reference>
        </references>
      </pivotArea>
    </format>
    <format dxfId="698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7"/>
          </reference>
          <reference field="37" count="1" selected="0">
            <x v="1"/>
          </reference>
          <reference field="38" count="0" selected="0"/>
          <reference field="39" count="1">
            <x v="93"/>
          </reference>
        </references>
      </pivotArea>
    </format>
    <format dxfId="697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78"/>
          </reference>
          <reference field="37" count="1" selected="0">
            <x v="2"/>
          </reference>
          <reference field="38" count="0" selected="0"/>
          <reference field="39" count="1">
            <x v="95"/>
          </reference>
        </references>
      </pivotArea>
    </format>
    <format dxfId="696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0"/>
          </reference>
          <reference field="37" count="1" selected="0">
            <x v="1"/>
          </reference>
          <reference field="38" count="0" selected="0"/>
          <reference field="39" count="1">
            <x v="33"/>
          </reference>
        </references>
      </pivotArea>
    </format>
    <format dxfId="695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 selected="0">
            <x v="58"/>
          </reference>
          <reference field="34" count="0" selected="0"/>
          <reference field="35" count="0" selected="0"/>
          <reference field="36" count="1" selected="0">
            <x v="81"/>
          </reference>
          <reference field="37" count="1" selected="0">
            <x v="1"/>
          </reference>
          <reference field="38" count="0" selected="0"/>
          <reference field="39" count="1">
            <x v="15"/>
          </reference>
        </references>
      </pivotArea>
    </format>
    <format dxfId="694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 selected="0">
            <x v="57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4"/>
          </reference>
        </references>
      </pivotArea>
    </format>
    <format dxfId="693">
      <pivotArea dataOnly="0" labelOnly="1" outline="0" fieldPosition="0">
        <references count="15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692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195"/>
          </reference>
        </references>
      </pivotArea>
    </format>
    <format dxfId="691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196"/>
          </reference>
        </references>
      </pivotArea>
    </format>
    <format dxfId="690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197"/>
          </reference>
        </references>
      </pivotArea>
    </format>
    <format dxfId="689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1" selected="0">
            <x v="32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7"/>
          </reference>
        </references>
      </pivotArea>
    </format>
    <format dxfId="688">
      <pivotArea dataOnly="0" labelOnly="1" outline="0" fieldPosition="0">
        <references count="15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79"/>
          </reference>
          <reference field="37" count="1" selected="0">
            <x v="1"/>
          </reference>
          <reference field="38" count="0" selected="0"/>
          <reference field="39" count="1">
            <x v="198"/>
          </reference>
        </references>
      </pivotArea>
    </format>
    <format dxfId="687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7"/>
          </reference>
          <reference field="37" count="1" selected="0">
            <x v="1"/>
          </reference>
          <reference field="38" count="0" selected="0"/>
          <reference field="39" count="1">
            <x v="45"/>
          </reference>
        </references>
      </pivotArea>
    </format>
    <format dxfId="686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3"/>
          </reference>
        </references>
      </pivotArea>
    </format>
    <format dxfId="685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65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684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62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2"/>
          </reference>
        </references>
      </pivotArea>
    </format>
    <format dxfId="683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263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0"/>
          </reference>
        </references>
      </pivotArea>
    </format>
    <format dxfId="682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681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264"/>
          </reference>
          <reference field="33" count="1" selected="0">
            <x v="0"/>
          </reference>
          <reference field="34" count="0" selected="0"/>
          <reference field="35" count="0" selected="0"/>
          <reference field="36" count="1" selected="0">
            <x v="95"/>
          </reference>
          <reference field="37" count="1" selected="0">
            <x v="1"/>
          </reference>
          <reference field="38" count="0" selected="0"/>
          <reference field="39" count="1">
            <x v="177"/>
          </reference>
        </references>
      </pivotArea>
    </format>
    <format dxfId="680">
      <pivotArea dataOnly="0" labelOnly="1" outline="0" fieldPosition="0">
        <references count="15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679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00"/>
          </reference>
        </references>
      </pivotArea>
    </format>
    <format dxfId="678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199"/>
          </reference>
        </references>
      </pivotArea>
    </format>
    <format dxfId="677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21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199"/>
          </reference>
        </references>
      </pivotArea>
    </format>
    <format dxfId="676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16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01"/>
          </reference>
        </references>
      </pivotArea>
    </format>
    <format dxfId="675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419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02"/>
          </reference>
        </references>
      </pivotArea>
    </format>
    <format dxfId="674">
      <pivotArea dataOnly="0" labelOnly="1" outline="0" fieldPosition="0">
        <references count="15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20"/>
          </reference>
          <reference field="33" count="1" selected="0">
            <x v="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02"/>
          </reference>
        </references>
      </pivotArea>
    </format>
    <format dxfId="673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7"/>
          </reference>
        </references>
      </pivotArea>
    </format>
    <format dxfId="672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71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8"/>
          </reference>
        </references>
      </pivotArea>
    </format>
    <format dxfId="671">
      <pivotArea dataOnly="0" labelOnly="1" outline="0" fieldPosition="0">
        <references count="15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573"/>
          </reference>
          <reference field="33" count="1" selected="0">
            <x v="5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6"/>
          </reference>
        </references>
      </pivotArea>
    </format>
    <format dxfId="670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1"/>
          </reference>
        </references>
      </pivotArea>
    </format>
    <format dxfId="669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28"/>
          </reference>
        </references>
      </pivotArea>
    </format>
    <format dxfId="668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7"/>
          </reference>
        </references>
      </pivotArea>
    </format>
    <format dxfId="667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666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 selected="0">
            <x v="51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5"/>
          </reference>
        </references>
      </pivotArea>
    </format>
    <format dxfId="665">
      <pivotArea dataOnly="0" labelOnly="1" outline="0" fieldPosition="0">
        <references count="15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66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66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66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66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2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66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1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65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1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65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65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2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65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65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2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65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0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65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3"/>
          </reference>
          <reference field="38" count="0" selected="0"/>
          <reference field="39" count="1">
            <x v="174"/>
          </reference>
        </references>
      </pivotArea>
    </format>
    <format dxfId="65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51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4"/>
          </reference>
          <reference field="38" count="0" selected="0"/>
          <reference field="39" count="1">
            <x v="50"/>
          </reference>
        </references>
      </pivotArea>
    </format>
    <format dxfId="65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0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3"/>
          </reference>
        </references>
      </pivotArea>
    </format>
    <format dxfId="65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64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50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64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1"/>
          </reference>
          <reference field="38" count="0" selected="0"/>
          <reference field="39" count="1">
            <x v="49"/>
          </reference>
        </references>
      </pivotArea>
    </format>
    <format dxfId="64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6"/>
          </reference>
        </references>
      </pivotArea>
    </format>
    <format dxfId="64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 selected="0">
            <x v="3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64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 selected="0">
            <x v="52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5"/>
          </reference>
          <reference field="38" count="0" selected="0"/>
          <reference field="39" count="1">
            <x v="47"/>
          </reference>
        </references>
      </pivotArea>
    </format>
    <format dxfId="64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4"/>
          </reference>
          <reference field="37" count="1" selected="0">
            <x v="2"/>
          </reference>
          <reference field="38" count="0" selected="0"/>
          <reference field="39" count="1">
            <x v="48"/>
          </reference>
        </references>
      </pivotArea>
    </format>
    <format dxfId="64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3"/>
          </reference>
        </references>
      </pivotArea>
    </format>
    <format dxfId="64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1"/>
          </reference>
          <reference field="38" count="0" selected="0"/>
          <reference field="39" count="1">
            <x v="40"/>
          </reference>
        </references>
      </pivotArea>
    </format>
    <format dxfId="641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9"/>
          </reference>
          <reference field="37" count="1" selected="0">
            <x v="2"/>
          </reference>
          <reference field="38" count="0" selected="0"/>
          <reference field="39" count="1">
            <x v="41"/>
          </reference>
        </references>
      </pivotArea>
    </format>
    <format dxfId="640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639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2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11"/>
          </reference>
        </references>
      </pivotArea>
    </format>
    <format dxfId="638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49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637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5"/>
          </reference>
          <reference field="31" count="0" selected="0"/>
          <reference field="32" count="1" selected="0">
            <x v="51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636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1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635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52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10"/>
          </reference>
        </references>
      </pivotArea>
    </format>
    <format dxfId="634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633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1"/>
          </reference>
          <reference field="31" count="0" selected="0"/>
          <reference field="32" count="1" selected="0">
            <x v="52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4"/>
          </reference>
        </references>
      </pivotArea>
    </format>
    <format dxfId="632">
      <pivotArea dataOnly="0" labelOnly="1" outline="0" fieldPosition="0">
        <references count="15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63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63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62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62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40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62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9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62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9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62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624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623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622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621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40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620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619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7"/>
          </reference>
        </references>
      </pivotArea>
    </format>
    <format dxfId="618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9"/>
          </reference>
        </references>
      </pivotArea>
    </format>
    <format dxfId="617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9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3"/>
          </reference>
        </references>
      </pivotArea>
    </format>
    <format dxfId="616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402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94"/>
          </reference>
          <reference field="37" count="1" selected="0">
            <x v="1"/>
          </reference>
          <reference field="38" count="0" selected="0"/>
          <reference field="39" count="1">
            <x v="176"/>
          </reference>
        </references>
      </pivotArea>
    </format>
    <format dxfId="615">
      <pivotArea dataOnly="0" labelOnly="1" outline="0" fieldPosition="0">
        <references count="15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393"/>
          </reference>
          <reference field="33" count="1" selected="0">
            <x v="49"/>
          </reference>
          <reference field="34" count="0" selected="0"/>
          <reference field="35" count="0" selected="0"/>
          <reference field="36" count="1" selected="0">
            <x v="69"/>
          </reference>
          <reference field="37" count="1" selected="0">
            <x v="1"/>
          </reference>
          <reference field="38" count="0" selected="0"/>
          <reference field="39" count="1">
            <x v="20"/>
          </reference>
        </references>
      </pivotArea>
    </format>
    <format dxfId="614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613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612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611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19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610">
      <pivotArea dataOnly="0" labelOnly="1" outline="0" fieldPosition="0">
        <references count="15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5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6"/>
          </reference>
        </references>
      </pivotArea>
    </format>
    <format dxfId="60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60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8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60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60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6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60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5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60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6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60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60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60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60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9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7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9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36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9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60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59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5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59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75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4"/>
          </reference>
        </references>
      </pivotArea>
    </format>
    <format dxfId="59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5"/>
          </reference>
          <reference field="30" count="1" selected="0">
            <x v="0"/>
          </reference>
          <reference field="31" count="0" selected="0"/>
          <reference field="32" count="1" selected="0">
            <x v="37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31"/>
          </reference>
          <reference field="37" count="1" selected="0">
            <x v="1"/>
          </reference>
          <reference field="38" count="0" selected="0"/>
          <reference field="39" count="1">
            <x v="96"/>
          </reference>
        </references>
      </pivotArea>
    </format>
    <format dxfId="59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9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59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9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71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8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58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8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36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8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58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8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8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582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81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3"/>
          </reference>
          <reference field="31" count="0" selected="0"/>
          <reference field="32" count="1" selected="0">
            <x v="373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80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4"/>
          </reference>
          <reference field="31" count="0" selected="0"/>
          <reference field="32" count="1" selected="0">
            <x v="378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4"/>
          </reference>
        </references>
      </pivotArea>
    </format>
    <format dxfId="579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4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578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9"/>
          </reference>
        </references>
      </pivotArea>
    </format>
    <format dxfId="577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384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87"/>
          </reference>
        </references>
      </pivotArea>
    </format>
    <format dxfId="576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382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2"/>
          </reference>
          <reference field="38" count="0" selected="0"/>
          <reference field="39" count="1">
            <x v="165"/>
          </reference>
        </references>
      </pivotArea>
    </format>
    <format dxfId="575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386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76"/>
          </reference>
          <reference field="37" count="1" selected="0">
            <x v="1"/>
          </reference>
          <reference field="38" count="0" selected="0"/>
          <reference field="39" count="1">
            <x v="14"/>
          </reference>
        </references>
      </pivotArea>
    </format>
    <format dxfId="574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73">
      <pivotArea dataOnly="0" labelOnly="1" outline="0" fieldPosition="0">
        <references count="15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572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9"/>
          </reference>
          <reference field="38" count="0" selected="0"/>
          <reference field="39" count="1">
            <x v="194"/>
          </reference>
        </references>
      </pivotArea>
    </format>
    <format dxfId="571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10"/>
          </reference>
          <reference field="38" count="0" selected="0"/>
          <reference field="39" count="1">
            <x v="90"/>
          </reference>
        </references>
      </pivotArea>
    </format>
    <format dxfId="570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69"/>
          </reference>
          <reference field="33" count="1" selected="0">
            <x v="4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4"/>
          </reference>
        </references>
      </pivotArea>
    </format>
    <format dxfId="569">
      <pivotArea dataOnly="0" labelOnly="1" outline="0" fieldPosition="0">
        <references count="15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 selected="0">
            <x v="47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9"/>
          </reference>
          <reference field="38" count="0" selected="0"/>
          <reference field="39" count="1">
            <x v="153"/>
          </reference>
        </references>
      </pivotArea>
    </format>
    <format dxfId="56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6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6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56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2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56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24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56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2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56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6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6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5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58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2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57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556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30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555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3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554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226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553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31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8"/>
          </reference>
        </references>
      </pivotArea>
    </format>
    <format dxfId="552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228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551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237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8"/>
          </reference>
        </references>
      </pivotArea>
    </format>
    <format dxfId="550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1"/>
          </reference>
          <reference field="31" count="0" selected="0"/>
          <reference field="32" count="1" selected="0">
            <x v="239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549">
      <pivotArea dataOnly="0" labelOnly="1" outline="0" fieldPosition="0">
        <references count="15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235"/>
          </reference>
          <reference field="33" count="1" selected="0">
            <x v="45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548">
      <pivotArea dataOnly="0" labelOnly="1" outline="0" fieldPosition="0">
        <references count="15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 selected="0">
            <x v="23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7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546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5">
      <pivotArea dataOnly="0" labelOnly="1" outline="0" fieldPosition="0">
        <references count="15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49"/>
          </reference>
          <reference field="33" count="1" selected="0">
            <x v="2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544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5"/>
          </reference>
        </references>
      </pivotArea>
    </format>
    <format dxfId="543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2">
      <pivotArea dataOnly="0" labelOnly="1" outline="0" fieldPosition="0">
        <references count="15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252"/>
          </reference>
          <reference field="33" count="1" selected="0">
            <x v="2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2"/>
          </reference>
          <reference field="38" count="0" selected="0"/>
          <reference field="39" count="1">
            <x v="116"/>
          </reference>
        </references>
      </pivotArea>
    </format>
    <format dxfId="541">
      <pivotArea dataOnly="0" labelOnly="1" outline="0" fieldPosition="0">
        <references count="15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 selected="0">
            <x v="2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40">
      <pivotArea dataOnly="0" labelOnly="1" outline="0" fieldPosition="0">
        <references count="15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 selected="0">
            <x v="2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4"/>
          </reference>
        </references>
      </pivotArea>
    </format>
    <format dxfId="539">
      <pivotArea dataOnly="0" labelOnly="1" outline="0" fieldPosition="0">
        <references count="15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 selected="0">
            <x v="27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38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19"/>
          </reference>
          <reference field="37" count="1" selected="0">
            <x v="6"/>
          </reference>
          <reference field="38" count="0" selected="0"/>
          <reference field="39" count="1">
            <x v="149"/>
          </reference>
        </references>
      </pivotArea>
    </format>
    <format dxfId="537">
      <pivotArea dataOnly="0" labelOnly="1" outline="0" fieldPosition="0">
        <references count="15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 selected="0">
            <x v="36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36">
      <pivotArea dataOnly="0" labelOnly="1" outline="0" fieldPosition="0">
        <references count="15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 selected="0">
            <x v="2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3"/>
          </reference>
          <reference field="38" count="0" selected="0"/>
          <reference field="39" count="1">
            <x v="114"/>
          </reference>
        </references>
      </pivotArea>
    </format>
    <format dxfId="535">
      <pivotArea dataOnly="0" labelOnly="1" outline="0" fieldPosition="0">
        <references count="15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6"/>
          </reference>
        </references>
      </pivotArea>
    </format>
    <format dxfId="534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533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5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532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1"/>
          </reference>
          <reference field="38" count="0" selected="0"/>
          <reference field="39" count="1">
            <x v="137"/>
          </reference>
        </references>
      </pivotArea>
    </format>
    <format dxfId="531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90"/>
          </reference>
          <reference field="37" count="1" selected="0">
            <x v="2"/>
          </reference>
          <reference field="38" count="0" selected="0"/>
          <reference field="39" count="1">
            <x v="138"/>
          </reference>
        </references>
      </pivotArea>
    </format>
    <format dxfId="530">
      <pivotArea dataOnly="0" labelOnly="1" outline="0" fieldPosition="0">
        <references count="15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50"/>
          </reference>
          <reference field="30" count="1" selected="0">
            <x v="0"/>
          </reference>
          <reference field="31" count="0" selected="0"/>
          <reference field="32" count="1" selected="0">
            <x v="449"/>
          </reference>
          <reference field="33" count="1" selected="0">
            <x v="17"/>
          </reference>
          <reference field="34" count="0" selected="0"/>
          <reference field="35" count="0" selected="0"/>
          <reference field="36" count="1" selected="0">
            <x v="74"/>
          </reference>
          <reference field="37" count="1" selected="0">
            <x v="1"/>
          </reference>
          <reference field="38" count="0" selected="0"/>
          <reference field="39" count="1">
            <x v="3"/>
          </reference>
        </references>
      </pivotArea>
    </format>
    <format dxfId="52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52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27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26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88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25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87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24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86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23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85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22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57"/>
          </reference>
          <reference field="37" count="1" selected="0">
            <x v="1"/>
          </reference>
          <reference field="38" count="0" selected="0"/>
          <reference field="39" count="1">
            <x v="86"/>
          </reference>
        </references>
      </pivotArea>
    </format>
    <format dxfId="521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5"/>
          </reference>
        </references>
      </pivotArea>
    </format>
    <format dxfId="520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49"/>
          </reference>
          <reference field="37" count="1" selected="0">
            <x v="1"/>
          </reference>
          <reference field="38" count="0" selected="0"/>
          <reference field="39" count="1">
            <x v="135"/>
          </reference>
        </references>
      </pivotArea>
    </format>
    <format dxfId="519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8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5"/>
          </reference>
        </references>
      </pivotArea>
    </format>
    <format dxfId="518">
      <pivotArea dataOnly="0" labelOnly="1" outline="0" fieldPosition="0">
        <references count="15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1" selected="0">
            <x v="10"/>
          </reference>
          <reference field="34" count="0" selected="0"/>
          <reference field="35" count="0" selected="0"/>
          <reference field="36" count="1" selected="0">
            <x v="70"/>
          </reference>
          <reference field="37" count="1" selected="0">
            <x v="1"/>
          </reference>
          <reference field="38" count="0" selected="0"/>
          <reference field="39" count="1">
            <x v="37"/>
          </reference>
        </references>
      </pivotArea>
    </format>
    <format dxfId="517">
      <pivotArea dataOnly="0" labelOnly="1" outline="0" fieldPosition="0">
        <references count="15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9"/>
          </reference>
        </references>
      </pivotArea>
    </format>
    <format dxfId="516">
      <pivotArea dataOnly="0" labelOnly="1" outline="0" fieldPosition="0">
        <references count="15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5"/>
          </reference>
        </references>
      </pivotArea>
    </format>
    <format dxfId="515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 selected="0">
            <x v="37"/>
          </reference>
          <reference field="34" count="0" selected="0"/>
          <reference field="35" count="0" selected="0"/>
          <reference field="36" count="1" selected="0">
            <x v="54"/>
          </reference>
          <reference field="37" count="1" selected="0">
            <x v="1"/>
          </reference>
          <reference field="38" count="0" selected="0"/>
          <reference field="39" count="1">
            <x v="181"/>
          </reference>
        </references>
      </pivotArea>
    </format>
    <format dxfId="514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22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1"/>
          </reference>
        </references>
      </pivotArea>
    </format>
    <format dxfId="513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20"/>
          </reference>
        </references>
      </pivotArea>
    </format>
    <format dxfId="512">
      <pivotArea dataOnly="0" labelOnly="1" outline="0" fieldPosition="0">
        <references count="15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8"/>
          </reference>
          <reference field="30" count="1" selected="0">
            <x v="0"/>
          </reference>
          <reference field="31" count="0" selected="0"/>
          <reference field="32" count="1" selected="0">
            <x v="565"/>
          </reference>
          <reference field="33" count="1" selected="0">
            <x v="38"/>
          </reference>
          <reference field="34" count="0" selected="0"/>
          <reference field="35" count="0" selected="0"/>
          <reference field="36" count="1" selected="0">
            <x v="56"/>
          </reference>
          <reference field="37" count="1" selected="0">
            <x v="1"/>
          </reference>
          <reference field="38" count="0" selected="0"/>
          <reference field="39" count="1">
            <x v="183"/>
          </reference>
        </references>
      </pivotArea>
    </format>
    <format dxfId="511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510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5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509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1"/>
          </reference>
          <reference field="38" count="0" selected="0"/>
          <reference field="39" count="1">
            <x v="142"/>
          </reference>
        </references>
      </pivotArea>
    </format>
    <format dxfId="508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 selected="0">
            <x v="56"/>
          </reference>
          <reference field="34" count="0" selected="0"/>
          <reference field="35" count="0" selected="0"/>
          <reference field="36" count="1" selected="0">
            <x v="92"/>
          </reference>
          <reference field="37" count="1" selected="0">
            <x v="2"/>
          </reference>
          <reference field="38" count="0" selected="0"/>
          <reference field="39" count="1">
            <x v="143"/>
          </reference>
        </references>
      </pivotArea>
    </format>
    <format dxfId="507">
      <pivotArea dataOnly="0" labelOnly="1" outline="0" fieldPosition="0">
        <references count="15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 selected="0">
            <x v="39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19"/>
          </reference>
        </references>
      </pivotArea>
    </format>
    <format dxfId="50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50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50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50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50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50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54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50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49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54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49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540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49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5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49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49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8"/>
          </reference>
          <reference field="30" count="1" selected="0">
            <x v="0"/>
          </reference>
          <reference field="31" count="0" selected="0"/>
          <reference field="32" count="1" selected="0">
            <x v="54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49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5"/>
          </reference>
        </references>
      </pivotArea>
    </format>
    <format dxfId="49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53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62"/>
          </reference>
        </references>
      </pivotArea>
    </format>
    <format dxfId="49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53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8"/>
          </reference>
        </references>
      </pivotArea>
    </format>
    <format dxfId="49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4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49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44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48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4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5"/>
          </reference>
          <reference field="37" count="1" selected="0">
            <x v="1"/>
          </reference>
          <reference field="38" count="0" selected="0"/>
          <reference field="39" count="1">
            <x v="38"/>
          </reference>
        </references>
      </pivotArea>
    </format>
    <format dxfId="48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3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0"/>
          </reference>
          <reference field="37" count="1" selected="0">
            <x v="1"/>
          </reference>
          <reference field="38" count="0" selected="0"/>
          <reference field="39" count="1">
            <x v="66"/>
          </reference>
        </references>
      </pivotArea>
    </format>
    <format dxfId="48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54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22"/>
          </reference>
          <reference field="37" count="1" selected="0">
            <x v="3"/>
          </reference>
          <reference field="38" count="0" selected="0"/>
          <reference field="39" count="1">
            <x v="83"/>
          </reference>
        </references>
      </pivotArea>
    </format>
    <format dxfId="48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53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48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50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2"/>
          </reference>
          <reference field="38" count="0" selected="0"/>
          <reference field="39" count="1">
            <x v="107"/>
          </reference>
        </references>
      </pivotArea>
    </format>
    <format dxfId="484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1"/>
          </reference>
          <reference field="31" count="0" selected="0"/>
          <reference field="32" count="1" selected="0">
            <x v="54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51"/>
          </reference>
          <reference field="37" count="1" selected="0">
            <x v="1"/>
          </reference>
          <reference field="38" count="0" selected="0"/>
          <reference field="39" count="1">
            <x v="132"/>
          </reference>
        </references>
      </pivotArea>
    </format>
    <format dxfId="483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30"/>
          </reference>
          <reference field="30" count="1" selected="0">
            <x v="0"/>
          </reference>
          <reference field="31" count="0" selected="0"/>
          <reference field="32" count="1" selected="0">
            <x v="53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47"/>
          </reference>
          <reference field="37" count="1" selected="0">
            <x v="1"/>
          </reference>
          <reference field="38" count="0" selected="0"/>
          <reference field="39" count="1">
            <x v="7"/>
          </reference>
        </references>
      </pivotArea>
    </format>
    <format dxfId="482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3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1"/>
          </reference>
          <reference field="38" count="0" selected="0"/>
          <reference field="39" count="1">
            <x v="186"/>
          </reference>
        </references>
      </pivotArea>
    </format>
    <format dxfId="481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5"/>
          </reference>
          <reference field="30" count="1" selected="0">
            <x v="0"/>
          </reference>
          <reference field="31" count="0" selected="0"/>
          <reference field="32" count="1" selected="0">
            <x v="557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5"/>
          </reference>
          <reference field="37" count="1" selected="0">
            <x v="3"/>
          </reference>
          <reference field="38" count="0" selected="0"/>
          <reference field="39" count="1">
            <x v="82"/>
          </reference>
        </references>
      </pivotArea>
    </format>
    <format dxfId="480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56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2"/>
          </reference>
          <reference field="38" count="0" selected="0"/>
          <reference field="39" count="1">
            <x v="190"/>
          </reference>
        </references>
      </pivotArea>
    </format>
    <format dxfId="479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558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3"/>
          </reference>
          <reference field="38" count="0" selected="0"/>
          <reference field="39" count="1">
            <x v="191"/>
          </reference>
        </references>
      </pivotArea>
    </format>
    <format dxfId="478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1"/>
          </reference>
          <reference field="31" count="0" selected="0"/>
          <reference field="32" count="1" selected="0">
            <x v="559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1"/>
          </reference>
          <reference field="37" count="1" selected="0">
            <x v="4"/>
          </reference>
          <reference field="38" count="0" selected="0"/>
          <reference field="39" count="1">
            <x v="192"/>
          </reference>
        </references>
      </pivotArea>
    </format>
    <format dxfId="477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531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476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4"/>
          </reference>
          <reference field="30" count="1" selected="0">
            <x v="0"/>
          </reference>
          <reference field="31" count="0" selected="0"/>
          <reference field="32" count="1" selected="0">
            <x v="555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163"/>
          </reference>
        </references>
      </pivotArea>
    </format>
    <format dxfId="475">
      <pivotArea dataOnly="0" labelOnly="1" outline="0" fieldPosition="0">
        <references count="15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552"/>
          </reference>
          <reference field="33" count="1" selected="0">
            <x v="44"/>
          </reference>
          <reference field="34" count="0" selected="0"/>
          <reference field="35" count="0" selected="0"/>
          <reference field="36" count="1" selected="0">
            <x v="88"/>
          </reference>
          <reference field="37" count="1" selected="0">
            <x v="1"/>
          </reference>
          <reference field="38" count="0" selected="0"/>
          <reference field="39" count="1">
            <x v="146"/>
          </reference>
        </references>
      </pivotArea>
    </format>
    <format dxfId="47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47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47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47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0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47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01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46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97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46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46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46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46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46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16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46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109"/>
          </reference>
        </references>
      </pivotArea>
    </format>
    <format dxfId="46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102"/>
          </reference>
        </references>
      </pivotArea>
    </format>
    <format dxfId="46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46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59"/>
          </reference>
        </references>
      </pivotArea>
    </format>
    <format dxfId="45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92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57"/>
          </reference>
        </references>
      </pivotArea>
    </format>
    <format dxfId="45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56"/>
          </reference>
        </references>
      </pivotArea>
    </format>
    <format dxfId="45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104"/>
          </reference>
        </references>
      </pivotArea>
    </format>
    <format dxfId="45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09"/>
          </reference>
        </references>
      </pivotArea>
    </format>
    <format dxfId="45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10"/>
          </reference>
        </references>
      </pivotArea>
    </format>
    <format dxfId="45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03"/>
          </reference>
        </references>
      </pivotArea>
    </format>
    <format dxfId="45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04"/>
          </reference>
        </references>
      </pivotArea>
    </format>
    <format dxfId="45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05"/>
          </reference>
        </references>
      </pivotArea>
    </format>
    <format dxfId="45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06"/>
          </reference>
        </references>
      </pivotArea>
    </format>
    <format dxfId="45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07"/>
          </reference>
        </references>
      </pivotArea>
    </format>
    <format dxfId="44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7"/>
          </reference>
          <reference field="38" count="0" selected="0"/>
          <reference field="39" count="1">
            <x v="208"/>
          </reference>
        </references>
      </pivotArea>
    </format>
    <format dxfId="44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11"/>
          </reference>
        </references>
      </pivotArea>
    </format>
    <format dxfId="44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592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12"/>
          </reference>
        </references>
      </pivotArea>
    </format>
    <format dxfId="44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44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03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43"/>
          </reference>
        </references>
      </pivotArea>
    </format>
    <format dxfId="44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44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53"/>
          </reference>
        </references>
      </pivotArea>
    </format>
    <format dxfId="44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 selected="0">
            <x v="1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213"/>
          </reference>
        </references>
      </pivotArea>
    </format>
    <format dxfId="441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 selected="0">
            <x v="12"/>
          </reference>
          <reference field="34" count="0" selected="0"/>
          <reference field="35" count="0" selected="0"/>
          <reference field="36" count="1" selected="0">
            <x v="38"/>
          </reference>
          <reference field="37" count="1" selected="0">
            <x v="8"/>
          </reference>
          <reference field="38" count="0" selected="0"/>
          <reference field="39" count="1">
            <x v="4"/>
          </reference>
        </references>
      </pivotArea>
    </format>
    <format dxfId="440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14"/>
          </reference>
        </references>
      </pivotArea>
    </format>
    <format dxfId="439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2">
            <x v="98"/>
            <x v="99"/>
          </reference>
        </references>
      </pivotArea>
    </format>
    <format dxfId="438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437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 selected="0">
            <x v="59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15"/>
          </reference>
        </references>
      </pivotArea>
    </format>
    <format dxfId="436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29"/>
          </reference>
        </references>
      </pivotArea>
    </format>
    <format dxfId="435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21"/>
          </reference>
          <reference field="34" count="0" selected="0"/>
          <reference field="35" count="0" selected="0"/>
          <reference field="36" count="1" selected="0">
            <x v="87"/>
          </reference>
          <reference field="37" count="1" selected="0">
            <x v="1"/>
          </reference>
          <reference field="38" count="0" selected="0"/>
          <reference field="39" count="1">
            <x v="16"/>
          </reference>
        </references>
      </pivotArea>
    </format>
    <format dxfId="434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83"/>
          </reference>
          <reference field="37" count="1" selected="0">
            <x v="1"/>
          </reference>
          <reference field="38" count="0" selected="0"/>
          <reference field="39" count="1">
            <x v="216"/>
          </reference>
        </references>
      </pivotArea>
    </format>
    <format dxfId="433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 selected="0">
            <x v="20"/>
          </reference>
          <reference field="34" count="0" selected="0"/>
          <reference field="35" count="0" selected="0"/>
          <reference field="36" count="1" selected="0">
            <x v="84"/>
          </reference>
          <reference field="37" count="1" selected="0">
            <x v="5"/>
          </reference>
          <reference field="38" count="0" selected="0"/>
          <reference field="39" count="1">
            <x v="217"/>
          </reference>
        </references>
      </pivotArea>
    </format>
    <format dxfId="432">
      <pivotArea dataOnly="0" labelOnly="1" outline="0" fieldPosition="0">
        <references count="15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431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7"/>
          </reference>
          <reference field="38" count="0" selected="0"/>
          <reference field="39" count="1">
            <x v="218"/>
          </reference>
        </references>
      </pivotArea>
    </format>
    <format dxfId="430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3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19"/>
          </reference>
        </references>
      </pivotArea>
    </format>
    <format dxfId="429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19"/>
          </reference>
        </references>
      </pivotArea>
    </format>
    <format dxfId="428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0"/>
          </reference>
        </references>
      </pivotArea>
    </format>
    <format dxfId="427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21"/>
          </reference>
        </references>
      </pivotArea>
    </format>
    <format dxfId="426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22"/>
          </reference>
        </references>
      </pivotArea>
    </format>
    <format dxfId="425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23"/>
          </reference>
        </references>
      </pivotArea>
    </format>
    <format dxfId="424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24"/>
          </reference>
        </references>
      </pivotArea>
    </format>
    <format dxfId="423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1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25"/>
          </reference>
        </references>
      </pivotArea>
    </format>
    <format dxfId="422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52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6"/>
          </reference>
        </references>
      </pivotArea>
    </format>
    <format dxfId="421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 selected="0">
            <x v="11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154"/>
          </reference>
        </references>
      </pivotArea>
    </format>
    <format dxfId="420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101"/>
          </reference>
        </references>
      </pivotArea>
    </format>
    <format dxfId="419">
      <pivotArea dataOnly="0" labelOnly="1" outline="0" fieldPosition="0">
        <references count="15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 selected="0">
            <x v="60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27"/>
          </reference>
        </references>
      </pivotArea>
    </format>
    <format dxfId="418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8"/>
          </reference>
        </references>
      </pivotArea>
    </format>
    <format dxfId="417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32"/>
          </reference>
        </references>
      </pivotArea>
    </format>
    <format dxfId="416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8"/>
          </reference>
        </references>
      </pivotArea>
    </format>
    <format dxfId="415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33"/>
          </reference>
        </references>
      </pivotArea>
    </format>
    <format dxfId="414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29"/>
          </reference>
        </references>
      </pivotArea>
    </format>
    <format dxfId="413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30"/>
          </reference>
        </references>
      </pivotArea>
    </format>
    <format dxfId="412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5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31"/>
          </reference>
        </references>
      </pivotArea>
    </format>
    <format dxfId="411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83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28"/>
          </reference>
        </references>
      </pivotArea>
    </format>
    <format dxfId="410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87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34"/>
          </reference>
        </references>
      </pivotArea>
    </format>
    <format dxfId="409">
      <pivotArea dataOnly="0" labelOnly="1" outline="0" fieldPosition="0">
        <references count="15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86"/>
          </reference>
          <reference field="33" count="1" selected="0">
            <x v="61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35"/>
          </reference>
        </references>
      </pivotArea>
    </format>
    <format dxfId="408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41"/>
          </reference>
        </references>
      </pivotArea>
    </format>
    <format dxfId="407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36"/>
          </reference>
        </references>
      </pivotArea>
    </format>
    <format dxfId="406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37"/>
          </reference>
        </references>
      </pivotArea>
    </format>
    <format dxfId="405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38"/>
          </reference>
        </references>
      </pivotArea>
    </format>
    <format dxfId="404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39"/>
          </reference>
        </references>
      </pivotArea>
    </format>
    <format dxfId="403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40"/>
          </reference>
        </references>
      </pivotArea>
    </format>
    <format dxfId="402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16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42"/>
          </reference>
        </references>
      </pivotArea>
    </format>
    <format dxfId="401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207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102"/>
          </reference>
          <reference field="37" count="1" selected="0">
            <x v="1"/>
          </reference>
          <reference field="38" count="0" selected="0"/>
          <reference field="39" count="1">
            <x v="243"/>
          </reference>
        </references>
      </pivotArea>
    </format>
    <format dxfId="400">
      <pivotArea dataOnly="0" labelOnly="1" outline="0" fieldPosition="0">
        <references count="15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2"/>
          </reference>
          <reference field="31" count="0" selected="0"/>
          <reference field="32" count="1" selected="0">
            <x v="211"/>
          </reference>
          <reference field="33" count="1" selected="0">
            <x v="62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44"/>
          </reference>
        </references>
      </pivotArea>
    </format>
    <format dxfId="399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45"/>
          </reference>
        </references>
      </pivotArea>
    </format>
    <format dxfId="398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46"/>
          </reference>
        </references>
      </pivotArea>
    </format>
    <format dxfId="397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47"/>
          </reference>
        </references>
      </pivotArea>
    </format>
    <format dxfId="396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48"/>
          </reference>
        </references>
      </pivotArea>
    </format>
    <format dxfId="395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394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7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393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51"/>
          </reference>
        </references>
      </pivotArea>
    </format>
    <format dxfId="392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45"/>
          </reference>
        </references>
      </pivotArea>
    </format>
    <format dxfId="391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50"/>
          </reference>
        </references>
      </pivotArea>
    </format>
    <format dxfId="390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8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389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1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388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49"/>
          </reference>
        </references>
      </pivotArea>
    </format>
    <format dxfId="387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6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52"/>
          </reference>
        </references>
      </pivotArea>
    </format>
    <format dxfId="386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4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53"/>
          </reference>
        </references>
      </pivotArea>
    </format>
    <format dxfId="385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9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54"/>
          </reference>
        </references>
      </pivotArea>
    </format>
    <format dxfId="384">
      <pivotArea dataOnly="0" labelOnly="1" outline="0" fieldPosition="0">
        <references count="15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5"/>
          </reference>
          <reference field="33" count="1" selected="0">
            <x v="13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255"/>
          </reference>
        </references>
      </pivotArea>
    </format>
    <format dxfId="383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56"/>
          </reference>
        </references>
      </pivotArea>
    </format>
    <format dxfId="382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261"/>
          </reference>
        </references>
      </pivotArea>
    </format>
    <format dxfId="381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56"/>
          </reference>
        </references>
      </pivotArea>
    </format>
    <format dxfId="380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57"/>
          </reference>
        </references>
      </pivotArea>
    </format>
    <format dxfId="379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58"/>
          </reference>
        </references>
      </pivotArea>
    </format>
    <format dxfId="378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59"/>
          </reference>
        </references>
      </pivotArea>
    </format>
    <format dxfId="377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41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60"/>
          </reference>
        </references>
      </pivotArea>
    </format>
    <format dxfId="376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45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62"/>
          </reference>
        </references>
      </pivotArea>
    </format>
    <format dxfId="375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42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263"/>
          </reference>
        </references>
      </pivotArea>
    </format>
    <format dxfId="374">
      <pivotArea dataOnly="0" labelOnly="1" outline="0" fieldPosition="0">
        <references count="15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46"/>
          </reference>
          <reference field="33" count="1" selected="0">
            <x v="63"/>
          </reference>
          <reference field="34" count="0" selected="0"/>
          <reference field="35" count="0" selected="0"/>
          <reference field="36" count="1" selected="0">
            <x v="73"/>
          </reference>
          <reference field="37" count="1" selected="0">
            <x v="1"/>
          </reference>
          <reference field="38" count="0" selected="0"/>
          <reference field="39" count="1">
            <x v="264"/>
          </reference>
        </references>
      </pivotArea>
    </format>
    <format dxfId="37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37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37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37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126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36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12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368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12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367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36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36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133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36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19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65"/>
          </reference>
        </references>
      </pivotArea>
    </format>
    <format dxfId="36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11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66"/>
          </reference>
        </references>
      </pivotArea>
    </format>
    <format dxfId="36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11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67"/>
          </reference>
        </references>
      </pivotArea>
    </format>
    <format dxfId="361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67"/>
          </reference>
        </references>
      </pivotArea>
    </format>
    <format dxfId="360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65"/>
          </reference>
        </references>
      </pivotArea>
    </format>
    <format dxfId="359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71"/>
          </reference>
        </references>
      </pivotArea>
    </format>
    <format dxfId="358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69"/>
          </reference>
        </references>
      </pivotArea>
    </format>
    <format dxfId="357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70"/>
          </reference>
        </references>
      </pivotArea>
    </format>
    <format dxfId="356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28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355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25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354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27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353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24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68"/>
          </reference>
        </references>
      </pivotArea>
    </format>
    <format dxfId="352">
      <pivotArea dataOnly="0" labelOnly="1" outline="0" fieldPosition="0">
        <references count="15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31"/>
          </reference>
          <reference field="33" count="1" selected="0">
            <x v="3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72"/>
          </reference>
        </references>
      </pivotArea>
    </format>
    <format dxfId="35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"/>
          </reference>
          <reference field="38" count="0" selected="0"/>
          <reference field="39" count="1">
            <x v="173"/>
          </reference>
        </references>
      </pivotArea>
    </format>
    <format dxfId="35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4"/>
          </reference>
          <reference field="37" count="1" selected="0">
            <x v="12"/>
          </reference>
          <reference field="38" count="0" selected="0"/>
          <reference field="39" count="1">
            <x v="168"/>
          </reference>
        </references>
      </pivotArea>
    </format>
    <format dxfId="34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6"/>
          </reference>
          <reference field="37" count="1" selected="0">
            <x v="1"/>
          </reference>
          <reference field="38" count="0" selected="0"/>
          <reference field="39" count="1">
            <x v="21"/>
          </reference>
        </references>
      </pivotArea>
    </format>
    <format dxfId="34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"/>
          </reference>
          <reference field="30" count="1" selected="0">
            <x v="0"/>
          </reference>
          <reference field="31" count="0" selected="0"/>
          <reference field="32" count="1" selected="0">
            <x v="33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9"/>
          </reference>
          <reference field="37" count="1" selected="0">
            <x v="1"/>
          </reference>
          <reference field="38" count="0" selected="0"/>
          <reference field="39" count="1">
            <x v="22"/>
          </reference>
        </references>
      </pivotArea>
    </format>
    <format dxfId="34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5"/>
          </reference>
          <reference field="30" count="1" selected="0">
            <x v="0"/>
          </reference>
          <reference field="31" count="0" selected="0"/>
          <reference field="32" count="1" selected="0">
            <x v="335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7"/>
          </reference>
          <reference field="37" count="1" selected="0">
            <x v="1"/>
          </reference>
          <reference field="38" count="0" selected="0"/>
          <reference field="39" count="1">
            <x v="24"/>
          </reference>
        </references>
      </pivotArea>
    </format>
    <format dxfId="34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6"/>
          </reference>
          <reference field="30" count="1" selected="0">
            <x v="0"/>
          </reference>
          <reference field="31" count="0" selected="0"/>
          <reference field="32" count="1" selected="0">
            <x v="333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8"/>
          </reference>
          <reference field="37" count="1" selected="0">
            <x v="1"/>
          </reference>
          <reference field="38" count="0" selected="0"/>
          <reference field="39" count="1">
            <x v="23"/>
          </reference>
        </references>
      </pivotArea>
    </format>
    <format dxfId="34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5"/>
          </reference>
          <reference field="37" count="1" selected="0">
            <x v="1"/>
          </reference>
          <reference field="38" count="0" selected="0"/>
          <reference field="39" count="1">
            <x v="11"/>
          </reference>
        </references>
      </pivotArea>
    </format>
    <format dxfId="34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0"/>
          </reference>
          <reference field="37" count="1" selected="0">
            <x v="1"/>
          </reference>
          <reference field="38" count="0" selected="0"/>
          <reference field="39" count="1">
            <x v="52"/>
          </reference>
        </references>
      </pivotArea>
    </format>
    <format dxfId="34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1"/>
          </reference>
          <reference field="37" count="1" selected="0">
            <x v="1"/>
          </reference>
          <reference field="38" count="0" selected="0"/>
          <reference field="39" count="1">
            <x v="160"/>
          </reference>
        </references>
      </pivotArea>
    </format>
    <format dxfId="34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12"/>
          </reference>
          <reference field="37" count="1" selected="0">
            <x v="1"/>
          </reference>
          <reference field="38" count="0" selected="0"/>
          <reference field="39" count="1">
            <x v="9"/>
          </reference>
        </references>
      </pivotArea>
    </format>
    <format dxfId="34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7"/>
          </reference>
          <reference field="30" count="1" selected="0">
            <x v="0"/>
          </reference>
          <reference field="31" count="0" selected="0"/>
          <reference field="32" count="1" selected="0">
            <x v="348"/>
          </reference>
          <reference field="33" count="1" selected="0">
            <x v="41"/>
          </reference>
          <reference field="34" count="0" selected="0"/>
          <reference field="35" count="0" selected="0"/>
          <reference field="36" count="1" selected="0">
            <x v="34"/>
          </reference>
          <reference field="37" count="1" selected="0">
            <x v="1"/>
          </reference>
          <reference field="38" count="0" selected="0"/>
          <reference field="39" count="1">
            <x v="162"/>
          </reference>
        </references>
      </pivotArea>
    </format>
    <format dxfId="34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73"/>
          </reference>
        </references>
      </pivotArea>
    </format>
    <format dxfId="33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75"/>
          </reference>
        </references>
      </pivotArea>
    </format>
    <format dxfId="33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76"/>
          </reference>
        </references>
      </pivotArea>
    </format>
    <format dxfId="33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274"/>
          </reference>
        </references>
      </pivotArea>
    </format>
    <format dxfId="33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328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77"/>
          </reference>
        </references>
      </pivotArea>
    </format>
    <format dxfId="33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32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78"/>
          </reference>
        </references>
      </pivotArea>
    </format>
    <format dxfId="334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32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73"/>
          </reference>
        </references>
      </pivotArea>
    </format>
    <format dxfId="333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39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332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33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331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340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330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336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79"/>
          </reference>
        </references>
      </pivotArea>
    </format>
    <format dxfId="329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47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80"/>
          </reference>
        </references>
      </pivotArea>
    </format>
    <format dxfId="328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344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81"/>
          </reference>
        </references>
      </pivotArea>
    </format>
    <format dxfId="327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28"/>
          </reference>
        </references>
      </pivotArea>
    </format>
    <format dxfId="326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 selected="0">
            <x v="42"/>
          </reference>
          <reference field="34" count="0" selected="0"/>
          <reference field="35" count="0" selected="0"/>
          <reference field="36" count="1" selected="0">
            <x v="1"/>
          </reference>
          <reference field="37" count="1" selected="0">
            <x v="1"/>
          </reference>
          <reference field="38" count="0" selected="0"/>
          <reference field="39" count="1">
            <x v="97"/>
          </reference>
        </references>
      </pivotArea>
    </format>
    <format dxfId="325">
      <pivotArea dataOnly="0" labelOnly="1" outline="0" fieldPosition="0">
        <references count="15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 selected="0">
            <x v="14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81"/>
          </reference>
        </references>
      </pivotArea>
    </format>
    <format dxfId="324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82"/>
          </reference>
        </references>
      </pivotArea>
    </format>
    <format dxfId="323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42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284"/>
          </reference>
        </references>
      </pivotArea>
    </format>
    <format dxfId="322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42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285"/>
          </reference>
        </references>
      </pivotArea>
    </format>
    <format dxfId="321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286"/>
          </reference>
        </references>
      </pivotArea>
    </format>
    <format dxfId="320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287"/>
          </reference>
        </references>
      </pivotArea>
    </format>
    <format dxfId="319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0"/>
          </reference>
          <reference field="31" count="0" selected="0"/>
          <reference field="32" count="1" selected="0">
            <x v="429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282"/>
          </reference>
        </references>
      </pivotArea>
    </format>
    <format dxfId="318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37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317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35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316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438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315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436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288"/>
          </reference>
        </references>
      </pivotArea>
    </format>
    <format dxfId="314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0"/>
          </reference>
          <reference field="37" count="1" selected="0">
            <x v="3"/>
          </reference>
          <reference field="38" count="0" selected="0"/>
          <reference field="39" count="1">
            <x v="289"/>
          </reference>
        </references>
      </pivotArea>
    </format>
    <format dxfId="313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33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290"/>
          </reference>
        </references>
      </pivotArea>
    </format>
    <format dxfId="312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5"/>
          </reference>
          <reference field="37" count="1" selected="0">
            <x v="1"/>
          </reference>
          <reference field="38" count="0" selected="0"/>
          <reference field="39" count="1">
            <x v="291"/>
          </reference>
        </references>
      </pivotArea>
    </format>
    <format dxfId="311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440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1"/>
          </reference>
          <reference field="38" count="0" selected="0"/>
          <reference field="39" count="1">
            <x v="100"/>
          </reference>
        </references>
      </pivotArea>
    </format>
    <format dxfId="310">
      <pivotArea dataOnly="0" labelOnly="1" outline="0" fieldPosition="0">
        <references count="15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41"/>
          </reference>
          <reference field="33" count="1" selected="0">
            <x v="15"/>
          </reference>
          <reference field="34" count="0" selected="0"/>
          <reference field="35" count="0" selected="0"/>
          <reference field="36" count="1" selected="0">
            <x v="86"/>
          </reference>
          <reference field="37" count="1" selected="0">
            <x v="2"/>
          </reference>
          <reference field="38" count="0" selected="0"/>
          <reference field="39" count="1">
            <x v="292"/>
          </reference>
        </references>
      </pivotArea>
    </format>
    <format dxfId="309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7"/>
          </reference>
          <reference field="38" count="0" selected="0"/>
          <reference field="39" count="1">
            <x v="293"/>
          </reference>
        </references>
      </pivotArea>
    </format>
    <format dxfId="308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580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94"/>
          </reference>
        </references>
      </pivotArea>
    </format>
    <format dxfId="307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577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94"/>
          </reference>
        </references>
      </pivotArea>
    </format>
    <format dxfId="306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300"/>
          </reference>
        </references>
      </pivotArea>
    </format>
    <format dxfId="305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294"/>
          </reference>
        </references>
      </pivotArea>
    </format>
    <format dxfId="304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295"/>
          </reference>
        </references>
      </pivotArea>
    </format>
    <format dxfId="303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296"/>
          </reference>
        </references>
      </pivotArea>
    </format>
    <format dxfId="302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297"/>
          </reference>
        </references>
      </pivotArea>
    </format>
    <format dxfId="301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298"/>
          </reference>
        </references>
      </pivotArea>
    </format>
    <format dxfId="300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588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299"/>
          </reference>
        </references>
      </pivotArea>
    </format>
    <format dxfId="299">
      <pivotArea dataOnly="0" labelOnly="1" outline="0" fieldPosition="0">
        <references count="15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79"/>
          </reference>
          <reference field="33" count="1" selected="0">
            <x v="64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301"/>
          </reference>
        </references>
      </pivotArea>
    </format>
    <format dxfId="298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6"/>
          </reference>
          <reference field="37" count="1" selected="0">
            <x v="1"/>
          </reference>
          <reference field="38" count="0" selected="0"/>
          <reference field="39" count="1">
            <x v="302"/>
          </reference>
        </references>
      </pivotArea>
    </format>
    <format dxfId="297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1"/>
          </reference>
          <reference field="38" count="0" selected="0"/>
          <reference field="39" count="1">
            <x v="303"/>
          </reference>
        </references>
      </pivotArea>
    </format>
    <format dxfId="296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15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2"/>
          </reference>
          <reference field="38" count="0" selected="0"/>
          <reference field="39" count="1">
            <x v="304"/>
          </reference>
        </references>
      </pivotArea>
    </format>
    <format dxfId="295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2"/>
          </reference>
          <reference field="30" count="1" selected="0">
            <x v="1"/>
          </reference>
          <reference field="31" count="0" selected="0"/>
          <reference field="32" count="1" selected="0">
            <x v="156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305"/>
          </reference>
        </references>
      </pivotArea>
    </format>
    <format dxfId="294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3"/>
          </reference>
          <reference field="37" count="1" selected="0">
            <x v="1"/>
          </reference>
          <reference field="38" count="0" selected="0"/>
          <reference field="39" count="1">
            <x v="305"/>
          </reference>
        </references>
      </pivotArea>
    </format>
    <format dxfId="293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5"/>
          </reference>
          <reference field="37" count="1" selected="0">
            <x v="1"/>
          </reference>
          <reference field="38" count="0" selected="0"/>
          <reference field="39" count="1">
            <x v="308"/>
          </reference>
        </references>
      </pivotArea>
    </format>
    <format dxfId="292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18"/>
          </reference>
          <reference field="37" count="1" selected="0">
            <x v="3"/>
          </reference>
          <reference field="38" count="0" selected="0"/>
          <reference field="39" count="1">
            <x v="307"/>
          </reference>
        </references>
      </pivotArea>
    </format>
    <format dxfId="291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153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306"/>
          </reference>
        </references>
      </pivotArea>
    </format>
    <format dxfId="290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315"/>
          </reference>
        </references>
      </pivotArea>
    </format>
    <format dxfId="289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09"/>
          </reference>
        </references>
      </pivotArea>
    </format>
    <format dxfId="288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310"/>
          </reference>
        </references>
      </pivotArea>
    </format>
    <format dxfId="287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311"/>
          </reference>
        </references>
      </pivotArea>
    </format>
    <format dxfId="286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312"/>
          </reference>
        </references>
      </pivotArea>
    </format>
    <format dxfId="285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313"/>
          </reference>
        </references>
      </pivotArea>
    </format>
    <format dxfId="284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314"/>
          </reference>
        </references>
      </pivotArea>
    </format>
    <format dxfId="283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306"/>
          </reference>
        </references>
      </pivotArea>
    </format>
    <format dxfId="282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1"/>
          </reference>
          <reference field="31" count="0" selected="0"/>
          <reference field="32" count="1" selected="0">
            <x v="152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6"/>
          </reference>
          <reference field="37" count="1" selected="0">
            <x v="1"/>
          </reference>
          <reference field="38" count="0" selected="0"/>
          <reference field="39" count="1">
            <x v="306"/>
          </reference>
        </references>
      </pivotArea>
    </format>
    <format dxfId="281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51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21"/>
          </reference>
          <reference field="37" count="1" selected="0">
            <x v="1"/>
          </reference>
          <reference field="38" count="0" selected="0"/>
          <reference field="39" count="1">
            <x v="316"/>
          </reference>
        </references>
      </pivotArea>
    </format>
    <format dxfId="280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 selected="0">
            <x v="19"/>
          </reference>
          <reference field="34" count="0" selected="0"/>
          <reference field="35" count="0" selected="0"/>
          <reference field="36" count="1" selected="0">
            <x v="37"/>
          </reference>
          <reference field="37" count="1" selected="0">
            <x v="8"/>
          </reference>
          <reference field="38" count="0" selected="0"/>
          <reference field="39" count="1">
            <x v="5"/>
          </reference>
        </references>
      </pivotArea>
    </format>
    <format dxfId="279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 selected="0">
            <x v="16"/>
          </reference>
          <reference field="34" count="0" selected="0"/>
          <reference field="35" count="0" selected="0"/>
          <reference field="36" count="1" selected="0">
            <x v="91"/>
          </reference>
          <reference field="37" count="1" selected="0">
            <x v="1"/>
          </reference>
          <reference field="38" count="0" selected="0"/>
          <reference field="39" count="1">
            <x v="31"/>
          </reference>
        </references>
      </pivotArea>
    </format>
    <format dxfId="278">
      <pivotArea dataOnly="0" labelOnly="1" outline="0" fieldPosition="0">
        <references count="15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 selected="0">
            <x v="65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317"/>
          </reference>
        </references>
      </pivotArea>
    </format>
    <format dxfId="277">
      <pivotArea dataOnly="0" labelOnly="1" outline="0" fieldPosition="0">
        <references count="15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 selected="0">
            <x v="3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18"/>
          </reference>
        </references>
      </pivotArea>
    </format>
    <format dxfId="276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319"/>
          </reference>
        </references>
      </pivotArea>
    </format>
    <format dxfId="275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2"/>
          </reference>
          <reference field="31" count="0" selected="0"/>
          <reference field="32" count="1" selected="0">
            <x v="246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3"/>
          </reference>
          <reference field="38" count="0" selected="0"/>
          <reference field="39" count="1">
            <x v="319"/>
          </reference>
        </references>
      </pivotArea>
    </format>
    <format dxfId="274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83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20"/>
          </reference>
        </references>
      </pivotArea>
    </format>
    <format dxfId="273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3"/>
          </reference>
          <reference field="37" count="1" selected="0">
            <x v="1"/>
          </reference>
          <reference field="38" count="0" selected="0"/>
          <reference field="39" count="1">
            <x v="324"/>
          </reference>
        </references>
      </pivotArea>
    </format>
    <format dxfId="272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20"/>
          </reference>
        </references>
      </pivotArea>
    </format>
    <format dxfId="271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2"/>
          </reference>
          <reference field="38" count="0" selected="0"/>
          <reference field="39" count="1">
            <x v="321"/>
          </reference>
        </references>
      </pivotArea>
    </format>
    <format dxfId="270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4"/>
          </reference>
          <reference field="38" count="0" selected="0"/>
          <reference field="39" count="1">
            <x v="322"/>
          </reference>
        </references>
      </pivotArea>
    </format>
    <format dxfId="269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80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5"/>
          </reference>
          <reference field="38" count="0" selected="0"/>
          <reference field="39" count="1">
            <x v="323"/>
          </reference>
        </references>
      </pivotArea>
    </format>
    <format dxfId="268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285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4"/>
          </reference>
          <reference field="37" count="1" selected="0">
            <x v="1"/>
          </reference>
          <reference field="38" count="0" selected="0"/>
          <reference field="39" count="1">
            <x v="320"/>
          </reference>
        </references>
      </pivotArea>
    </format>
    <format dxfId="267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8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45"/>
          </reference>
          <reference field="37" count="1" selected="0">
            <x v="1"/>
          </reference>
          <reference field="38" count="0" selected="0"/>
          <reference field="39" count="1">
            <x v="325"/>
          </reference>
        </references>
      </pivotArea>
    </format>
    <format dxfId="266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1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100"/>
          </reference>
          <reference field="37" count="1" selected="0">
            <x v="8"/>
          </reference>
          <reference field="38" count="0" selected="0"/>
          <reference field="39" count="1">
            <x v="326"/>
          </reference>
        </references>
      </pivotArea>
    </format>
    <format dxfId="265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282"/>
          </reference>
          <reference field="33" count="1" selected="0">
            <x v="66"/>
          </reference>
          <reference field="34" count="0" selected="0"/>
          <reference field="35" count="0" selected="0"/>
          <reference field="36" count="1" selected="0">
            <x v="82"/>
          </reference>
          <reference field="37" count="1" selected="0">
            <x v="1"/>
          </reference>
          <reference field="38" count="0" selected="0"/>
          <reference field="39" count="1">
            <x v="327"/>
          </reference>
        </references>
      </pivotArea>
    </format>
    <format dxfId="264">
      <pivotArea dataOnly="0" labelOnly="1" outline="0" fieldPosition="0">
        <references count="15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 selected="0">
            <x v="68"/>
          </reference>
          <reference field="34" count="0" selected="0"/>
          <reference field="35" count="0" selected="0"/>
          <reference field="36" count="1" selected="0">
            <x v="96"/>
          </reference>
          <reference field="37" count="1" selected="0">
            <x v="1"/>
          </reference>
          <reference field="38" count="0" selected="0"/>
          <reference field="39" count="1">
            <x v="145"/>
          </reference>
        </references>
      </pivotArea>
    </format>
    <format dxfId="263">
      <pivotArea field="33" type="button" dataOnly="0" labelOnly="1" outline="0" axis="axisRow" fieldPosition="8"/>
    </format>
    <format dxfId="262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261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260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259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25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25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25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25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25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25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25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25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25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24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248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247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24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24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24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24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24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24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240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239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238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237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236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235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23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23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23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23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23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22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228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227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22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22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22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22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222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221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220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219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218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217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216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215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214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213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212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211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210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20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208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207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206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205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204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203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202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201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200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199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198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197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196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195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194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193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192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191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190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189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188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187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186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185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184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183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182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181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180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179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178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177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176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175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17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17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17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17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17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16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16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16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16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16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16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16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16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16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16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15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15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157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156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155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154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153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152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151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15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14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148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47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46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45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4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4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4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4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40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39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38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137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136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  <format dxfId="135">
      <pivotArea field="33" type="button" dataOnly="0" labelOnly="1" outline="0" axis="axisRow" fieldPosition="8"/>
    </format>
    <format dxfId="134">
      <pivotArea dataOnly="0" labelOnly="1" outline="0" fieldPosition="0">
        <references count="9">
          <reference field="25" count="0" selected="0"/>
          <reference field="26" count="1" selected="0">
            <x v="0"/>
          </reference>
          <reference field="27" count="0" selected="0"/>
          <reference field="28" count="0" selected="0"/>
          <reference field="29" count="1" selected="0">
            <x v="0"/>
          </reference>
          <reference field="30" count="1" selected="0">
            <x v="0"/>
          </reference>
          <reference field="31" count="0" selected="0"/>
          <reference field="32" count="1" selected="0">
            <x v="0"/>
          </reference>
          <reference field="33" count="12">
            <x v="5"/>
            <x v="7"/>
            <x v="8"/>
            <x v="9"/>
            <x v="10"/>
            <x v="15"/>
            <x v="44"/>
            <x v="45"/>
            <x v="46"/>
            <x v="50"/>
            <x v="52"/>
            <x v="69"/>
          </reference>
        </references>
      </pivotArea>
    </format>
    <format dxfId="133">
      <pivotArea dataOnly="0" labelOnly="1" outline="0" fieldPosition="0">
        <references count="9">
          <reference field="25" count="0" selected="0"/>
          <reference field="26" count="1" selected="0">
            <x v="1"/>
          </reference>
          <reference field="27" count="0" selected="0"/>
          <reference field="28" count="0" selected="0"/>
          <reference field="29" count="1" selected="0">
            <x v="2"/>
          </reference>
          <reference field="30" count="1" selected="0">
            <x v="0"/>
          </reference>
          <reference field="31" count="0" selected="0"/>
          <reference field="32" count="1" selected="0">
            <x v="175"/>
          </reference>
          <reference field="33" count="1">
            <x v="5"/>
          </reference>
        </references>
      </pivotArea>
    </format>
    <format dxfId="132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8"/>
          </reference>
          <reference field="33" count="1">
            <x v="6"/>
          </reference>
        </references>
      </pivotArea>
    </format>
    <format dxfId="131">
      <pivotArea dataOnly="0" labelOnly="1" outline="0" fieldPosition="0">
        <references count="9">
          <reference field="25" count="0" selected="0"/>
          <reference field="26" count="1" selected="0">
            <x v="2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3"/>
          </reference>
          <reference field="33" count="1">
            <x v="30"/>
          </reference>
        </references>
      </pivotArea>
    </format>
    <format dxfId="130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24"/>
          </reference>
          <reference field="33" count="1">
            <x v="8"/>
          </reference>
        </references>
      </pivotArea>
    </format>
    <format dxfId="129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3"/>
          </reference>
          <reference field="33" count="2">
            <x v="9"/>
            <x v="67"/>
          </reference>
        </references>
      </pivotArea>
    </format>
    <format dxfId="128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1"/>
          </reference>
          <reference field="31" count="0" selected="0"/>
          <reference field="32" count="1" selected="0">
            <x v="599"/>
          </reference>
          <reference field="33" count="1">
            <x v="9"/>
          </reference>
        </references>
      </pivotArea>
    </format>
    <format dxfId="127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18"/>
          </reference>
          <reference field="30" count="1" selected="0">
            <x v="0"/>
          </reference>
          <reference field="31" count="0" selected="0"/>
          <reference field="32" count="1" selected="0">
            <x v="189"/>
          </reference>
          <reference field="33" count="1">
            <x v="10"/>
          </reference>
        </references>
      </pivotArea>
    </format>
    <format dxfId="126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7"/>
          </reference>
          <reference field="33" count="1">
            <x v="8"/>
          </reference>
        </references>
      </pivotArea>
    </format>
    <format dxfId="125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02"/>
          </reference>
          <reference field="33" count="1">
            <x v="40"/>
          </reference>
        </references>
      </pivotArea>
    </format>
    <format dxfId="124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89"/>
          </reference>
          <reference field="33" count="1">
            <x v="50"/>
          </reference>
        </references>
      </pivotArea>
    </format>
    <format dxfId="123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8"/>
          </reference>
          <reference field="30" count="1" selected="0">
            <x v="0"/>
          </reference>
          <reference field="31" count="0" selected="0"/>
          <reference field="32" count="1" selected="0">
            <x v="624"/>
          </reference>
          <reference field="33" count="1">
            <x v="9"/>
          </reference>
        </references>
      </pivotArea>
    </format>
    <format dxfId="122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5"/>
          </reference>
          <reference field="33" count="1">
            <x v="52"/>
          </reference>
        </references>
      </pivotArea>
    </format>
    <format dxfId="121">
      <pivotArea dataOnly="0" labelOnly="1" outline="0" fieldPosition="0">
        <references count="9">
          <reference field="25" count="0" selected="0"/>
          <reference field="26" count="1" selected="0">
            <x v="3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0"/>
          </reference>
          <reference field="33" count="1">
            <x v="68"/>
          </reference>
        </references>
      </pivotArea>
    </format>
    <format dxfId="120">
      <pivotArea dataOnly="0" labelOnly="1" outline="0" fieldPosition="0">
        <references count="9">
          <reference field="25" count="0" selected="0"/>
          <reference field="26" count="1" selected="0">
            <x v="4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269"/>
          </reference>
          <reference field="33" count="3">
            <x v="6"/>
            <x v="8"/>
            <x v="9"/>
          </reference>
        </references>
      </pivotArea>
    </format>
    <format dxfId="119">
      <pivotArea dataOnly="0" labelOnly="1" outline="0" fieldPosition="0">
        <references count="9">
          <reference field="25" count="0" selected="0"/>
          <reference field="26" count="1" selected="0">
            <x v="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98"/>
          </reference>
          <reference field="33" count="1">
            <x v="53"/>
          </reference>
        </references>
      </pivotArea>
    </format>
    <format dxfId="118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30"/>
          </reference>
          <reference field="33" count="1">
            <x v="41"/>
          </reference>
        </references>
      </pivotArea>
    </format>
    <format dxfId="117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8"/>
          </reference>
          <reference field="33" count="1">
            <x v="32"/>
          </reference>
        </references>
      </pivotArea>
    </format>
    <format dxfId="116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17"/>
          </reference>
          <reference field="33" count="1">
            <x v="33"/>
          </reference>
        </references>
      </pivotArea>
    </format>
    <format dxfId="115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55"/>
          </reference>
          <reference field="33" count="1">
            <x v="32"/>
          </reference>
        </references>
      </pivotArea>
    </format>
    <format dxfId="114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26"/>
          </reference>
          <reference field="33" count="1">
            <x v="31"/>
          </reference>
        </references>
      </pivotArea>
    </format>
    <format dxfId="113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06"/>
          </reference>
          <reference field="33" count="1">
            <x v="32"/>
          </reference>
        </references>
      </pivotArea>
    </format>
    <format dxfId="112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2"/>
          </reference>
          <reference field="30" count="1" selected="0">
            <x v="0"/>
          </reference>
          <reference field="31" count="0" selected="0"/>
          <reference field="32" count="1" selected="0">
            <x v="595"/>
          </reference>
          <reference field="33" count="1">
            <x v="20"/>
          </reference>
        </references>
      </pivotArea>
    </format>
    <format dxfId="111">
      <pivotArea dataOnly="0" labelOnly="1" outline="0" fieldPosition="0">
        <references count="9">
          <reference field="25" count="0" selected="0"/>
          <reference field="26" count="1" selected="0">
            <x v="6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57"/>
          </reference>
          <reference field="33" count="1">
            <x v="68"/>
          </reference>
        </references>
      </pivotArea>
    </format>
    <format dxfId="110">
      <pivotArea dataOnly="0" labelOnly="1" outline="0" fieldPosition="0">
        <references count="9">
          <reference field="25" count="0" selected="0"/>
          <reference field="26" count="1" selected="0">
            <x v="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468"/>
          </reference>
          <reference field="33" count="1">
            <x v="43"/>
          </reference>
        </references>
      </pivotArea>
    </format>
    <format dxfId="109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19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08">
      <pivotArea dataOnly="0" labelOnly="1" outline="0" fieldPosition="0">
        <references count="9">
          <reference field="25" count="0" selected="0"/>
          <reference field="26" count="1" selected="0">
            <x v="8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350"/>
          </reference>
          <reference field="33" count="5">
            <x v="7"/>
            <x v="8"/>
            <x v="9"/>
            <x v="10"/>
            <x v="50"/>
          </reference>
        </references>
      </pivotArea>
    </format>
    <format dxfId="107">
      <pivotArea dataOnly="0" labelOnly="1" outline="0" fieldPosition="0">
        <references count="9">
          <reference field="25" count="0" selected="0"/>
          <reference field="26" count="1" selected="0">
            <x v="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9"/>
          </reference>
          <reference field="33" count="1">
            <x v="7"/>
          </reference>
        </references>
      </pivotArea>
    </format>
    <format dxfId="106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8"/>
          </reference>
          <reference field="33" count="1">
            <x v="58"/>
          </reference>
        </references>
      </pivotArea>
    </format>
    <format dxfId="105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200"/>
          </reference>
          <reference field="33" count="2">
            <x v="54"/>
            <x v="58"/>
          </reference>
        </references>
      </pivotArea>
    </format>
    <format dxfId="104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04"/>
          </reference>
          <reference field="33" count="1">
            <x v="57"/>
          </reference>
        </references>
      </pivotArea>
    </format>
    <format dxfId="103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29"/>
          </reference>
          <reference field="30" count="1" selected="0">
            <x v="0"/>
          </reference>
          <reference field="31" count="0" selected="0"/>
          <reference field="32" count="1" selected="0">
            <x v="67"/>
          </reference>
          <reference field="33" count="1">
            <x v="54"/>
          </reference>
        </references>
      </pivotArea>
    </format>
    <format dxfId="102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2"/>
          </reference>
          <reference field="30" count="1" selected="0">
            <x v="0"/>
          </reference>
          <reference field="31" count="0" selected="0"/>
          <reference field="32" count="1" selected="0">
            <x v="297"/>
          </reference>
          <reference field="33" count="2">
            <x v="7"/>
            <x v="54"/>
          </reference>
        </references>
      </pivotArea>
    </format>
    <format dxfId="101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39"/>
          </reference>
          <reference field="30" count="1" selected="0">
            <x v="0"/>
          </reference>
          <reference field="31" count="0" selected="0"/>
          <reference field="32" count="1" selected="0">
            <x v="411"/>
          </reference>
          <reference field="33" count="1">
            <x v="18"/>
          </reference>
        </references>
      </pivotArea>
    </format>
    <format dxfId="100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351"/>
          </reference>
          <reference field="33" count="1">
            <x v="58"/>
          </reference>
        </references>
      </pivotArea>
    </format>
    <format dxfId="99">
      <pivotArea dataOnly="0" labelOnly="1" outline="0" fieldPosition="0">
        <references count="9">
          <reference field="25" count="0" selected="0"/>
          <reference field="26" count="1" selected="0">
            <x v="10"/>
          </reference>
          <reference field="27" count="0" selected="0"/>
          <reference field="28" count="0" selected="0"/>
          <reference field="29" count="1" selected="0">
            <x v="51"/>
          </reference>
          <reference field="30" count="1" selected="0">
            <x v="0"/>
          </reference>
          <reference field="31" count="0" selected="0"/>
          <reference field="32" count="1" selected="0">
            <x v="299"/>
          </reference>
          <reference field="33" count="1">
            <x v="57"/>
          </reference>
        </references>
      </pivotArea>
    </format>
    <format dxfId="98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270"/>
          </reference>
          <reference field="33" count="1">
            <x v="67"/>
          </reference>
        </references>
      </pivotArea>
    </format>
    <format dxfId="97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19"/>
          </reference>
          <reference field="30" count="1" selected="0">
            <x v="0"/>
          </reference>
          <reference field="31" count="0" selected="0"/>
          <reference field="32" count="1" selected="0">
            <x v="309"/>
          </reference>
          <reference field="33" count="1">
            <x v="58"/>
          </reference>
        </references>
      </pivotArea>
    </format>
    <format dxfId="96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21"/>
          </reference>
          <reference field="30" count="1" selected="0">
            <x v="0"/>
          </reference>
          <reference field="31" count="0" selected="0"/>
          <reference field="32" count="1" selected="0">
            <x v="307"/>
          </reference>
          <reference field="33" count="1">
            <x v="55"/>
          </reference>
        </references>
      </pivotArea>
    </format>
    <format dxfId="95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0"/>
          </reference>
          <reference field="30" count="1" selected="0">
            <x v="0"/>
          </reference>
          <reference field="31" count="0" selected="0"/>
          <reference field="32" count="1" selected="0">
            <x v="491"/>
          </reference>
          <reference field="33" count="1">
            <x v="58"/>
          </reference>
        </references>
      </pivotArea>
    </format>
    <format dxfId="94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47"/>
          </reference>
          <reference field="30" count="1" selected="0">
            <x v="0"/>
          </reference>
          <reference field="31" count="0" selected="0"/>
          <reference field="32" count="1" selected="0">
            <x v="596"/>
          </reference>
          <reference field="33" count="1">
            <x v="57"/>
          </reference>
        </references>
      </pivotArea>
    </format>
    <format dxfId="93">
      <pivotArea dataOnly="0" labelOnly="1" outline="0" fieldPosition="0">
        <references count="9">
          <reference field="25" count="0" selected="0"/>
          <reference field="26" count="1" selected="0">
            <x v="1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1"/>
          </reference>
          <reference field="31" count="0" selected="0"/>
          <reference field="32" count="1" selected="0">
            <x v="574"/>
          </reference>
          <reference field="33" count="1">
            <x v="17"/>
          </reference>
        </references>
      </pivotArea>
    </format>
    <format dxfId="92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605"/>
          </reference>
          <reference field="33" count="1">
            <x v="1"/>
          </reference>
        </references>
      </pivotArea>
    </format>
    <format dxfId="91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610"/>
          </reference>
          <reference field="33" count="2">
            <x v="11"/>
            <x v="32"/>
          </reference>
        </references>
      </pivotArea>
    </format>
    <format dxfId="90">
      <pivotArea dataOnly="0" labelOnly="1" outline="0" fieldPosition="0">
        <references count="9">
          <reference field="25" count="0" selected="0"/>
          <reference field="26" count="1" selected="0">
            <x v="13"/>
          </reference>
          <reference field="27" count="0" selected="0"/>
          <reference field="28" count="0" selected="0"/>
          <reference field="29" count="1" selected="0">
            <x v="42"/>
          </reference>
          <reference field="30" count="1" selected="0">
            <x v="0"/>
          </reference>
          <reference field="31" count="0" selected="0"/>
          <reference field="32" count="1" selected="0">
            <x v="607"/>
          </reference>
          <reference field="33" count="1">
            <x v="1"/>
          </reference>
        </references>
      </pivotArea>
    </format>
    <format dxfId="89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260"/>
          </reference>
          <reference field="33" count="1">
            <x v="0"/>
          </reference>
        </references>
      </pivotArea>
    </format>
    <format dxfId="88">
      <pivotArea dataOnly="0" labelOnly="1" outline="0" fieldPosition="0">
        <references count="9">
          <reference field="25" count="0" selected="0"/>
          <reference field="26" count="1" selected="0">
            <x v="1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267"/>
          </reference>
          <reference field="33" count="1">
            <x v="68"/>
          </reference>
        </references>
      </pivotArea>
    </format>
    <format dxfId="87">
      <pivotArea dataOnly="0" labelOnly="1" outline="0" fieldPosition="0">
        <references count="9">
          <reference field="25" count="0" selected="0"/>
          <reference field="26" count="1" selected="0">
            <x v="1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18"/>
          </reference>
          <reference field="33" count="1">
            <x v="2"/>
          </reference>
        </references>
      </pivotArea>
    </format>
    <format dxfId="86">
      <pivotArea dataOnly="0" labelOnly="1" outline="0" fieldPosition="0">
        <references count="9">
          <reference field="25" count="0" selected="0"/>
          <reference field="26" count="1" selected="0">
            <x v="16"/>
          </reference>
          <reference field="27" count="0" selected="0"/>
          <reference field="28" count="0" selected="0"/>
          <reference field="29" count="1" selected="0">
            <x v="9"/>
          </reference>
          <reference field="30" count="1" selected="0">
            <x v="0"/>
          </reference>
          <reference field="31" count="0" selected="0"/>
          <reference field="32" count="1" selected="0">
            <x v="572"/>
          </reference>
          <reference field="33" count="1">
            <x v="50"/>
          </reference>
        </references>
      </pivotArea>
    </format>
    <format dxfId="85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621"/>
          </reference>
          <reference field="33" count="1">
            <x v="51"/>
          </reference>
        </references>
      </pivotArea>
    </format>
    <format dxfId="84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39"/>
          </reference>
          <reference field="33" count="1">
            <x v="12"/>
          </reference>
        </references>
      </pivotArea>
    </format>
    <format dxfId="83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483"/>
          </reference>
          <reference field="33" count="1">
            <x v="51"/>
          </reference>
        </references>
      </pivotArea>
    </format>
    <format dxfId="82">
      <pivotArea dataOnly="0" labelOnly="1" outline="0" fieldPosition="0">
        <references count="9">
          <reference field="25" count="0" selected="0"/>
          <reference field="26" count="1" selected="0">
            <x v="17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622"/>
          </reference>
          <reference field="33" count="1">
            <x v="68"/>
          </reference>
        </references>
      </pivotArea>
    </format>
    <format dxfId="81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526"/>
          </reference>
          <reference field="33" count="1">
            <x v="41"/>
          </reference>
        </references>
      </pivotArea>
    </format>
    <format dxfId="80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498"/>
          </reference>
          <reference field="33" count="1">
            <x v="34"/>
          </reference>
        </references>
      </pivotArea>
    </format>
    <format dxfId="79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1"/>
          </reference>
          <reference field="31" count="0" selected="0"/>
          <reference field="32" count="1" selected="0">
            <x v="496"/>
          </reference>
          <reference field="33" count="1">
            <x v="52"/>
          </reference>
        </references>
      </pivotArea>
    </format>
    <format dxfId="78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497"/>
          </reference>
          <reference field="33" count="1">
            <x v="41"/>
          </reference>
        </references>
      </pivotArea>
    </format>
    <format dxfId="77">
      <pivotArea dataOnly="0" labelOnly="1" outline="0" fieldPosition="0">
        <references count="9">
          <reference field="25" count="0" selected="0"/>
          <reference field="26" count="1" selected="0">
            <x v="18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505"/>
          </reference>
          <reference field="33" count="1">
            <x v="68"/>
          </reference>
        </references>
      </pivotArea>
    </format>
    <format dxfId="76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401"/>
          </reference>
          <reference field="33" count="1">
            <x v="41"/>
          </reference>
        </references>
      </pivotArea>
    </format>
    <format dxfId="75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88"/>
          </reference>
          <reference field="33" count="1">
            <x v="49"/>
          </reference>
        </references>
      </pivotArea>
    </format>
    <format dxfId="74">
      <pivotArea dataOnly="0" labelOnly="1" outline="0" fieldPosition="0">
        <references count="9">
          <reference field="25" count="0" selected="0"/>
          <reference field="26" count="1" selected="0">
            <x v="19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94"/>
          </reference>
          <reference field="33" count="2">
            <x v="48"/>
            <x v="49"/>
          </reference>
        </references>
      </pivotArea>
    </format>
    <format dxfId="73">
      <pivotArea dataOnly="0" labelOnly="1" outline="0" fieldPosition="0">
        <references count="9">
          <reference field="25" count="0" selected="0"/>
          <reference field="26" count="1" selected="0">
            <x v="20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0"/>
          </reference>
          <reference field="33" count="1">
            <x v="46"/>
          </reference>
        </references>
      </pivotArea>
    </format>
    <format dxfId="72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81"/>
          </reference>
          <reference field="33" count="1">
            <x v="41"/>
          </reference>
        </references>
      </pivotArea>
    </format>
    <format dxfId="71">
      <pivotArea dataOnly="0" labelOnly="1" outline="0" fieldPosition="0">
        <references count="9">
          <reference field="25" count="0" selected="0"/>
          <reference field="26" count="1" selected="0">
            <x v="21"/>
          </reference>
          <reference field="27" count="0" selected="0"/>
          <reference field="28" count="0" selected="0"/>
          <reference field="29" count="1" selected="0">
            <x v="56"/>
          </reference>
          <reference field="30" count="1" selected="0">
            <x v="0"/>
          </reference>
          <reference field="31" count="0" selected="0"/>
          <reference field="32" count="1" selected="0">
            <x v="467"/>
          </reference>
          <reference field="33" count="1">
            <x v="46"/>
          </reference>
        </references>
      </pivotArea>
    </format>
    <format dxfId="70">
      <pivotArea dataOnly="0" labelOnly="1" outline="0" fieldPosition="0">
        <references count="9">
          <reference field="25" count="0" selected="0"/>
          <reference field="26" count="1" selected="0">
            <x v="2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2"/>
          </reference>
          <reference field="31" count="0" selected="0"/>
          <reference field="32" count="1" selected="0">
            <x v="372"/>
          </reference>
          <reference field="33" count="1">
            <x v="47"/>
          </reference>
        </references>
      </pivotArea>
    </format>
    <format dxfId="69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244"/>
          </reference>
          <reference field="33" count="1">
            <x v="41"/>
          </reference>
        </references>
      </pivotArea>
    </format>
    <format dxfId="68">
      <pivotArea dataOnly="0" labelOnly="1" outline="0" fieldPosition="0">
        <references count="9">
          <reference field="25" count="0" selected="0"/>
          <reference field="26" count="1" selected="0">
            <x v="23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22"/>
          </reference>
          <reference field="33" count="1">
            <x v="45"/>
          </reference>
        </references>
      </pivotArea>
    </format>
    <format dxfId="67">
      <pivotArea dataOnly="0" labelOnly="1" outline="0" fieldPosition="0">
        <references count="9">
          <reference field="25" count="0" selected="0"/>
          <reference field="26" count="1" selected="0">
            <x v="25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7"/>
          </reference>
          <reference field="33" count="1">
            <x v="23"/>
          </reference>
        </references>
      </pivotArea>
    </format>
    <format dxfId="66">
      <pivotArea dataOnly="0" labelOnly="1" outline="0" fieldPosition="0">
        <references count="9">
          <reference field="25" count="0" selected="0"/>
          <reference field="26" count="1" selected="0">
            <x v="2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48"/>
          </reference>
          <reference field="33" count="1">
            <x v="24"/>
          </reference>
        </references>
      </pivotArea>
    </format>
    <format dxfId="65">
      <pivotArea dataOnly="0" labelOnly="1" outline="0" fieldPosition="0">
        <references count="9">
          <reference field="25" count="0" selected="0"/>
          <reference field="26" count="1" selected="0">
            <x v="2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250"/>
          </reference>
          <reference field="33" count="1">
            <x v="25"/>
          </reference>
        </references>
      </pivotArea>
    </format>
    <format dxfId="64">
      <pivotArea dataOnly="0" labelOnly="1" outline="0" fieldPosition="0">
        <references count="9">
          <reference field="25" count="0" selected="0"/>
          <reference field="26" count="1" selected="0">
            <x v="28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253"/>
          </reference>
          <reference field="33" count="1">
            <x v="26"/>
          </reference>
        </references>
      </pivotArea>
    </format>
    <format dxfId="63">
      <pivotArea dataOnly="0" labelOnly="1" outline="0" fieldPosition="0">
        <references count="9">
          <reference field="25" count="0" selected="0"/>
          <reference field="26" count="1" selected="0">
            <x v="2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387"/>
          </reference>
          <reference field="33" count="1">
            <x v="29"/>
          </reference>
        </references>
      </pivotArea>
    </format>
    <format dxfId="62">
      <pivotArea dataOnly="0" labelOnly="1" outline="0" fieldPosition="0">
        <references count="9">
          <reference field="25" count="0" selected="0"/>
          <reference field="26" count="1" selected="0">
            <x v="30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72"/>
          </reference>
          <reference field="33" count="1">
            <x v="27"/>
          </reference>
        </references>
      </pivotArea>
    </format>
    <format dxfId="61">
      <pivotArea dataOnly="0" labelOnly="1" outline="0" fieldPosition="0">
        <references count="9">
          <reference field="25" count="0" selected="0"/>
          <reference field="26" count="1" selected="0">
            <x v="31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4"/>
          </reference>
          <reference field="33" count="1">
            <x v="36"/>
          </reference>
        </references>
      </pivotArea>
    </format>
    <format dxfId="60">
      <pivotArea dataOnly="0" labelOnly="1" outline="0" fieldPosition="0">
        <references count="9">
          <reference field="25" count="0" selected="0"/>
          <reference field="26" count="1" selected="0">
            <x v="32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48"/>
          </reference>
          <reference field="33" count="1">
            <x v="28"/>
          </reference>
        </references>
      </pivotArea>
    </format>
    <format dxfId="59">
      <pivotArea dataOnly="0" labelOnly="1" outline="0" fieldPosition="0">
        <references count="9">
          <reference field="25" count="0" selected="0"/>
          <reference field="26" count="1" selected="0">
            <x v="33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197"/>
          </reference>
          <reference field="33" count="1">
            <x v="35"/>
          </reference>
        </references>
      </pivotArea>
    </format>
    <format dxfId="58">
      <pivotArea dataOnly="0" labelOnly="1" outline="0" fieldPosition="0">
        <references count="9">
          <reference field="25" count="0" selected="0"/>
          <reference field="26" count="1" selected="0">
            <x v="34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51"/>
          </reference>
          <reference field="33" count="1">
            <x v="17"/>
          </reference>
        </references>
      </pivotArea>
    </format>
    <format dxfId="57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171"/>
          </reference>
          <reference field="33" count="1">
            <x v="10"/>
          </reference>
        </references>
      </pivotArea>
    </format>
    <format dxfId="56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84"/>
          </reference>
          <reference field="33" count="2">
            <x v="8"/>
            <x v="10"/>
          </reference>
        </references>
      </pivotArea>
    </format>
    <format dxfId="55">
      <pivotArea dataOnly="0" labelOnly="1" outline="0" fieldPosition="0">
        <references count="9">
          <reference field="25" count="0" selected="0"/>
          <reference field="26" count="1" selected="0">
            <x v="35"/>
          </reference>
          <reference field="27" count="0" selected="0"/>
          <reference field="28" count="0" selected="0"/>
          <reference field="29" count="1" selected="0">
            <x v="46"/>
          </reference>
          <reference field="30" count="1" selected="0">
            <x v="0"/>
          </reference>
          <reference field="31" count="0" selected="0"/>
          <reference field="32" count="1" selected="0">
            <x v="181"/>
          </reference>
          <reference field="33" count="2">
            <x v="8"/>
            <x v="10"/>
          </reference>
        </references>
      </pivotArea>
    </format>
    <format dxfId="54">
      <pivotArea dataOnly="0" labelOnly="1" outline="0" fieldPosition="0">
        <references count="9">
          <reference field="25" count="0" selected="0"/>
          <reference field="26" count="1" selected="0">
            <x v="36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560"/>
          </reference>
          <reference field="33" count="1">
            <x v="19"/>
          </reference>
        </references>
      </pivotArea>
    </format>
    <format dxfId="53">
      <pivotArea dataOnly="0" labelOnly="1" outline="0" fieldPosition="0">
        <references count="9">
          <reference field="25" count="0" selected="0"/>
          <reference field="26" count="1" selected="0">
            <x v="37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9"/>
          </reference>
          <reference field="33" count="1">
            <x v="21"/>
          </reference>
        </references>
      </pivotArea>
    </format>
    <format dxfId="52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0"/>
          </reference>
          <reference field="31" count="0" selected="0"/>
          <reference field="32" count="1" selected="0">
            <x v="567"/>
          </reference>
          <reference field="33" count="1">
            <x v="37"/>
          </reference>
        </references>
      </pivotArea>
    </format>
    <format dxfId="51">
      <pivotArea dataOnly="0" labelOnly="1" outline="0" fieldPosition="0">
        <references count="9">
          <reference field="25" count="0" selected="0"/>
          <reference field="26" count="1" selected="0">
            <x v="38"/>
          </reference>
          <reference field="27" count="0" selected="0"/>
          <reference field="28" count="0" selected="0"/>
          <reference field="29" count="1" selected="0">
            <x v="27"/>
          </reference>
          <reference field="30" count="1" selected="0">
            <x v="1"/>
          </reference>
          <reference field="31" count="0" selected="0"/>
          <reference field="32" count="1" selected="0">
            <x v="566"/>
          </reference>
          <reference field="33" count="2">
            <x v="22"/>
            <x v="38"/>
          </reference>
        </references>
      </pivotArea>
    </format>
    <format dxfId="50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5"/>
          </reference>
          <reference field="30" count="1" selected="0">
            <x v="0"/>
          </reference>
          <reference field="31" count="0" selected="0"/>
          <reference field="32" count="1" selected="0">
            <x v="472"/>
          </reference>
          <reference field="33" count="1">
            <x v="56"/>
          </reference>
        </references>
      </pivotArea>
    </format>
    <format dxfId="49">
      <pivotArea dataOnly="0" labelOnly="1" outline="0" fieldPosition="0">
        <references count="9">
          <reference field="25" count="0" selected="0"/>
          <reference field="26" count="1" selected="0">
            <x v="39"/>
          </reference>
          <reference field="27" count="0" selected="0"/>
          <reference field="28" count="0" selected="0"/>
          <reference field="29" count="1" selected="0">
            <x v="26"/>
          </reference>
          <reference field="30" count="1" selected="0">
            <x v="0"/>
          </reference>
          <reference field="31" count="0" selected="0"/>
          <reference field="32" count="1" selected="0">
            <x v="475"/>
          </reference>
          <reference field="33" count="1">
            <x v="39"/>
          </reference>
        </references>
      </pivotArea>
    </format>
    <format dxfId="48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"/>
          </reference>
          <reference field="30" count="1" selected="0">
            <x v="0"/>
          </reference>
          <reference field="31" count="0" selected="0"/>
          <reference field="32" count="1" selected="0">
            <x v="549"/>
          </reference>
          <reference field="33" count="1">
            <x v="41"/>
          </reference>
        </references>
      </pivotArea>
    </format>
    <format dxfId="47">
      <pivotArea dataOnly="0" labelOnly="1" outline="0" fieldPosition="0">
        <references count="9">
          <reference field="25" count="0" selected="0"/>
          <reference field="26" count="1" selected="0">
            <x v="4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35"/>
          </reference>
          <reference field="33" count="1">
            <x v="44"/>
          </reference>
        </references>
      </pivotArea>
    </format>
    <format dxfId="4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02"/>
          </reference>
          <reference field="33" count="1">
            <x v="41"/>
          </reference>
        </references>
      </pivotArea>
    </format>
    <format dxfId="4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94"/>
          </reference>
          <reference field="33" count="2">
            <x v="11"/>
            <x v="12"/>
          </reference>
        </references>
      </pivotArea>
    </format>
    <format dxfId="4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1"/>
          </reference>
          <reference field="31" count="0" selected="0"/>
          <reference field="32" count="1" selected="0">
            <x v="91"/>
          </reference>
          <reference field="33" count="1">
            <x v="11"/>
          </reference>
        </references>
      </pivotArea>
    </format>
    <format dxfId="4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09"/>
          </reference>
          <reference field="33" count="1">
            <x v="12"/>
          </reference>
        </references>
      </pivotArea>
    </format>
    <format dxfId="4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106"/>
          </reference>
          <reference field="33" count="1">
            <x v="59"/>
          </reference>
        </references>
      </pivotArea>
    </format>
    <format dxfId="41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3"/>
          </reference>
          <reference field="31" count="0" selected="0"/>
          <reference field="32" count="1" selected="0">
            <x v="591"/>
          </reference>
          <reference field="33" count="1">
            <x v="20"/>
          </reference>
        </references>
      </pivotArea>
    </format>
    <format dxfId="40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08"/>
          </reference>
          <reference field="33" count="1">
            <x v="12"/>
          </reference>
        </references>
      </pivotArea>
    </format>
    <format dxfId="39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115"/>
          </reference>
          <reference field="33" count="2">
            <x v="11"/>
            <x v="12"/>
          </reference>
        </references>
      </pivotArea>
    </format>
    <format dxfId="38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2"/>
          </reference>
          <reference field="30" count="1" selected="0">
            <x v="0"/>
          </reference>
          <reference field="31" count="0" selected="0"/>
          <reference field="32" count="1" selected="0">
            <x v="30"/>
          </reference>
          <reference field="33" count="1">
            <x v="1"/>
          </reference>
        </references>
      </pivotArea>
    </format>
    <format dxfId="37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24"/>
          </reference>
          <reference field="30" count="1" selected="0">
            <x v="0"/>
          </reference>
          <reference field="31" count="0" selected="0"/>
          <reference field="32" count="1" selected="0">
            <x v="96"/>
          </reference>
          <reference field="33" count="1">
            <x v="12"/>
          </reference>
        </references>
      </pivotArea>
    </format>
    <format dxfId="36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12"/>
          </reference>
          <reference field="33" count="3">
            <x v="11"/>
            <x v="35"/>
            <x v="42"/>
          </reference>
        </references>
      </pivotArea>
    </format>
    <format dxfId="35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107"/>
          </reference>
          <reference field="33" count="1">
            <x v="59"/>
          </reference>
        </references>
      </pivotArea>
    </format>
    <format dxfId="34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113"/>
          </reference>
          <reference field="33" count="3">
            <x v="14"/>
            <x v="21"/>
            <x v="61"/>
          </reference>
        </references>
      </pivotArea>
    </format>
    <format dxfId="33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3"/>
          </reference>
          <reference field="30" count="1" selected="0">
            <x v="3"/>
          </reference>
          <reference field="31" count="0" selected="0"/>
          <reference field="32" count="1" selected="0">
            <x v="593"/>
          </reference>
          <reference field="33" count="1">
            <x v="20"/>
          </reference>
        </references>
      </pivotArea>
    </format>
    <format dxfId="32">
      <pivotArea dataOnly="0" labelOnly="1" outline="0" fieldPosition="0">
        <references count="9">
          <reference field="25" count="0" selected="0"/>
          <reference field="26" count="1" selected="0">
            <x v="41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114"/>
          </reference>
          <reference field="33" count="1">
            <x v="68"/>
          </reference>
        </references>
      </pivotArea>
    </format>
    <format dxfId="31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7"/>
          </reference>
          <reference field="33" count="1">
            <x v="60"/>
          </reference>
        </references>
      </pivotArea>
    </format>
    <format dxfId="30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17"/>
          </reference>
          <reference field="30" count="1" selected="0">
            <x v="0"/>
          </reference>
          <reference field="31" count="0" selected="0"/>
          <reference field="32" count="1" selected="0">
            <x v="55"/>
          </reference>
          <reference field="33" count="1">
            <x v="11"/>
          </reference>
        </references>
      </pivotArea>
    </format>
    <format dxfId="29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57"/>
          </reference>
          <reference field="33" count="1">
            <x v="42"/>
          </reference>
        </references>
      </pivotArea>
    </format>
    <format dxfId="28">
      <pivotArea dataOnly="0" labelOnly="1" outline="0" fieldPosition="0">
        <references count="9">
          <reference field="25" count="0" selected="0"/>
          <reference field="26" count="1" selected="0">
            <x v="4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2"/>
          </reference>
          <reference field="31" count="0" selected="0"/>
          <reference field="32" count="1" selected="0">
            <x v="56"/>
          </reference>
          <reference field="33" count="1">
            <x v="60"/>
          </reference>
        </references>
      </pivotArea>
    </format>
    <format dxfId="27">
      <pivotArea dataOnly="0" labelOnly="1" outline="0" fieldPosition="0">
        <references count="9">
          <reference field="25" count="0" selected="0"/>
          <reference field="26" count="1" selected="0">
            <x v="4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82"/>
          </reference>
          <reference field="33" count="1">
            <x v="61"/>
          </reference>
        </references>
      </pivotArea>
    </format>
    <format dxfId="26">
      <pivotArea dataOnly="0" labelOnly="1" outline="0" fieldPosition="0">
        <references count="9">
          <reference field="25" count="0" selected="0"/>
          <reference field="26" count="1" selected="0">
            <x v="45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2"/>
          </reference>
          <reference field="31" count="0" selected="0"/>
          <reference field="32" count="1" selected="0">
            <x v="210"/>
          </reference>
          <reference field="33" count="1">
            <x v="62"/>
          </reference>
        </references>
      </pivotArea>
    </format>
    <format dxfId="25">
      <pivotArea dataOnly="0" labelOnly="1" outline="0" fieldPosition="0">
        <references count="9">
          <reference field="25" count="0" selected="0"/>
          <reference field="26" count="1" selected="0">
            <x v="46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"/>
          </reference>
          <reference field="33" count="1">
            <x v="13"/>
          </reference>
        </references>
      </pivotArea>
    </format>
    <format dxfId="24">
      <pivotArea dataOnly="0" labelOnly="1" outline="0" fieldPosition="0">
        <references count="9">
          <reference field="25" count="0" selected="0"/>
          <reference field="26" count="1" selected="0">
            <x v="47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144"/>
          </reference>
          <reference field="33" count="1">
            <x v="63"/>
          </reference>
        </references>
      </pivotArea>
    </format>
    <format dxfId="23">
      <pivotArea dataOnly="0" labelOnly="1" outline="0" fieldPosition="0">
        <references count="9">
          <reference field="25" count="0" selected="0"/>
          <reference field="26" count="1" selected="0">
            <x v="48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132"/>
          </reference>
          <reference field="33" count="1">
            <x v="35"/>
          </reference>
        </references>
      </pivotArea>
    </format>
    <format dxfId="22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3"/>
          </reference>
          <reference field="30" count="1" selected="0">
            <x v="0"/>
          </reference>
          <reference field="31" count="0" selected="0"/>
          <reference field="32" count="1" selected="0">
            <x v="349"/>
          </reference>
          <reference field="33" count="1">
            <x v="41"/>
          </reference>
        </references>
      </pivotArea>
    </format>
    <format dxfId="21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330"/>
          </reference>
          <reference field="33" count="1">
            <x v="14"/>
          </reference>
        </references>
      </pivotArea>
    </format>
    <format dxfId="20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1"/>
          </reference>
          <reference field="31" count="0" selected="0"/>
          <reference field="32" count="1" selected="0">
            <x v="343"/>
          </reference>
          <reference field="33" count="1">
            <x v="42"/>
          </reference>
        </references>
      </pivotArea>
    </format>
    <format dxfId="19">
      <pivotArea dataOnly="0" labelOnly="1" outline="0" fieldPosition="0">
        <references count="9">
          <reference field="25" count="0" selected="0"/>
          <reference field="26" count="1" selected="0">
            <x v="49"/>
          </reference>
          <reference field="27" count="0" selected="0"/>
          <reference field="28" count="0" selected="0"/>
          <reference field="29" count="1" selected="0">
            <x v="49"/>
          </reference>
          <reference field="30" count="1" selected="0">
            <x v="0"/>
          </reference>
          <reference field="31" count="0" selected="0"/>
          <reference field="32" count="1" selected="0">
            <x v="345"/>
          </reference>
          <reference field="33" count="1">
            <x v="14"/>
          </reference>
        </references>
      </pivotArea>
    </format>
    <format dxfId="18">
      <pivotArea dataOnly="0" labelOnly="1" outline="0" fieldPosition="0">
        <references count="9">
          <reference field="25" count="0" selected="0"/>
          <reference field="26" count="1" selected="0">
            <x v="50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430"/>
          </reference>
          <reference field="33" count="1">
            <x v="15"/>
          </reference>
        </references>
      </pivotArea>
    </format>
    <format dxfId="17">
      <pivotArea dataOnly="0" labelOnly="1" outline="0" fieldPosition="0">
        <references count="9">
          <reference field="25" count="0" selected="0"/>
          <reference field="26" count="1" selected="0">
            <x v="51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0"/>
          </reference>
          <reference field="31" count="0" selected="0"/>
          <reference field="32" count="1" selected="0">
            <x v="587"/>
          </reference>
          <reference field="33" count="1">
            <x v="64"/>
          </reference>
        </references>
      </pivotArea>
    </format>
    <format dxfId="16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0"/>
          </reference>
          <reference field="30" count="1" selected="0">
            <x v="1"/>
          </reference>
          <reference field="31" count="0" selected="0"/>
          <reference field="32" count="1" selected="0">
            <x v="159"/>
          </reference>
          <reference field="33" count="1">
            <x v="16"/>
          </reference>
        </references>
      </pivotArea>
    </format>
    <format dxfId="15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4"/>
          </reference>
          <reference field="31" count="0" selected="0"/>
          <reference field="32" count="1" selected="0">
            <x v="166"/>
          </reference>
          <reference field="33" count="1">
            <x v="65"/>
          </reference>
        </references>
      </pivotArea>
    </format>
    <format dxfId="14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14"/>
          </reference>
          <reference field="30" count="1" selected="0">
            <x v="0"/>
          </reference>
          <reference field="31" count="0" selected="0"/>
          <reference field="32" count="1" selected="0">
            <x v="164"/>
          </reference>
          <reference field="33" count="1">
            <x v="16"/>
          </reference>
        </references>
      </pivotArea>
    </format>
    <format dxfId="13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23"/>
          </reference>
          <reference field="30" count="1" selected="0">
            <x v="0"/>
          </reference>
          <reference field="31" count="0" selected="0"/>
          <reference field="32" count="1" selected="0">
            <x v="161"/>
          </reference>
          <reference field="33" count="1">
            <x v="19"/>
          </reference>
        </references>
      </pivotArea>
    </format>
    <format dxfId="12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1"/>
          </reference>
          <reference field="30" count="1" selected="0">
            <x v="0"/>
          </reference>
          <reference field="31" count="0" selected="0"/>
          <reference field="32" count="1" selected="0">
            <x v="170"/>
          </reference>
          <reference field="33" count="1">
            <x v="16"/>
          </reference>
        </references>
      </pivotArea>
    </format>
    <format dxfId="11">
      <pivotArea dataOnly="0" labelOnly="1" outline="0" fieldPosition="0">
        <references count="9">
          <reference field="25" count="0" selected="0"/>
          <reference field="26" count="1" selected="0">
            <x v="52"/>
          </reference>
          <reference field="27" count="0" selected="0"/>
          <reference field="28" count="0" selected="0"/>
          <reference field="29" count="1" selected="0">
            <x v="44"/>
          </reference>
          <reference field="30" count="1" selected="0">
            <x v="0"/>
          </reference>
          <reference field="31" count="0" selected="0"/>
          <reference field="32" count="1" selected="0">
            <x v="162"/>
          </reference>
          <reference field="33" count="1">
            <x v="65"/>
          </reference>
        </references>
      </pivotArea>
    </format>
    <format dxfId="10">
      <pivotArea dataOnly="0" labelOnly="1" outline="0" fieldPosition="0">
        <references count="9">
          <reference field="25" count="0" selected="0"/>
          <reference field="26" count="1" selected="0">
            <x v="53"/>
          </reference>
          <reference field="27" count="0" selected="0"/>
          <reference field="28" count="0" selected="0"/>
          <reference field="29" count="1" selected="0">
            <x v="13"/>
          </reference>
          <reference field="30" count="1" selected="0">
            <x v="0"/>
          </reference>
          <reference field="31" count="0" selected="0"/>
          <reference field="32" count="1" selected="0">
            <x v="324"/>
          </reference>
          <reference field="33" count="1">
            <x v="3"/>
          </reference>
        </references>
      </pivotArea>
    </format>
    <format dxfId="9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11"/>
          </reference>
          <reference field="30" count="1" selected="0">
            <x v="0"/>
          </reference>
          <reference field="31" count="0" selected="0"/>
          <reference field="32" count="1" selected="0">
            <x v="281"/>
          </reference>
          <reference field="33" count="1">
            <x v="66"/>
          </reference>
        </references>
      </pivotArea>
    </format>
    <format dxfId="8">
      <pivotArea dataOnly="0" labelOnly="1" outline="0" fieldPosition="0">
        <references count="9">
          <reference field="25" count="0" selected="0"/>
          <reference field="26" count="1" selected="0">
            <x v="54"/>
          </reference>
          <reference field="27" count="0" selected="0"/>
          <reference field="28" count="0" selected="0"/>
          <reference field="29" count="1" selected="0">
            <x v="55"/>
          </reference>
          <reference field="30" count="1" selected="0">
            <x v="0"/>
          </reference>
          <reference field="31" count="0" selected="0"/>
          <reference field="32" count="1" selected="0">
            <x v="466"/>
          </reference>
          <reference field="33" count="1">
            <x v="68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7" type="captionNotEqual" evalOrder="-1" id="2" stringValue1="-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C0C2-56FC-48C6-9E93-376A40A1FDB1}">
  <dimension ref="A1:R884"/>
  <sheetViews>
    <sheetView topLeftCell="A151" workbookViewId="0">
      <selection activeCell="P2" sqref="P2:S2"/>
    </sheetView>
  </sheetViews>
  <sheetFormatPr baseColWidth="10" defaultRowHeight="14.4" x14ac:dyDescent="0.3"/>
  <cols>
    <col min="1" max="1" width="1.109375" customWidth="1"/>
    <col min="2" max="2" width="10.21875" style="246" customWidth="1"/>
    <col min="3" max="4" width="2.21875" customWidth="1"/>
    <col min="5" max="6" width="10.21875" style="246" customWidth="1"/>
    <col min="7" max="7" width="1.77734375" customWidth="1"/>
    <col min="8" max="8" width="36.77734375" style="248" customWidth="1"/>
    <col min="9" max="9" width="10.21875" style="246" customWidth="1"/>
    <col min="10" max="11" width="2.44140625" customWidth="1"/>
    <col min="12" max="13" width="10.21875" style="246" customWidth="1"/>
    <col min="14" max="14" width="3.21875" customWidth="1"/>
    <col min="15" max="15" width="45" style="247" bestFit="1" customWidth="1"/>
    <col min="16" max="17" width="6" style="3" bestFit="1" customWidth="1"/>
    <col min="18" max="18" width="5" style="3" bestFit="1" customWidth="1"/>
  </cols>
  <sheetData>
    <row r="1" spans="1:18" x14ac:dyDescent="0.3">
      <c r="P1" s="3">
        <f>SUM(P4:P615)</f>
        <v>70.880000000000109</v>
      </c>
      <c r="Q1" s="3">
        <f>SUM(Q4:Q615)</f>
        <v>8400</v>
      </c>
      <c r="R1" s="3">
        <f>SUM(R4:R615)</f>
        <v>0</v>
      </c>
    </row>
    <row r="3" spans="1:18" x14ac:dyDescent="0.3">
      <c r="A3" s="249" t="s">
        <v>2156</v>
      </c>
      <c r="B3" s="246" t="s">
        <v>2140</v>
      </c>
      <c r="C3" s="249" t="s">
        <v>2143</v>
      </c>
      <c r="D3" s="249" t="s">
        <v>2141</v>
      </c>
      <c r="E3" s="246" t="s">
        <v>2142</v>
      </c>
      <c r="F3" s="246" t="s">
        <v>2144</v>
      </c>
      <c r="G3" s="249" t="s">
        <v>2145</v>
      </c>
      <c r="H3" s="248" t="s">
        <v>2146</v>
      </c>
      <c r="I3" s="246" t="s">
        <v>2147</v>
      </c>
      <c r="J3" s="249" t="s">
        <v>2148</v>
      </c>
      <c r="K3" s="249" t="s">
        <v>2149</v>
      </c>
      <c r="L3" s="246" t="s">
        <v>2150</v>
      </c>
      <c r="M3" s="246" t="s">
        <v>2151</v>
      </c>
      <c r="N3" s="249" t="s">
        <v>2152</v>
      </c>
      <c r="O3" s="247" t="s">
        <v>2153</v>
      </c>
      <c r="P3" t="s">
        <v>2157</v>
      </c>
      <c r="Q3" s="3" t="s">
        <v>2158</v>
      </c>
      <c r="R3" s="3" t="s">
        <v>2159</v>
      </c>
    </row>
    <row r="4" spans="1:18" x14ac:dyDescent="0.3">
      <c r="A4" s="249" t="s">
        <v>1870</v>
      </c>
      <c r="B4" s="246">
        <v>100</v>
      </c>
      <c r="C4" t="s">
        <v>1870</v>
      </c>
      <c r="D4" t="s">
        <v>1870</v>
      </c>
      <c r="E4" s="7" t="s">
        <v>28</v>
      </c>
      <c r="F4" s="7">
        <v>1</v>
      </c>
      <c r="G4" t="s">
        <v>1870</v>
      </c>
      <c r="H4" t="s">
        <v>27</v>
      </c>
      <c r="I4" s="7" t="s">
        <v>1489</v>
      </c>
      <c r="J4" t="s">
        <v>1870</v>
      </c>
      <c r="K4" t="s">
        <v>1870</v>
      </c>
      <c r="L4" s="7" t="s">
        <v>1489</v>
      </c>
      <c r="M4" s="7" t="s">
        <v>1489</v>
      </c>
      <c r="N4" t="s">
        <v>1870</v>
      </c>
      <c r="O4">
        <v>0</v>
      </c>
      <c r="Q4" s="3">
        <v>0</v>
      </c>
      <c r="R4" s="3">
        <v>0</v>
      </c>
    </row>
    <row r="5" spans="1:18" x14ac:dyDescent="0.3">
      <c r="A5" s="249" t="s">
        <v>1870</v>
      </c>
      <c r="B5" s="246">
        <v>101</v>
      </c>
      <c r="C5" t="s">
        <v>1870</v>
      </c>
      <c r="D5" t="s">
        <v>1870</v>
      </c>
      <c r="E5" s="7" t="s">
        <v>11</v>
      </c>
      <c r="F5" s="7">
        <v>0</v>
      </c>
      <c r="G5" t="s">
        <v>1870</v>
      </c>
      <c r="H5" t="s">
        <v>31</v>
      </c>
      <c r="I5" t="s">
        <v>1489</v>
      </c>
      <c r="J5" t="s">
        <v>1870</v>
      </c>
      <c r="K5" t="s">
        <v>1870</v>
      </c>
      <c r="L5" t="s">
        <v>1489</v>
      </c>
      <c r="M5" t="s">
        <v>1489</v>
      </c>
      <c r="N5" t="s">
        <v>1870</v>
      </c>
      <c r="O5">
        <v>0</v>
      </c>
      <c r="Q5" s="3">
        <v>0</v>
      </c>
      <c r="R5" s="3">
        <v>0</v>
      </c>
    </row>
    <row r="6" spans="1:18" x14ac:dyDescent="0.3">
      <c r="A6" s="249" t="s">
        <v>1870</v>
      </c>
      <c r="B6" s="246">
        <v>101</v>
      </c>
      <c r="C6" t="s">
        <v>1870</v>
      </c>
      <c r="D6" t="s">
        <v>1870</v>
      </c>
      <c r="E6" s="246" t="s">
        <v>48</v>
      </c>
      <c r="F6" s="7">
        <v>1</v>
      </c>
      <c r="G6" t="s">
        <v>1870</v>
      </c>
      <c r="H6" t="s">
        <v>50</v>
      </c>
      <c r="I6" s="7" t="s">
        <v>1489</v>
      </c>
      <c r="J6" t="s">
        <v>1870</v>
      </c>
      <c r="K6" t="s">
        <v>1870</v>
      </c>
      <c r="L6" s="7" t="s">
        <v>1489</v>
      </c>
      <c r="M6" s="7" t="s">
        <v>1489</v>
      </c>
      <c r="N6" t="s">
        <v>1870</v>
      </c>
      <c r="O6" t="s">
        <v>1489</v>
      </c>
      <c r="P6" s="3">
        <v>0</v>
      </c>
      <c r="Q6" s="3">
        <v>0</v>
      </c>
      <c r="R6" s="3">
        <v>0</v>
      </c>
    </row>
    <row r="7" spans="1:18" x14ac:dyDescent="0.3">
      <c r="A7" s="249" t="s">
        <v>1870</v>
      </c>
      <c r="B7" s="246">
        <v>101</v>
      </c>
      <c r="C7" t="s">
        <v>1870</v>
      </c>
      <c r="D7" t="s">
        <v>1870</v>
      </c>
      <c r="E7" s="7" t="s">
        <v>53</v>
      </c>
      <c r="F7" s="7">
        <v>0</v>
      </c>
      <c r="G7" t="s">
        <v>1870</v>
      </c>
      <c r="H7" t="s">
        <v>52</v>
      </c>
      <c r="I7" t="s">
        <v>1489</v>
      </c>
      <c r="J7" t="s">
        <v>1870</v>
      </c>
      <c r="K7" t="s">
        <v>1870</v>
      </c>
      <c r="L7" t="s">
        <v>1489</v>
      </c>
      <c r="M7" t="s">
        <v>1489</v>
      </c>
      <c r="N7" t="s">
        <v>1870</v>
      </c>
      <c r="O7" t="s">
        <v>1489</v>
      </c>
      <c r="P7" s="3">
        <v>0</v>
      </c>
      <c r="Q7" s="3">
        <v>0</v>
      </c>
      <c r="R7" s="3">
        <v>0</v>
      </c>
    </row>
    <row r="8" spans="1:18" x14ac:dyDescent="0.3">
      <c r="A8" s="249" t="s">
        <v>1870</v>
      </c>
      <c r="B8" s="246">
        <v>101</v>
      </c>
      <c r="C8" t="s">
        <v>1870</v>
      </c>
      <c r="D8" t="s">
        <v>1870</v>
      </c>
      <c r="E8" s="7" t="s">
        <v>28</v>
      </c>
      <c r="F8" s="7">
        <v>1</v>
      </c>
      <c r="G8" t="s">
        <v>1870</v>
      </c>
      <c r="H8" t="s">
        <v>55</v>
      </c>
      <c r="I8" t="s">
        <v>1489</v>
      </c>
      <c r="J8" t="s">
        <v>1870</v>
      </c>
      <c r="K8" t="s">
        <v>1870</v>
      </c>
      <c r="L8" t="s">
        <v>1489</v>
      </c>
      <c r="M8" t="s">
        <v>1489</v>
      </c>
      <c r="N8" t="s">
        <v>1870</v>
      </c>
      <c r="O8" t="s">
        <v>1489</v>
      </c>
      <c r="P8" s="3">
        <v>0</v>
      </c>
      <c r="Q8" s="3">
        <v>0</v>
      </c>
      <c r="R8" s="3">
        <v>0</v>
      </c>
    </row>
    <row r="9" spans="1:18" x14ac:dyDescent="0.3">
      <c r="A9" s="249" t="s">
        <v>1870</v>
      </c>
      <c r="B9" s="246">
        <v>101</v>
      </c>
      <c r="C9" t="s">
        <v>1870</v>
      </c>
      <c r="D9" t="s">
        <v>1870</v>
      </c>
      <c r="E9" s="7" t="s">
        <v>61</v>
      </c>
      <c r="F9">
        <v>0</v>
      </c>
      <c r="G9" t="s">
        <v>1870</v>
      </c>
      <c r="H9" t="s">
        <v>60</v>
      </c>
      <c r="I9" s="7" t="s">
        <v>1489</v>
      </c>
      <c r="J9" t="s">
        <v>1870</v>
      </c>
      <c r="K9" t="s">
        <v>1870</v>
      </c>
      <c r="L9" s="7" t="s">
        <v>1489</v>
      </c>
      <c r="M9" s="7" t="s">
        <v>1489</v>
      </c>
      <c r="N9" t="s">
        <v>1870</v>
      </c>
      <c r="O9" t="s">
        <v>1489</v>
      </c>
      <c r="P9" s="3">
        <v>0</v>
      </c>
      <c r="Q9" s="3">
        <v>0</v>
      </c>
      <c r="R9" s="3">
        <v>0</v>
      </c>
    </row>
    <row r="10" spans="1:18" x14ac:dyDescent="0.3">
      <c r="A10" s="249" t="s">
        <v>1870</v>
      </c>
      <c r="B10" s="246">
        <v>101</v>
      </c>
      <c r="C10" t="s">
        <v>1870</v>
      </c>
      <c r="D10" t="s">
        <v>1870</v>
      </c>
      <c r="E10" s="7" t="s">
        <v>64</v>
      </c>
      <c r="F10">
        <v>0</v>
      </c>
      <c r="G10" t="s">
        <v>1870</v>
      </c>
      <c r="H10" t="s">
        <v>63</v>
      </c>
      <c r="I10" t="s">
        <v>1489</v>
      </c>
      <c r="J10" t="s">
        <v>1870</v>
      </c>
      <c r="K10" t="s">
        <v>1870</v>
      </c>
      <c r="L10" t="s">
        <v>1489</v>
      </c>
      <c r="M10" t="s">
        <v>1489</v>
      </c>
      <c r="N10" t="s">
        <v>1870</v>
      </c>
      <c r="O10" t="s">
        <v>1489</v>
      </c>
      <c r="P10" s="3">
        <v>0</v>
      </c>
      <c r="Q10" s="3">
        <v>0</v>
      </c>
      <c r="R10" s="3">
        <v>0</v>
      </c>
    </row>
    <row r="11" spans="1:18" x14ac:dyDescent="0.3">
      <c r="A11" s="249" t="s">
        <v>1870</v>
      </c>
      <c r="B11" s="246">
        <v>101</v>
      </c>
      <c r="C11" t="s">
        <v>1870</v>
      </c>
      <c r="D11" t="s">
        <v>1870</v>
      </c>
      <c r="E11" s="7" t="s">
        <v>67</v>
      </c>
      <c r="F11">
        <v>0</v>
      </c>
      <c r="G11" t="s">
        <v>1870</v>
      </c>
      <c r="H11" t="s">
        <v>66</v>
      </c>
      <c r="I11" t="s">
        <v>1489</v>
      </c>
      <c r="J11" t="s">
        <v>1870</v>
      </c>
      <c r="K11" t="s">
        <v>1870</v>
      </c>
      <c r="L11" t="s">
        <v>1489</v>
      </c>
      <c r="M11" t="s">
        <v>1489</v>
      </c>
      <c r="N11" t="s">
        <v>1870</v>
      </c>
      <c r="O11" t="s">
        <v>1489</v>
      </c>
      <c r="P11" s="3">
        <v>0</v>
      </c>
      <c r="Q11" s="3">
        <v>0</v>
      </c>
      <c r="R11" s="3">
        <v>0</v>
      </c>
    </row>
    <row r="12" spans="1:18" x14ac:dyDescent="0.3">
      <c r="A12" s="249" t="s">
        <v>1870</v>
      </c>
      <c r="B12" s="246">
        <v>110</v>
      </c>
      <c r="C12" t="s">
        <v>1870</v>
      </c>
      <c r="D12" t="s">
        <v>1870</v>
      </c>
      <c r="E12" s="7" t="s">
        <v>84</v>
      </c>
      <c r="F12">
        <v>0</v>
      </c>
      <c r="G12" t="s">
        <v>1870</v>
      </c>
      <c r="H12" t="s">
        <v>83</v>
      </c>
      <c r="I12" s="7" t="s">
        <v>1489</v>
      </c>
      <c r="J12" t="s">
        <v>1870</v>
      </c>
      <c r="K12" t="s">
        <v>1870</v>
      </c>
      <c r="L12" s="7" t="s">
        <v>1489</v>
      </c>
      <c r="M12" s="7" t="s">
        <v>1489</v>
      </c>
      <c r="N12" t="s">
        <v>1870</v>
      </c>
      <c r="O12" t="s">
        <v>1489</v>
      </c>
      <c r="P12" s="3">
        <v>0</v>
      </c>
      <c r="Q12" s="3">
        <v>0</v>
      </c>
      <c r="R12" s="3">
        <v>0</v>
      </c>
    </row>
    <row r="13" spans="1:18" x14ac:dyDescent="0.3">
      <c r="A13" s="249" t="s">
        <v>1870</v>
      </c>
      <c r="B13" s="246">
        <v>110</v>
      </c>
      <c r="C13" t="s">
        <v>1870</v>
      </c>
      <c r="D13" t="s">
        <v>1870</v>
      </c>
      <c r="E13" s="7" t="s">
        <v>6</v>
      </c>
      <c r="F13" s="7">
        <v>0</v>
      </c>
      <c r="G13" t="s">
        <v>1870</v>
      </c>
      <c r="H13" t="s">
        <v>103</v>
      </c>
      <c r="I13" s="7" t="s">
        <v>1489</v>
      </c>
      <c r="J13" t="s">
        <v>1870</v>
      </c>
      <c r="K13" t="s">
        <v>1870</v>
      </c>
      <c r="L13" s="7" t="s">
        <v>1489</v>
      </c>
      <c r="M13" s="7" t="s">
        <v>1489</v>
      </c>
      <c r="N13" t="s">
        <v>1870</v>
      </c>
      <c r="O13">
        <v>0</v>
      </c>
      <c r="Q13" s="3">
        <v>0</v>
      </c>
    </row>
    <row r="14" spans="1:18" x14ac:dyDescent="0.3">
      <c r="A14" s="249" t="s">
        <v>1870</v>
      </c>
      <c r="B14" s="246">
        <v>110</v>
      </c>
      <c r="C14" t="s">
        <v>1870</v>
      </c>
      <c r="D14" t="s">
        <v>1870</v>
      </c>
      <c r="E14" s="7" t="s">
        <v>28</v>
      </c>
      <c r="F14" s="7">
        <v>1</v>
      </c>
      <c r="G14" t="s">
        <v>1870</v>
      </c>
      <c r="H14" t="s">
        <v>105</v>
      </c>
      <c r="I14" t="s">
        <v>1489</v>
      </c>
      <c r="J14" t="s">
        <v>1870</v>
      </c>
      <c r="K14" t="s">
        <v>1870</v>
      </c>
      <c r="L14" t="s">
        <v>1489</v>
      </c>
      <c r="M14" t="s">
        <v>1489</v>
      </c>
      <c r="N14" t="s">
        <v>1870</v>
      </c>
      <c r="O14">
        <v>0</v>
      </c>
      <c r="Q14" s="3">
        <v>0</v>
      </c>
    </row>
    <row r="15" spans="1:18" x14ac:dyDescent="0.3">
      <c r="A15" s="249" t="s">
        <v>1870</v>
      </c>
      <c r="B15" s="246">
        <v>110</v>
      </c>
      <c r="C15" t="s">
        <v>1870</v>
      </c>
      <c r="D15" t="s">
        <v>1870</v>
      </c>
      <c r="E15" s="7" t="s">
        <v>67</v>
      </c>
      <c r="F15">
        <v>0</v>
      </c>
      <c r="G15" t="s">
        <v>1870</v>
      </c>
      <c r="H15" t="s">
        <v>116</v>
      </c>
      <c r="I15" s="7" t="s">
        <v>1489</v>
      </c>
      <c r="J15" t="s">
        <v>1870</v>
      </c>
      <c r="K15" t="s">
        <v>1870</v>
      </c>
      <c r="L15" s="7" t="s">
        <v>1489</v>
      </c>
      <c r="M15" s="7" t="s">
        <v>1489</v>
      </c>
      <c r="N15" t="s">
        <v>1870</v>
      </c>
      <c r="O15">
        <v>0</v>
      </c>
      <c r="Q15" s="3">
        <v>0</v>
      </c>
    </row>
    <row r="16" spans="1:18" x14ac:dyDescent="0.3">
      <c r="A16" s="249" t="s">
        <v>1870</v>
      </c>
      <c r="B16" s="246">
        <v>120</v>
      </c>
      <c r="C16" t="s">
        <v>1870</v>
      </c>
      <c r="D16" t="s">
        <v>1870</v>
      </c>
      <c r="E16" s="7" t="s">
        <v>6</v>
      </c>
      <c r="F16">
        <v>0</v>
      </c>
      <c r="G16" t="s">
        <v>1870</v>
      </c>
      <c r="H16" t="s">
        <v>125</v>
      </c>
      <c r="I16" s="7" t="s">
        <v>1489</v>
      </c>
      <c r="J16" t="s">
        <v>1870</v>
      </c>
      <c r="K16" t="s">
        <v>1870</v>
      </c>
      <c r="L16" s="7" t="s">
        <v>1489</v>
      </c>
      <c r="M16" s="7" t="s">
        <v>1489</v>
      </c>
      <c r="N16" t="s">
        <v>1870</v>
      </c>
      <c r="O16">
        <v>0</v>
      </c>
      <c r="Q16" s="3">
        <v>0</v>
      </c>
    </row>
    <row r="17" spans="1:17" x14ac:dyDescent="0.3">
      <c r="A17" s="249" t="s">
        <v>1870</v>
      </c>
      <c r="B17" s="246">
        <v>120</v>
      </c>
      <c r="C17" t="s">
        <v>1870</v>
      </c>
      <c r="D17" t="s">
        <v>1870</v>
      </c>
      <c r="E17" s="7" t="s">
        <v>64</v>
      </c>
      <c r="F17">
        <v>0</v>
      </c>
      <c r="G17" t="s">
        <v>1870</v>
      </c>
      <c r="H17" t="s">
        <v>127</v>
      </c>
      <c r="I17" t="s">
        <v>1489</v>
      </c>
      <c r="J17" t="s">
        <v>1870</v>
      </c>
      <c r="K17" t="s">
        <v>1870</v>
      </c>
      <c r="L17" t="s">
        <v>1489</v>
      </c>
      <c r="M17" t="s">
        <v>1489</v>
      </c>
      <c r="N17" t="s">
        <v>1870</v>
      </c>
      <c r="O17">
        <v>0</v>
      </c>
      <c r="Q17" s="3">
        <v>0</v>
      </c>
    </row>
    <row r="18" spans="1:17" x14ac:dyDescent="0.3">
      <c r="A18" s="249" t="s">
        <v>1870</v>
      </c>
      <c r="B18" s="246">
        <v>160</v>
      </c>
      <c r="C18" t="s">
        <v>1870</v>
      </c>
      <c r="D18" t="s">
        <v>1870</v>
      </c>
      <c r="E18" s="7" t="s">
        <v>131</v>
      </c>
      <c r="F18">
        <v>0</v>
      </c>
      <c r="G18" t="s">
        <v>1870</v>
      </c>
      <c r="H18" t="s">
        <v>130</v>
      </c>
      <c r="I18" t="s">
        <v>1489</v>
      </c>
      <c r="J18" t="s">
        <v>1870</v>
      </c>
      <c r="K18" t="s">
        <v>1870</v>
      </c>
      <c r="L18" t="s">
        <v>1489</v>
      </c>
      <c r="M18" t="s">
        <v>1489</v>
      </c>
      <c r="N18" t="s">
        <v>1870</v>
      </c>
      <c r="O18">
        <v>0</v>
      </c>
      <c r="Q18" s="3">
        <v>0</v>
      </c>
    </row>
    <row r="19" spans="1:17" x14ac:dyDescent="0.3">
      <c r="A19" s="249" t="s">
        <v>1870</v>
      </c>
      <c r="B19" s="246">
        <v>160</v>
      </c>
      <c r="C19" t="s">
        <v>1870</v>
      </c>
      <c r="D19" t="s">
        <v>1870</v>
      </c>
      <c r="E19" s="7" t="s">
        <v>6</v>
      </c>
      <c r="F19">
        <v>0</v>
      </c>
      <c r="G19" t="s">
        <v>1870</v>
      </c>
      <c r="H19" t="s">
        <v>135</v>
      </c>
      <c r="I19" s="7" t="s">
        <v>1489</v>
      </c>
      <c r="J19" t="s">
        <v>1870</v>
      </c>
      <c r="K19" t="s">
        <v>1870</v>
      </c>
      <c r="L19" s="7" t="s">
        <v>1489</v>
      </c>
      <c r="M19" s="7" t="s">
        <v>1489</v>
      </c>
      <c r="N19" t="s">
        <v>1870</v>
      </c>
      <c r="O19">
        <v>0</v>
      </c>
      <c r="Q19" s="3">
        <v>0</v>
      </c>
    </row>
    <row r="20" spans="1:17" x14ac:dyDescent="0.3">
      <c r="A20" s="249" t="s">
        <v>1870</v>
      </c>
      <c r="B20" s="246">
        <v>160</v>
      </c>
      <c r="C20" t="s">
        <v>1870</v>
      </c>
      <c r="D20" t="s">
        <v>1870</v>
      </c>
      <c r="E20" s="7" t="s">
        <v>144</v>
      </c>
      <c r="F20">
        <v>0</v>
      </c>
      <c r="G20" t="s">
        <v>1870</v>
      </c>
      <c r="H20" t="s">
        <v>143</v>
      </c>
      <c r="I20" s="7" t="s">
        <v>1489</v>
      </c>
      <c r="J20" t="s">
        <v>1870</v>
      </c>
      <c r="K20" t="s">
        <v>1870</v>
      </c>
      <c r="L20" s="7" t="s">
        <v>1489</v>
      </c>
      <c r="M20" s="7" t="s">
        <v>1489</v>
      </c>
      <c r="N20" t="s">
        <v>1870</v>
      </c>
      <c r="O20">
        <v>0</v>
      </c>
      <c r="Q20" s="3">
        <v>0</v>
      </c>
    </row>
    <row r="21" spans="1:17" x14ac:dyDescent="0.3">
      <c r="A21" s="249" t="s">
        <v>1870</v>
      </c>
      <c r="B21" s="246">
        <v>170</v>
      </c>
      <c r="C21" t="s">
        <v>1870</v>
      </c>
      <c r="D21" t="s">
        <v>1870</v>
      </c>
      <c r="E21" s="7" t="s">
        <v>28</v>
      </c>
      <c r="F21" s="7">
        <v>1</v>
      </c>
      <c r="G21" t="s">
        <v>1870</v>
      </c>
      <c r="H21" t="s">
        <v>170</v>
      </c>
      <c r="I21" s="7" t="s">
        <v>1489</v>
      </c>
      <c r="J21" t="s">
        <v>1870</v>
      </c>
      <c r="K21" t="s">
        <v>1870</v>
      </c>
      <c r="L21" s="7" t="s">
        <v>1489</v>
      </c>
      <c r="M21" s="7" t="s">
        <v>1489</v>
      </c>
      <c r="N21" t="s">
        <v>1870</v>
      </c>
      <c r="O21">
        <v>0</v>
      </c>
      <c r="P21" s="3">
        <v>0</v>
      </c>
      <c r="Q21" s="3">
        <v>0</v>
      </c>
    </row>
    <row r="22" spans="1:17" x14ac:dyDescent="0.3">
      <c r="A22" s="249" t="s">
        <v>1870</v>
      </c>
      <c r="B22" s="246">
        <v>180</v>
      </c>
      <c r="C22" t="s">
        <v>1870</v>
      </c>
      <c r="D22" t="s">
        <v>1870</v>
      </c>
      <c r="E22" s="246" t="s">
        <v>183</v>
      </c>
      <c r="F22" s="7">
        <v>1</v>
      </c>
      <c r="G22" t="s">
        <v>1870</v>
      </c>
      <c r="H22" t="s">
        <v>185</v>
      </c>
      <c r="I22" s="7" t="s">
        <v>1489</v>
      </c>
      <c r="J22" t="s">
        <v>1870</v>
      </c>
      <c r="K22" t="s">
        <v>1870</v>
      </c>
      <c r="L22" s="7" t="s">
        <v>1489</v>
      </c>
      <c r="M22" s="7" t="s">
        <v>1489</v>
      </c>
      <c r="N22" t="s">
        <v>1870</v>
      </c>
      <c r="O22">
        <v>0</v>
      </c>
      <c r="Q22" s="3">
        <v>0</v>
      </c>
    </row>
    <row r="23" spans="1:17" x14ac:dyDescent="0.3">
      <c r="A23" s="249" t="s">
        <v>1870</v>
      </c>
      <c r="B23" s="246">
        <v>190</v>
      </c>
      <c r="C23" t="s">
        <v>1870</v>
      </c>
      <c r="D23" t="s">
        <v>1870</v>
      </c>
      <c r="E23" s="7" t="s">
        <v>84</v>
      </c>
      <c r="F23">
        <v>0</v>
      </c>
      <c r="G23" t="s">
        <v>1870</v>
      </c>
      <c r="H23" t="s">
        <v>190</v>
      </c>
      <c r="I23" s="7" t="s">
        <v>1489</v>
      </c>
      <c r="J23" t="s">
        <v>1870</v>
      </c>
      <c r="K23" t="s">
        <v>1870</v>
      </c>
      <c r="L23" s="7" t="s">
        <v>1489</v>
      </c>
      <c r="M23" s="7" t="s">
        <v>1489</v>
      </c>
      <c r="N23" t="s">
        <v>1870</v>
      </c>
      <c r="O23">
        <v>0</v>
      </c>
      <c r="Q23" s="3">
        <v>0</v>
      </c>
    </row>
    <row r="24" spans="1:17" x14ac:dyDescent="0.3">
      <c r="A24" s="249" t="s">
        <v>1870</v>
      </c>
      <c r="B24" s="246">
        <v>190</v>
      </c>
      <c r="C24" t="s">
        <v>1870</v>
      </c>
      <c r="D24" t="s">
        <v>1870</v>
      </c>
      <c r="E24" s="7" t="s">
        <v>123</v>
      </c>
      <c r="F24">
        <v>0</v>
      </c>
      <c r="G24" t="s">
        <v>1870</v>
      </c>
      <c r="H24" t="s">
        <v>194</v>
      </c>
      <c r="I24" s="7" t="s">
        <v>1489</v>
      </c>
      <c r="J24" t="s">
        <v>1870</v>
      </c>
      <c r="K24" t="s">
        <v>1870</v>
      </c>
      <c r="L24" s="7" t="s">
        <v>1489</v>
      </c>
      <c r="M24" s="7" t="s">
        <v>1489</v>
      </c>
      <c r="N24" t="s">
        <v>1870</v>
      </c>
      <c r="O24" t="s">
        <v>1489</v>
      </c>
      <c r="Q24" s="3">
        <v>0</v>
      </c>
    </row>
    <row r="25" spans="1:17" x14ac:dyDescent="0.3">
      <c r="A25" s="249" t="s">
        <v>1870</v>
      </c>
      <c r="B25" s="246">
        <v>190</v>
      </c>
      <c r="C25" t="s">
        <v>1870</v>
      </c>
      <c r="D25" t="s">
        <v>1870</v>
      </c>
      <c r="E25" s="7" t="s">
        <v>6</v>
      </c>
      <c r="F25">
        <v>0</v>
      </c>
      <c r="G25" t="s">
        <v>1870</v>
      </c>
      <c r="H25" t="s">
        <v>198</v>
      </c>
      <c r="I25" s="7" t="s">
        <v>1489</v>
      </c>
      <c r="J25" t="s">
        <v>1870</v>
      </c>
      <c r="K25" t="s">
        <v>1870</v>
      </c>
      <c r="L25" s="7" t="s">
        <v>1489</v>
      </c>
      <c r="M25" s="7" t="s">
        <v>1489</v>
      </c>
      <c r="N25" t="s">
        <v>1870</v>
      </c>
      <c r="O25" t="s">
        <v>1489</v>
      </c>
      <c r="Q25" s="3">
        <v>0</v>
      </c>
    </row>
    <row r="26" spans="1:17" x14ac:dyDescent="0.3">
      <c r="A26" s="249" t="s">
        <v>1870</v>
      </c>
      <c r="B26" s="246">
        <v>190</v>
      </c>
      <c r="C26" t="s">
        <v>1870</v>
      </c>
      <c r="D26" t="s">
        <v>1870</v>
      </c>
      <c r="E26" s="7" t="s">
        <v>61</v>
      </c>
      <c r="F26">
        <v>0</v>
      </c>
      <c r="G26" t="s">
        <v>1870</v>
      </c>
      <c r="H26" t="s">
        <v>200</v>
      </c>
      <c r="I26" t="s">
        <v>1489</v>
      </c>
      <c r="J26" t="s">
        <v>1870</v>
      </c>
      <c r="K26" t="s">
        <v>1870</v>
      </c>
      <c r="L26" t="s">
        <v>1489</v>
      </c>
      <c r="M26" t="s">
        <v>1489</v>
      </c>
      <c r="N26" t="s">
        <v>1870</v>
      </c>
      <c r="O26" t="s">
        <v>1489</v>
      </c>
      <c r="Q26" s="3">
        <v>0</v>
      </c>
    </row>
    <row r="27" spans="1:17" x14ac:dyDescent="0.3">
      <c r="A27" s="249" t="s">
        <v>1870</v>
      </c>
      <c r="B27" s="246">
        <v>190</v>
      </c>
      <c r="C27" t="s">
        <v>1870</v>
      </c>
      <c r="D27" t="s">
        <v>1870</v>
      </c>
      <c r="E27" s="7" t="s">
        <v>175</v>
      </c>
      <c r="F27">
        <v>0</v>
      </c>
      <c r="G27" t="s">
        <v>1870</v>
      </c>
      <c r="H27" t="s">
        <v>174</v>
      </c>
      <c r="I27" t="s">
        <v>1489</v>
      </c>
      <c r="J27" t="s">
        <v>1870</v>
      </c>
      <c r="K27" t="s">
        <v>1870</v>
      </c>
      <c r="L27" t="s">
        <v>1489</v>
      </c>
      <c r="M27" t="s">
        <v>1489</v>
      </c>
      <c r="N27" t="s">
        <v>1870</v>
      </c>
      <c r="O27" t="s">
        <v>1489</v>
      </c>
      <c r="Q27" s="3">
        <v>0</v>
      </c>
    </row>
    <row r="28" spans="1:17" x14ac:dyDescent="0.3">
      <c r="A28" s="249" t="s">
        <v>1870</v>
      </c>
      <c r="B28" s="246">
        <v>190</v>
      </c>
      <c r="C28" t="s">
        <v>1870</v>
      </c>
      <c r="D28" t="s">
        <v>1870</v>
      </c>
      <c r="E28" s="7" t="s">
        <v>64</v>
      </c>
      <c r="F28">
        <v>0</v>
      </c>
      <c r="G28" t="s">
        <v>1870</v>
      </c>
      <c r="H28" t="s">
        <v>203</v>
      </c>
      <c r="I28" t="s">
        <v>1489</v>
      </c>
      <c r="J28" t="s">
        <v>1870</v>
      </c>
      <c r="K28" t="s">
        <v>1870</v>
      </c>
      <c r="L28" t="s">
        <v>1489</v>
      </c>
      <c r="M28" t="s">
        <v>1489</v>
      </c>
      <c r="N28" t="s">
        <v>1870</v>
      </c>
      <c r="O28" t="s">
        <v>1489</v>
      </c>
      <c r="Q28" s="3">
        <v>0</v>
      </c>
    </row>
    <row r="29" spans="1:17" x14ac:dyDescent="0.3">
      <c r="A29" s="249" t="s">
        <v>1870</v>
      </c>
      <c r="B29" s="246">
        <v>200</v>
      </c>
      <c r="C29" t="s">
        <v>1870</v>
      </c>
      <c r="D29" t="s">
        <v>1870</v>
      </c>
      <c r="E29" s="7" t="s">
        <v>28</v>
      </c>
      <c r="F29" s="7">
        <v>1</v>
      </c>
      <c r="G29" t="s">
        <v>1870</v>
      </c>
      <c r="H29" t="s">
        <v>215</v>
      </c>
      <c r="I29" s="7" t="s">
        <v>1489</v>
      </c>
      <c r="J29" t="s">
        <v>1870</v>
      </c>
      <c r="K29" t="s">
        <v>1870</v>
      </c>
      <c r="L29" s="7" t="s">
        <v>1489</v>
      </c>
      <c r="M29" s="7" t="s">
        <v>1489</v>
      </c>
      <c r="N29" t="s">
        <v>1870</v>
      </c>
      <c r="O29">
        <v>0</v>
      </c>
      <c r="Q29" s="3">
        <v>0</v>
      </c>
    </row>
    <row r="30" spans="1:17" x14ac:dyDescent="0.3">
      <c r="A30" s="249" t="s">
        <v>1870</v>
      </c>
      <c r="B30" s="246">
        <v>210</v>
      </c>
      <c r="C30" t="s">
        <v>1870</v>
      </c>
      <c r="D30" t="s">
        <v>1870</v>
      </c>
      <c r="E30" s="246" t="s">
        <v>48</v>
      </c>
      <c r="F30" s="7">
        <v>1</v>
      </c>
      <c r="G30" t="s">
        <v>1870</v>
      </c>
      <c r="H30" t="s">
        <v>222</v>
      </c>
      <c r="I30" s="7" t="s">
        <v>1489</v>
      </c>
      <c r="J30" t="s">
        <v>1870</v>
      </c>
      <c r="K30" t="s">
        <v>1870</v>
      </c>
      <c r="L30" s="7" t="s">
        <v>1489</v>
      </c>
      <c r="M30" s="7" t="s">
        <v>1489</v>
      </c>
      <c r="N30" t="s">
        <v>1870</v>
      </c>
      <c r="O30" t="s">
        <v>1489</v>
      </c>
      <c r="Q30" s="3">
        <v>0</v>
      </c>
    </row>
    <row r="31" spans="1:17" x14ac:dyDescent="0.3">
      <c r="A31" s="249" t="s">
        <v>1870</v>
      </c>
      <c r="B31" s="246">
        <v>210</v>
      </c>
      <c r="C31" t="s">
        <v>1870</v>
      </c>
      <c r="D31" t="s">
        <v>1870</v>
      </c>
      <c r="E31" s="7" t="s">
        <v>93</v>
      </c>
      <c r="F31" s="7">
        <v>0</v>
      </c>
      <c r="G31" t="s">
        <v>1870</v>
      </c>
      <c r="H31" t="s">
        <v>224</v>
      </c>
      <c r="I31" t="s">
        <v>1489</v>
      </c>
      <c r="J31" t="s">
        <v>1870</v>
      </c>
      <c r="K31" t="s">
        <v>1870</v>
      </c>
      <c r="L31" t="s">
        <v>1489</v>
      </c>
      <c r="M31" t="s">
        <v>1489</v>
      </c>
      <c r="N31" t="s">
        <v>1870</v>
      </c>
      <c r="O31" t="s">
        <v>1489</v>
      </c>
      <c r="Q31" s="3">
        <v>0</v>
      </c>
    </row>
    <row r="32" spans="1:17" x14ac:dyDescent="0.3">
      <c r="A32" s="249" t="s">
        <v>1870</v>
      </c>
      <c r="B32" s="246">
        <v>210</v>
      </c>
      <c r="C32" t="s">
        <v>1870</v>
      </c>
      <c r="D32" t="s">
        <v>1870</v>
      </c>
      <c r="E32" s="7" t="s">
        <v>64</v>
      </c>
      <c r="F32">
        <v>0</v>
      </c>
      <c r="G32" t="s">
        <v>1870</v>
      </c>
      <c r="H32" t="s">
        <v>277</v>
      </c>
      <c r="I32" s="7" t="s">
        <v>1489</v>
      </c>
      <c r="J32" t="s">
        <v>1870</v>
      </c>
      <c r="K32" t="s">
        <v>1870</v>
      </c>
      <c r="L32" s="7" t="s">
        <v>1489</v>
      </c>
      <c r="M32" s="7" t="s">
        <v>1489</v>
      </c>
      <c r="N32" t="s">
        <v>1870</v>
      </c>
      <c r="O32">
        <v>0</v>
      </c>
      <c r="Q32" s="3">
        <v>0</v>
      </c>
    </row>
    <row r="33" spans="1:17" x14ac:dyDescent="0.3">
      <c r="A33" s="249" t="s">
        <v>1870</v>
      </c>
      <c r="B33" s="246">
        <v>220</v>
      </c>
      <c r="C33" t="s">
        <v>1870</v>
      </c>
      <c r="D33" t="s">
        <v>1870</v>
      </c>
      <c r="E33" s="246" t="s">
        <v>285</v>
      </c>
      <c r="F33" s="7">
        <v>11</v>
      </c>
      <c r="G33" t="s">
        <v>1870</v>
      </c>
      <c r="H33" t="s">
        <v>287</v>
      </c>
      <c r="I33" s="7" t="s">
        <v>1489</v>
      </c>
      <c r="J33" t="s">
        <v>1870</v>
      </c>
      <c r="K33" t="s">
        <v>1870</v>
      </c>
      <c r="L33" s="7" t="s">
        <v>1489</v>
      </c>
      <c r="M33" s="7" t="s">
        <v>1489</v>
      </c>
      <c r="N33" t="s">
        <v>1870</v>
      </c>
      <c r="O33">
        <v>0</v>
      </c>
      <c r="Q33" s="3">
        <v>0</v>
      </c>
    </row>
    <row r="34" spans="1:17" x14ac:dyDescent="0.3">
      <c r="A34" s="249" t="s">
        <v>1870</v>
      </c>
      <c r="B34" s="246">
        <v>220</v>
      </c>
      <c r="C34" t="s">
        <v>1870</v>
      </c>
      <c r="D34" t="s">
        <v>1870</v>
      </c>
      <c r="E34" s="7" t="s">
        <v>53</v>
      </c>
      <c r="F34">
        <v>0</v>
      </c>
      <c r="G34" t="s">
        <v>1870</v>
      </c>
      <c r="H34" t="s">
        <v>305</v>
      </c>
      <c r="I34" s="7" t="s">
        <v>1489</v>
      </c>
      <c r="J34" t="s">
        <v>1870</v>
      </c>
      <c r="K34" t="s">
        <v>1870</v>
      </c>
      <c r="L34" s="7" t="s">
        <v>1489</v>
      </c>
      <c r="M34" s="7" t="s">
        <v>1489</v>
      </c>
      <c r="N34" t="s">
        <v>1870</v>
      </c>
      <c r="O34">
        <v>0</v>
      </c>
      <c r="Q34" s="3">
        <v>0</v>
      </c>
    </row>
    <row r="35" spans="1:17" x14ac:dyDescent="0.3">
      <c r="A35" s="249" t="s">
        <v>1870</v>
      </c>
      <c r="B35" s="246">
        <v>220</v>
      </c>
      <c r="C35" t="s">
        <v>1870</v>
      </c>
      <c r="D35" t="s">
        <v>1870</v>
      </c>
      <c r="E35" s="7" t="s">
        <v>53</v>
      </c>
      <c r="F35" s="7">
        <v>2</v>
      </c>
      <c r="G35" t="s">
        <v>1870</v>
      </c>
      <c r="H35" t="s">
        <v>307</v>
      </c>
      <c r="I35" t="s">
        <v>1489</v>
      </c>
      <c r="J35" t="s">
        <v>1870</v>
      </c>
      <c r="K35" t="s">
        <v>1870</v>
      </c>
      <c r="L35" t="s">
        <v>1489</v>
      </c>
      <c r="M35" t="s">
        <v>1489</v>
      </c>
      <c r="N35" t="s">
        <v>1870</v>
      </c>
      <c r="O35">
        <v>0</v>
      </c>
      <c r="Q35" s="3">
        <v>0</v>
      </c>
    </row>
    <row r="36" spans="1:17" x14ac:dyDescent="0.3">
      <c r="A36" s="249" t="s">
        <v>1870</v>
      </c>
      <c r="B36" s="246">
        <v>220</v>
      </c>
      <c r="C36" t="s">
        <v>1870</v>
      </c>
      <c r="D36" t="s">
        <v>1870</v>
      </c>
      <c r="E36" s="246" t="s">
        <v>5</v>
      </c>
      <c r="F36" s="7">
        <v>1</v>
      </c>
      <c r="G36" t="s">
        <v>1870</v>
      </c>
      <c r="H36" t="s">
        <v>311</v>
      </c>
      <c r="I36" s="7" t="s">
        <v>1489</v>
      </c>
      <c r="J36" t="s">
        <v>1870</v>
      </c>
      <c r="K36" t="s">
        <v>1870</v>
      </c>
      <c r="L36" s="7" t="s">
        <v>1489</v>
      </c>
      <c r="M36" s="7" t="s">
        <v>1489</v>
      </c>
      <c r="N36" t="s">
        <v>1870</v>
      </c>
      <c r="O36">
        <v>0</v>
      </c>
      <c r="Q36" s="3">
        <v>0</v>
      </c>
    </row>
    <row r="37" spans="1:17" x14ac:dyDescent="0.3">
      <c r="A37" s="249" t="s">
        <v>1870</v>
      </c>
      <c r="B37" s="246">
        <v>220</v>
      </c>
      <c r="C37" t="s">
        <v>1870</v>
      </c>
      <c r="D37" t="s">
        <v>1870</v>
      </c>
      <c r="E37" s="7" t="s">
        <v>99</v>
      </c>
      <c r="F37" s="7">
        <v>0</v>
      </c>
      <c r="G37" t="s">
        <v>1870</v>
      </c>
      <c r="H37" t="s">
        <v>313</v>
      </c>
      <c r="I37" t="s">
        <v>1489</v>
      </c>
      <c r="J37" t="s">
        <v>1870</v>
      </c>
      <c r="K37" t="s">
        <v>1870</v>
      </c>
      <c r="L37" t="s">
        <v>1489</v>
      </c>
      <c r="M37" t="s">
        <v>1489</v>
      </c>
      <c r="N37" t="s">
        <v>1870</v>
      </c>
      <c r="O37">
        <v>0</v>
      </c>
      <c r="Q37" s="3">
        <v>0</v>
      </c>
    </row>
    <row r="38" spans="1:17" x14ac:dyDescent="0.3">
      <c r="A38" s="249" t="s">
        <v>1870</v>
      </c>
      <c r="B38" s="246">
        <v>220</v>
      </c>
      <c r="C38" t="s">
        <v>1870</v>
      </c>
      <c r="D38" t="s">
        <v>1870</v>
      </c>
      <c r="E38" s="7" t="s">
        <v>99</v>
      </c>
      <c r="F38" s="7">
        <v>1</v>
      </c>
      <c r="G38" t="s">
        <v>1870</v>
      </c>
      <c r="H38" t="s">
        <v>315</v>
      </c>
      <c r="I38" t="s">
        <v>1489</v>
      </c>
      <c r="J38" t="s">
        <v>1870</v>
      </c>
      <c r="K38" t="s">
        <v>1870</v>
      </c>
      <c r="L38" t="s">
        <v>1489</v>
      </c>
      <c r="M38" t="s">
        <v>1489</v>
      </c>
      <c r="N38" t="s">
        <v>1870</v>
      </c>
      <c r="O38">
        <v>0</v>
      </c>
      <c r="Q38" s="3">
        <v>0</v>
      </c>
    </row>
    <row r="39" spans="1:17" x14ac:dyDescent="0.3">
      <c r="A39" s="249" t="s">
        <v>1870</v>
      </c>
      <c r="B39" s="246">
        <v>220</v>
      </c>
      <c r="C39" t="s">
        <v>1870</v>
      </c>
      <c r="D39" t="s">
        <v>1870</v>
      </c>
      <c r="E39" s="7" t="s">
        <v>6</v>
      </c>
      <c r="F39" s="7">
        <v>0</v>
      </c>
      <c r="G39" t="s">
        <v>1870</v>
      </c>
      <c r="H39" t="s">
        <v>317</v>
      </c>
      <c r="I39" t="s">
        <v>1489</v>
      </c>
      <c r="J39" t="s">
        <v>1870</v>
      </c>
      <c r="K39" t="s">
        <v>1870</v>
      </c>
      <c r="L39" t="s">
        <v>1489</v>
      </c>
      <c r="M39" t="s">
        <v>1489</v>
      </c>
      <c r="N39" t="s">
        <v>1870</v>
      </c>
      <c r="O39">
        <v>0</v>
      </c>
      <c r="Q39" s="3">
        <v>0</v>
      </c>
    </row>
    <row r="40" spans="1:17" x14ac:dyDescent="0.3">
      <c r="A40" s="249" t="s">
        <v>1870</v>
      </c>
      <c r="B40" s="246">
        <v>220</v>
      </c>
      <c r="C40" t="s">
        <v>1870</v>
      </c>
      <c r="D40" t="s">
        <v>1870</v>
      </c>
      <c r="E40" s="7" t="s">
        <v>6</v>
      </c>
      <c r="F40" s="7">
        <v>1</v>
      </c>
      <c r="G40" t="s">
        <v>1870</v>
      </c>
      <c r="H40" t="s">
        <v>319</v>
      </c>
      <c r="I40" t="s">
        <v>1489</v>
      </c>
      <c r="J40" t="s">
        <v>1870</v>
      </c>
      <c r="K40" t="s">
        <v>1870</v>
      </c>
      <c r="L40" t="s">
        <v>1489</v>
      </c>
      <c r="M40" t="s">
        <v>1489</v>
      </c>
      <c r="N40" t="s">
        <v>1870</v>
      </c>
      <c r="O40">
        <v>0</v>
      </c>
      <c r="Q40" s="3">
        <v>0</v>
      </c>
    </row>
    <row r="41" spans="1:17" x14ac:dyDescent="0.3">
      <c r="A41" s="249" t="s">
        <v>1870</v>
      </c>
      <c r="B41" s="246">
        <v>220</v>
      </c>
      <c r="C41" t="s">
        <v>1870</v>
      </c>
      <c r="D41" t="s">
        <v>1870</v>
      </c>
      <c r="E41" s="7" t="s">
        <v>6</v>
      </c>
      <c r="F41" s="7">
        <v>2</v>
      </c>
      <c r="G41" t="s">
        <v>1870</v>
      </c>
      <c r="H41" t="s">
        <v>321</v>
      </c>
      <c r="I41" t="s">
        <v>1489</v>
      </c>
      <c r="J41" t="s">
        <v>1870</v>
      </c>
      <c r="K41" t="s">
        <v>1870</v>
      </c>
      <c r="L41" t="s">
        <v>1489</v>
      </c>
      <c r="M41" t="s">
        <v>1489</v>
      </c>
      <c r="N41" t="s">
        <v>1870</v>
      </c>
      <c r="O41">
        <v>0</v>
      </c>
      <c r="Q41" s="3">
        <v>0</v>
      </c>
    </row>
    <row r="42" spans="1:17" x14ac:dyDescent="0.3">
      <c r="A42" s="249" t="s">
        <v>1870</v>
      </c>
      <c r="B42" s="246">
        <v>220</v>
      </c>
      <c r="C42" t="s">
        <v>1870</v>
      </c>
      <c r="D42" t="s">
        <v>1870</v>
      </c>
      <c r="E42" s="7" t="s">
        <v>326</v>
      </c>
      <c r="F42">
        <v>0</v>
      </c>
      <c r="G42" t="s">
        <v>1870</v>
      </c>
      <c r="H42" t="s">
        <v>325</v>
      </c>
      <c r="I42" s="7" t="s">
        <v>1489</v>
      </c>
      <c r="J42" t="s">
        <v>1870</v>
      </c>
      <c r="K42" t="s">
        <v>1870</v>
      </c>
      <c r="L42" s="7" t="s">
        <v>1489</v>
      </c>
      <c r="M42" s="7" t="s">
        <v>1489</v>
      </c>
      <c r="N42" t="s">
        <v>1870</v>
      </c>
      <c r="O42">
        <v>0</v>
      </c>
      <c r="Q42" s="3">
        <v>0</v>
      </c>
    </row>
    <row r="43" spans="1:17" x14ac:dyDescent="0.3">
      <c r="A43" s="249" t="s">
        <v>1870</v>
      </c>
      <c r="B43" s="246">
        <v>220</v>
      </c>
      <c r="C43" t="s">
        <v>1870</v>
      </c>
      <c r="D43" t="s">
        <v>1870</v>
      </c>
      <c r="E43" s="7" t="s">
        <v>329</v>
      </c>
      <c r="F43">
        <v>0</v>
      </c>
      <c r="G43" t="s">
        <v>1870</v>
      </c>
      <c r="H43" t="s">
        <v>328</v>
      </c>
      <c r="I43" t="s">
        <v>1489</v>
      </c>
      <c r="J43" t="s">
        <v>1870</v>
      </c>
      <c r="K43" t="s">
        <v>1870</v>
      </c>
      <c r="L43" t="s">
        <v>1489</v>
      </c>
      <c r="M43" t="s">
        <v>1489</v>
      </c>
      <c r="N43" t="s">
        <v>1870</v>
      </c>
      <c r="O43">
        <v>0</v>
      </c>
      <c r="Q43" s="3">
        <v>0</v>
      </c>
    </row>
    <row r="44" spans="1:17" x14ac:dyDescent="0.3">
      <c r="A44" s="249" t="s">
        <v>1870</v>
      </c>
      <c r="B44" s="246">
        <v>220</v>
      </c>
      <c r="C44" t="s">
        <v>1870</v>
      </c>
      <c r="D44" t="s">
        <v>1870</v>
      </c>
      <c r="E44" s="7" t="s">
        <v>332</v>
      </c>
      <c r="F44">
        <v>0</v>
      </c>
      <c r="G44" t="s">
        <v>1870</v>
      </c>
      <c r="H44" t="s">
        <v>331</v>
      </c>
      <c r="I44" t="s">
        <v>1489</v>
      </c>
      <c r="J44" t="s">
        <v>1870</v>
      </c>
      <c r="K44" t="s">
        <v>1870</v>
      </c>
      <c r="L44" t="s">
        <v>1489</v>
      </c>
      <c r="M44" t="s">
        <v>1489</v>
      </c>
      <c r="N44" t="s">
        <v>1870</v>
      </c>
      <c r="O44">
        <v>0</v>
      </c>
      <c r="Q44" s="3">
        <v>0</v>
      </c>
    </row>
    <row r="45" spans="1:17" x14ac:dyDescent="0.3">
      <c r="A45" s="249" t="s">
        <v>1870</v>
      </c>
      <c r="B45" s="246">
        <v>220</v>
      </c>
      <c r="C45" t="s">
        <v>1870</v>
      </c>
      <c r="D45" t="s">
        <v>1870</v>
      </c>
      <c r="E45" s="7" t="s">
        <v>335</v>
      </c>
      <c r="F45">
        <v>0</v>
      </c>
      <c r="G45" t="s">
        <v>1870</v>
      </c>
      <c r="H45" t="s">
        <v>334</v>
      </c>
      <c r="I45" t="s">
        <v>1489</v>
      </c>
      <c r="J45" t="s">
        <v>1870</v>
      </c>
      <c r="K45" t="s">
        <v>1870</v>
      </c>
      <c r="L45" t="s">
        <v>1489</v>
      </c>
      <c r="M45" t="s">
        <v>1489</v>
      </c>
      <c r="N45" t="s">
        <v>1870</v>
      </c>
      <c r="O45">
        <v>0</v>
      </c>
      <c r="Q45" s="3">
        <v>0</v>
      </c>
    </row>
    <row r="46" spans="1:17" x14ac:dyDescent="0.3">
      <c r="A46" s="249" t="s">
        <v>1870</v>
      </c>
      <c r="B46" s="246">
        <v>220</v>
      </c>
      <c r="C46" t="s">
        <v>1870</v>
      </c>
      <c r="D46" t="s">
        <v>1870</v>
      </c>
      <c r="E46" s="7" t="s">
        <v>272</v>
      </c>
      <c r="F46">
        <v>0</v>
      </c>
      <c r="G46" t="s">
        <v>1870</v>
      </c>
      <c r="H46" t="s">
        <v>340</v>
      </c>
      <c r="I46" s="7" t="s">
        <v>1489</v>
      </c>
      <c r="J46" t="s">
        <v>1870</v>
      </c>
      <c r="K46" t="s">
        <v>1870</v>
      </c>
      <c r="L46" s="7" t="s">
        <v>1489</v>
      </c>
      <c r="M46" s="7" t="s">
        <v>1489</v>
      </c>
      <c r="N46" t="s">
        <v>1870</v>
      </c>
      <c r="O46">
        <v>0</v>
      </c>
      <c r="Q46" s="3">
        <v>0</v>
      </c>
    </row>
    <row r="47" spans="1:17" x14ac:dyDescent="0.3">
      <c r="A47" s="249" t="s">
        <v>1870</v>
      </c>
      <c r="B47" s="246">
        <v>220</v>
      </c>
      <c r="C47" t="s">
        <v>1870</v>
      </c>
      <c r="D47" t="s">
        <v>1870</v>
      </c>
      <c r="E47" s="7" t="s">
        <v>175</v>
      </c>
      <c r="F47">
        <v>0</v>
      </c>
      <c r="G47" t="s">
        <v>1870</v>
      </c>
      <c r="H47" t="s">
        <v>342</v>
      </c>
      <c r="I47" t="s">
        <v>1489</v>
      </c>
      <c r="J47" t="s">
        <v>1870</v>
      </c>
      <c r="K47" t="s">
        <v>1870</v>
      </c>
      <c r="L47" t="s">
        <v>1489</v>
      </c>
      <c r="M47" t="s">
        <v>1489</v>
      </c>
      <c r="N47" t="s">
        <v>1870</v>
      </c>
      <c r="O47">
        <v>0</v>
      </c>
      <c r="Q47" s="3">
        <v>0</v>
      </c>
    </row>
    <row r="48" spans="1:17" x14ac:dyDescent="0.3">
      <c r="A48" s="249" t="s">
        <v>1870</v>
      </c>
      <c r="B48" s="246">
        <v>220</v>
      </c>
      <c r="C48" t="s">
        <v>1870</v>
      </c>
      <c r="D48" t="s">
        <v>1870</v>
      </c>
      <c r="E48" s="246" t="s">
        <v>345</v>
      </c>
      <c r="F48">
        <v>0</v>
      </c>
      <c r="G48" t="s">
        <v>1870</v>
      </c>
      <c r="H48" t="s">
        <v>344</v>
      </c>
      <c r="I48" t="s">
        <v>1489</v>
      </c>
      <c r="J48" t="s">
        <v>1870</v>
      </c>
      <c r="K48" t="s">
        <v>1870</v>
      </c>
      <c r="L48" t="s">
        <v>1489</v>
      </c>
      <c r="M48" t="s">
        <v>1489</v>
      </c>
      <c r="N48" t="s">
        <v>1870</v>
      </c>
      <c r="O48">
        <v>0</v>
      </c>
      <c r="Q48" s="3">
        <v>0</v>
      </c>
    </row>
    <row r="49" spans="1:17" x14ac:dyDescent="0.3">
      <c r="A49" s="249" t="s">
        <v>1870</v>
      </c>
      <c r="B49" s="246">
        <v>220</v>
      </c>
      <c r="C49" t="s">
        <v>1870</v>
      </c>
      <c r="D49" t="s">
        <v>1870</v>
      </c>
      <c r="E49" s="246" t="s">
        <v>345</v>
      </c>
      <c r="F49" s="7">
        <v>2</v>
      </c>
      <c r="G49" t="s">
        <v>1870</v>
      </c>
      <c r="H49" t="s">
        <v>349</v>
      </c>
      <c r="I49" s="7" t="s">
        <v>1489</v>
      </c>
      <c r="J49" t="s">
        <v>1870</v>
      </c>
      <c r="K49" t="s">
        <v>1870</v>
      </c>
      <c r="L49" s="7" t="s">
        <v>1489</v>
      </c>
      <c r="M49" s="7" t="s">
        <v>1489</v>
      </c>
      <c r="N49" t="s">
        <v>1870</v>
      </c>
      <c r="O49">
        <v>0</v>
      </c>
      <c r="Q49" s="3">
        <v>0</v>
      </c>
    </row>
    <row r="50" spans="1:17" x14ac:dyDescent="0.3">
      <c r="A50" s="249" t="s">
        <v>1870</v>
      </c>
      <c r="B50" s="246">
        <v>220</v>
      </c>
      <c r="C50" t="s">
        <v>1870</v>
      </c>
      <c r="D50" t="s">
        <v>1870</v>
      </c>
      <c r="E50" s="7" t="s">
        <v>351</v>
      </c>
      <c r="F50" s="7">
        <v>0</v>
      </c>
      <c r="G50" t="s">
        <v>1870</v>
      </c>
      <c r="H50" t="s">
        <v>60</v>
      </c>
      <c r="I50" t="s">
        <v>1489</v>
      </c>
      <c r="J50" t="s">
        <v>1870</v>
      </c>
      <c r="K50" t="s">
        <v>1870</v>
      </c>
      <c r="L50" t="s">
        <v>1489</v>
      </c>
      <c r="M50" t="s">
        <v>1489</v>
      </c>
      <c r="N50" t="s">
        <v>1870</v>
      </c>
      <c r="O50">
        <v>0</v>
      </c>
      <c r="Q50" s="3">
        <v>0</v>
      </c>
    </row>
    <row r="51" spans="1:17" x14ac:dyDescent="0.3">
      <c r="A51" s="249" t="s">
        <v>1870</v>
      </c>
      <c r="B51" s="246">
        <v>220</v>
      </c>
      <c r="C51" t="s">
        <v>1870</v>
      </c>
      <c r="D51" t="s">
        <v>1870</v>
      </c>
      <c r="E51" s="7" t="s">
        <v>64</v>
      </c>
      <c r="F51">
        <v>0</v>
      </c>
      <c r="G51" t="s">
        <v>1870</v>
      </c>
      <c r="H51" t="s">
        <v>353</v>
      </c>
      <c r="I51" t="s">
        <v>1489</v>
      </c>
      <c r="J51" t="s">
        <v>1870</v>
      </c>
      <c r="K51" t="s">
        <v>1870</v>
      </c>
      <c r="L51" t="s">
        <v>1489</v>
      </c>
      <c r="M51" t="s">
        <v>1489</v>
      </c>
      <c r="N51" t="s">
        <v>1870</v>
      </c>
      <c r="O51">
        <v>0</v>
      </c>
      <c r="Q51" s="3">
        <v>0</v>
      </c>
    </row>
    <row r="52" spans="1:17" x14ac:dyDescent="0.3">
      <c r="A52" s="249" t="s">
        <v>1870</v>
      </c>
      <c r="B52" s="246">
        <v>220</v>
      </c>
      <c r="C52" t="s">
        <v>1870</v>
      </c>
      <c r="D52" t="s">
        <v>1870</v>
      </c>
      <c r="E52" s="7" t="s">
        <v>67</v>
      </c>
      <c r="F52" s="7">
        <v>2</v>
      </c>
      <c r="G52" t="s">
        <v>1870</v>
      </c>
      <c r="H52" t="s">
        <v>355</v>
      </c>
      <c r="I52" t="s">
        <v>1489</v>
      </c>
      <c r="J52" t="s">
        <v>1870</v>
      </c>
      <c r="K52" t="s">
        <v>1870</v>
      </c>
      <c r="L52" t="s">
        <v>1489</v>
      </c>
      <c r="M52" t="s">
        <v>1489</v>
      </c>
      <c r="N52" t="s">
        <v>1870</v>
      </c>
      <c r="O52">
        <v>0</v>
      </c>
      <c r="Q52" s="3">
        <v>0</v>
      </c>
    </row>
    <row r="53" spans="1:17" x14ac:dyDescent="0.3">
      <c r="A53" s="249" t="s">
        <v>1870</v>
      </c>
      <c r="B53" s="7">
        <v>230</v>
      </c>
      <c r="C53" t="s">
        <v>1870</v>
      </c>
      <c r="D53" t="s">
        <v>1870</v>
      </c>
      <c r="E53" s="7" t="s">
        <v>53</v>
      </c>
      <c r="F53" s="7">
        <v>0</v>
      </c>
      <c r="G53" t="s">
        <v>1870</v>
      </c>
      <c r="H53" t="s">
        <v>358</v>
      </c>
      <c r="I53" t="s">
        <v>1489</v>
      </c>
      <c r="J53" t="s">
        <v>1870</v>
      </c>
      <c r="K53" t="s">
        <v>1870</v>
      </c>
      <c r="L53" t="s">
        <v>1489</v>
      </c>
      <c r="M53" t="s">
        <v>1489</v>
      </c>
      <c r="N53" t="s">
        <v>1870</v>
      </c>
      <c r="O53">
        <v>0</v>
      </c>
      <c r="Q53" s="3">
        <v>0</v>
      </c>
    </row>
    <row r="54" spans="1:17" x14ac:dyDescent="0.3">
      <c r="A54" s="249" t="s">
        <v>1870</v>
      </c>
      <c r="B54" s="7">
        <v>230</v>
      </c>
      <c r="C54" t="s">
        <v>1870</v>
      </c>
      <c r="D54" t="s">
        <v>1870</v>
      </c>
      <c r="E54" s="7" t="s">
        <v>53</v>
      </c>
      <c r="F54" s="7">
        <v>1</v>
      </c>
      <c r="G54" t="s">
        <v>1870</v>
      </c>
      <c r="H54" t="s">
        <v>360</v>
      </c>
      <c r="I54" t="s">
        <v>1489</v>
      </c>
      <c r="J54" t="s">
        <v>1870</v>
      </c>
      <c r="K54" t="s">
        <v>1870</v>
      </c>
      <c r="L54" t="s">
        <v>1489</v>
      </c>
      <c r="M54" t="s">
        <v>1489</v>
      </c>
      <c r="N54" t="s">
        <v>1870</v>
      </c>
      <c r="O54">
        <v>0</v>
      </c>
      <c r="Q54" s="3">
        <v>0</v>
      </c>
    </row>
    <row r="55" spans="1:17" x14ac:dyDescent="0.3">
      <c r="A55" s="249" t="s">
        <v>1870</v>
      </c>
      <c r="B55" s="7">
        <v>230</v>
      </c>
      <c r="C55" t="s">
        <v>1870</v>
      </c>
      <c r="D55" t="s">
        <v>1870</v>
      </c>
      <c r="E55" s="7" t="s">
        <v>53</v>
      </c>
      <c r="F55" s="7">
        <v>2</v>
      </c>
      <c r="G55" t="s">
        <v>1870</v>
      </c>
      <c r="H55" t="s">
        <v>362</v>
      </c>
      <c r="I55" t="s">
        <v>1489</v>
      </c>
      <c r="J55" t="s">
        <v>1870</v>
      </c>
      <c r="K55" t="s">
        <v>1870</v>
      </c>
      <c r="L55" t="s">
        <v>1489</v>
      </c>
      <c r="M55" t="s">
        <v>1489</v>
      </c>
      <c r="N55" t="s">
        <v>1870</v>
      </c>
      <c r="O55">
        <v>0</v>
      </c>
      <c r="Q55" s="3">
        <v>0</v>
      </c>
    </row>
    <row r="56" spans="1:17" x14ac:dyDescent="0.3">
      <c r="A56" s="249" t="s">
        <v>1870</v>
      </c>
      <c r="B56" s="7">
        <v>230</v>
      </c>
      <c r="C56" t="s">
        <v>1870</v>
      </c>
      <c r="D56" t="s">
        <v>1870</v>
      </c>
      <c r="E56" s="7" t="s">
        <v>164</v>
      </c>
      <c r="F56" s="7">
        <v>0</v>
      </c>
      <c r="G56" t="s">
        <v>1870</v>
      </c>
      <c r="H56" t="s">
        <v>364</v>
      </c>
      <c r="I56" t="s">
        <v>1489</v>
      </c>
      <c r="J56" t="s">
        <v>1870</v>
      </c>
      <c r="K56" t="s">
        <v>1870</v>
      </c>
      <c r="L56" t="s">
        <v>1489</v>
      </c>
      <c r="M56" t="s">
        <v>1489</v>
      </c>
      <c r="N56" t="s">
        <v>1870</v>
      </c>
      <c r="O56">
        <v>0</v>
      </c>
      <c r="Q56" s="3">
        <v>0</v>
      </c>
    </row>
    <row r="57" spans="1:17" x14ac:dyDescent="0.3">
      <c r="A57" s="249" t="s">
        <v>1870</v>
      </c>
      <c r="B57" s="7">
        <v>230</v>
      </c>
      <c r="C57" t="s">
        <v>1870</v>
      </c>
      <c r="D57" t="s">
        <v>1870</v>
      </c>
      <c r="E57" s="7" t="s">
        <v>96</v>
      </c>
      <c r="F57">
        <v>0</v>
      </c>
      <c r="G57" t="s">
        <v>1870</v>
      </c>
      <c r="H57" t="s">
        <v>366</v>
      </c>
      <c r="I57" t="s">
        <v>1489</v>
      </c>
      <c r="J57" t="s">
        <v>1870</v>
      </c>
      <c r="K57" t="s">
        <v>1870</v>
      </c>
      <c r="L57" t="s">
        <v>1489</v>
      </c>
      <c r="M57" t="s">
        <v>1489</v>
      </c>
      <c r="N57" t="s">
        <v>1870</v>
      </c>
      <c r="O57">
        <v>0</v>
      </c>
      <c r="Q57" s="3">
        <v>0</v>
      </c>
    </row>
    <row r="58" spans="1:17" x14ac:dyDescent="0.3">
      <c r="A58" s="249" t="s">
        <v>1870</v>
      </c>
      <c r="B58" s="7">
        <v>230</v>
      </c>
      <c r="C58" t="s">
        <v>1870</v>
      </c>
      <c r="D58" t="s">
        <v>1870</v>
      </c>
      <c r="E58" s="7" t="s">
        <v>6</v>
      </c>
      <c r="F58">
        <v>0</v>
      </c>
      <c r="G58" t="s">
        <v>1870</v>
      </c>
      <c r="H58" t="s">
        <v>368</v>
      </c>
      <c r="I58" t="s">
        <v>1489</v>
      </c>
      <c r="J58" t="s">
        <v>1870</v>
      </c>
      <c r="K58" t="s">
        <v>1870</v>
      </c>
      <c r="L58" t="s">
        <v>1489</v>
      </c>
      <c r="M58" t="s">
        <v>1489</v>
      </c>
      <c r="N58" t="s">
        <v>1870</v>
      </c>
      <c r="O58">
        <v>0</v>
      </c>
      <c r="Q58" s="3">
        <v>0</v>
      </c>
    </row>
    <row r="59" spans="1:17" x14ac:dyDescent="0.3">
      <c r="A59" s="249" t="s">
        <v>1870</v>
      </c>
      <c r="B59" s="7">
        <v>230</v>
      </c>
      <c r="C59" t="s">
        <v>1870</v>
      </c>
      <c r="D59" t="s">
        <v>1870</v>
      </c>
      <c r="E59" s="7" t="s">
        <v>6</v>
      </c>
      <c r="F59" s="7">
        <v>8</v>
      </c>
      <c r="G59" t="s">
        <v>1870</v>
      </c>
      <c r="H59" t="s">
        <v>370</v>
      </c>
      <c r="I59" t="s">
        <v>1489</v>
      </c>
      <c r="J59" t="s">
        <v>1870</v>
      </c>
      <c r="K59" t="s">
        <v>1870</v>
      </c>
      <c r="L59" t="s">
        <v>1489</v>
      </c>
      <c r="M59" t="s">
        <v>1489</v>
      </c>
      <c r="N59" t="s">
        <v>1870</v>
      </c>
      <c r="O59">
        <v>0</v>
      </c>
      <c r="Q59" s="3">
        <v>0</v>
      </c>
    </row>
    <row r="60" spans="1:17" x14ac:dyDescent="0.3">
      <c r="A60" s="249" t="s">
        <v>1870</v>
      </c>
      <c r="B60" s="7">
        <v>230</v>
      </c>
      <c r="C60" t="s">
        <v>1870</v>
      </c>
      <c r="D60" t="s">
        <v>1870</v>
      </c>
      <c r="E60" s="7" t="s">
        <v>6</v>
      </c>
      <c r="F60" s="7">
        <v>9</v>
      </c>
      <c r="G60" t="s">
        <v>1870</v>
      </c>
      <c r="H60" t="s">
        <v>372</v>
      </c>
      <c r="I60" t="s">
        <v>1489</v>
      </c>
      <c r="J60" t="s">
        <v>1870</v>
      </c>
      <c r="K60" t="s">
        <v>1870</v>
      </c>
      <c r="L60" t="s">
        <v>1489</v>
      </c>
      <c r="M60" t="s">
        <v>1489</v>
      </c>
      <c r="N60" t="s">
        <v>1870</v>
      </c>
      <c r="O60">
        <v>0</v>
      </c>
      <c r="Q60" s="3">
        <v>0</v>
      </c>
    </row>
    <row r="61" spans="1:17" x14ac:dyDescent="0.3">
      <c r="A61" s="249" t="s">
        <v>1870</v>
      </c>
      <c r="B61" s="7">
        <v>230</v>
      </c>
      <c r="C61" t="s">
        <v>1870</v>
      </c>
      <c r="D61" t="s">
        <v>1870</v>
      </c>
      <c r="E61" s="7" t="s">
        <v>329</v>
      </c>
      <c r="F61" s="7">
        <v>0</v>
      </c>
      <c r="G61" t="s">
        <v>1870</v>
      </c>
      <c r="H61" t="s">
        <v>374</v>
      </c>
      <c r="I61" t="s">
        <v>1489</v>
      </c>
      <c r="J61" t="s">
        <v>1870</v>
      </c>
      <c r="K61" t="s">
        <v>1870</v>
      </c>
      <c r="L61" t="s">
        <v>1489</v>
      </c>
      <c r="M61" t="s">
        <v>1489</v>
      </c>
      <c r="N61" t="s">
        <v>1870</v>
      </c>
      <c r="O61">
        <v>0</v>
      </c>
      <c r="Q61" s="3">
        <v>0</v>
      </c>
    </row>
    <row r="62" spans="1:17" x14ac:dyDescent="0.3">
      <c r="A62" s="249" t="s">
        <v>1870</v>
      </c>
      <c r="B62" s="7">
        <v>230</v>
      </c>
      <c r="C62" t="s">
        <v>1870</v>
      </c>
      <c r="D62" t="s">
        <v>1870</v>
      </c>
      <c r="E62" s="7" t="s">
        <v>61</v>
      </c>
      <c r="F62" s="7">
        <v>1</v>
      </c>
      <c r="G62" t="s">
        <v>1870</v>
      </c>
      <c r="H62" t="s">
        <v>376</v>
      </c>
      <c r="I62" t="s">
        <v>1489</v>
      </c>
      <c r="J62" t="s">
        <v>1870</v>
      </c>
      <c r="K62" t="s">
        <v>1870</v>
      </c>
      <c r="L62" t="s">
        <v>1489</v>
      </c>
      <c r="M62" t="s">
        <v>1489</v>
      </c>
      <c r="N62" t="s">
        <v>1870</v>
      </c>
      <c r="O62">
        <v>0</v>
      </c>
      <c r="Q62" s="3">
        <v>0</v>
      </c>
    </row>
    <row r="63" spans="1:17" x14ac:dyDescent="0.3">
      <c r="A63" s="249" t="s">
        <v>1870</v>
      </c>
      <c r="B63" s="7">
        <v>230</v>
      </c>
      <c r="C63" t="s">
        <v>1870</v>
      </c>
      <c r="D63" t="s">
        <v>1870</v>
      </c>
      <c r="E63" s="7" t="s">
        <v>64</v>
      </c>
      <c r="F63" s="7">
        <v>0</v>
      </c>
      <c r="G63" t="s">
        <v>1870</v>
      </c>
      <c r="H63" t="s">
        <v>378</v>
      </c>
      <c r="I63" t="s">
        <v>1489</v>
      </c>
      <c r="J63" t="s">
        <v>1870</v>
      </c>
      <c r="K63" t="s">
        <v>1870</v>
      </c>
      <c r="L63" t="s">
        <v>1489</v>
      </c>
      <c r="M63" t="s">
        <v>1489</v>
      </c>
      <c r="N63" t="s">
        <v>1870</v>
      </c>
      <c r="O63">
        <v>0</v>
      </c>
      <c r="Q63" s="3">
        <v>0</v>
      </c>
    </row>
    <row r="64" spans="1:17" x14ac:dyDescent="0.3">
      <c r="A64" s="249" t="s">
        <v>1870</v>
      </c>
      <c r="B64" s="246">
        <v>310</v>
      </c>
      <c r="C64" t="s">
        <v>1870</v>
      </c>
      <c r="D64" t="s">
        <v>1870</v>
      </c>
      <c r="E64" s="7" t="s">
        <v>25</v>
      </c>
      <c r="F64">
        <v>0</v>
      </c>
      <c r="G64" t="s">
        <v>1870</v>
      </c>
      <c r="H64" t="s">
        <v>381</v>
      </c>
      <c r="I64" t="s">
        <v>1489</v>
      </c>
      <c r="J64" t="s">
        <v>1870</v>
      </c>
      <c r="K64" t="s">
        <v>1870</v>
      </c>
      <c r="L64" t="s">
        <v>1489</v>
      </c>
      <c r="M64" t="s">
        <v>1489</v>
      </c>
      <c r="N64" t="s">
        <v>1870</v>
      </c>
      <c r="O64">
        <v>0</v>
      </c>
      <c r="Q64" s="3">
        <v>0</v>
      </c>
    </row>
    <row r="65" spans="1:17" x14ac:dyDescent="0.3">
      <c r="A65" s="249" t="s">
        <v>1870</v>
      </c>
      <c r="B65" s="246">
        <v>310</v>
      </c>
      <c r="C65" t="s">
        <v>1870</v>
      </c>
      <c r="D65" t="s">
        <v>1870</v>
      </c>
      <c r="E65" s="7" t="s">
        <v>131</v>
      </c>
      <c r="F65">
        <v>0</v>
      </c>
      <c r="G65" t="s">
        <v>1870</v>
      </c>
      <c r="H65" t="s">
        <v>383</v>
      </c>
      <c r="I65" t="s">
        <v>1489</v>
      </c>
      <c r="J65" t="s">
        <v>1870</v>
      </c>
      <c r="K65" t="s">
        <v>1870</v>
      </c>
      <c r="L65" t="s">
        <v>1489</v>
      </c>
      <c r="M65" t="s">
        <v>1489</v>
      </c>
      <c r="N65" t="s">
        <v>1870</v>
      </c>
      <c r="O65">
        <v>0</v>
      </c>
      <c r="Q65" s="3">
        <v>0</v>
      </c>
    </row>
    <row r="66" spans="1:17" x14ac:dyDescent="0.3">
      <c r="A66" s="249" t="s">
        <v>1870</v>
      </c>
      <c r="B66" s="246">
        <v>310</v>
      </c>
      <c r="C66" t="s">
        <v>1870</v>
      </c>
      <c r="D66" t="s">
        <v>1870</v>
      </c>
      <c r="E66" s="7" t="s">
        <v>131</v>
      </c>
      <c r="F66" s="7">
        <v>1</v>
      </c>
      <c r="G66" t="s">
        <v>1870</v>
      </c>
      <c r="H66" t="s">
        <v>385</v>
      </c>
      <c r="I66" t="s">
        <v>1489</v>
      </c>
      <c r="J66" t="s">
        <v>1870</v>
      </c>
      <c r="K66" t="s">
        <v>1870</v>
      </c>
      <c r="L66" t="s">
        <v>1489</v>
      </c>
      <c r="M66" t="s">
        <v>1489</v>
      </c>
      <c r="N66" t="s">
        <v>1870</v>
      </c>
      <c r="O66">
        <v>0</v>
      </c>
      <c r="Q66" s="3">
        <v>0</v>
      </c>
    </row>
    <row r="67" spans="1:17" x14ac:dyDescent="0.3">
      <c r="A67" s="249" t="s">
        <v>1870</v>
      </c>
      <c r="B67" s="246">
        <v>310</v>
      </c>
      <c r="C67" t="s">
        <v>1870</v>
      </c>
      <c r="D67" t="s">
        <v>1870</v>
      </c>
      <c r="E67" s="7" t="s">
        <v>131</v>
      </c>
      <c r="F67" s="7">
        <v>2</v>
      </c>
      <c r="G67" t="s">
        <v>1870</v>
      </c>
      <c r="H67" t="s">
        <v>387</v>
      </c>
      <c r="I67" t="s">
        <v>1489</v>
      </c>
      <c r="J67" t="s">
        <v>1870</v>
      </c>
      <c r="K67" t="s">
        <v>1870</v>
      </c>
      <c r="L67" t="s">
        <v>1489</v>
      </c>
      <c r="M67" t="s">
        <v>1489</v>
      </c>
      <c r="N67" t="s">
        <v>1870</v>
      </c>
      <c r="O67">
        <v>0</v>
      </c>
      <c r="Q67" s="3">
        <v>0</v>
      </c>
    </row>
    <row r="68" spans="1:17" x14ac:dyDescent="0.3">
      <c r="A68" s="249" t="s">
        <v>1870</v>
      </c>
      <c r="B68" s="246">
        <v>310</v>
      </c>
      <c r="C68" t="s">
        <v>1870</v>
      </c>
      <c r="D68" t="s">
        <v>1870</v>
      </c>
      <c r="E68" s="7" t="s">
        <v>48</v>
      </c>
      <c r="F68" s="7">
        <v>0</v>
      </c>
      <c r="G68" t="s">
        <v>1870</v>
      </c>
      <c r="H68" t="s">
        <v>389</v>
      </c>
      <c r="I68" t="s">
        <v>1489</v>
      </c>
      <c r="J68" t="s">
        <v>1870</v>
      </c>
      <c r="K68" t="s">
        <v>1870</v>
      </c>
      <c r="L68" t="s">
        <v>1489</v>
      </c>
      <c r="M68" t="s">
        <v>1489</v>
      </c>
      <c r="N68" t="s">
        <v>1870</v>
      </c>
      <c r="O68">
        <v>0</v>
      </c>
      <c r="Q68" s="3">
        <v>0</v>
      </c>
    </row>
    <row r="69" spans="1:17" x14ac:dyDescent="0.3">
      <c r="A69" s="249" t="s">
        <v>1870</v>
      </c>
      <c r="B69" s="246">
        <v>310</v>
      </c>
      <c r="C69" t="s">
        <v>1870</v>
      </c>
      <c r="D69" t="s">
        <v>1870</v>
      </c>
      <c r="E69" s="7" t="s">
        <v>6</v>
      </c>
      <c r="F69">
        <v>0</v>
      </c>
      <c r="G69" t="s">
        <v>1870</v>
      </c>
      <c r="H69" t="s">
        <v>393</v>
      </c>
      <c r="I69" s="7" t="s">
        <v>1489</v>
      </c>
      <c r="J69" t="s">
        <v>1870</v>
      </c>
      <c r="K69" t="s">
        <v>1870</v>
      </c>
      <c r="L69" s="7" t="s">
        <v>1489</v>
      </c>
      <c r="M69" s="7" t="s">
        <v>1489</v>
      </c>
      <c r="N69" t="s">
        <v>1870</v>
      </c>
      <c r="O69">
        <v>0</v>
      </c>
      <c r="Q69" s="3">
        <v>0</v>
      </c>
    </row>
    <row r="70" spans="1:17" x14ac:dyDescent="0.3">
      <c r="A70" s="249" t="s">
        <v>1870</v>
      </c>
      <c r="B70" s="246">
        <v>310</v>
      </c>
      <c r="C70" t="s">
        <v>1870</v>
      </c>
      <c r="D70" t="s">
        <v>1870</v>
      </c>
      <c r="E70" s="7" t="s">
        <v>6</v>
      </c>
      <c r="F70" s="7">
        <v>1</v>
      </c>
      <c r="G70" t="s">
        <v>1870</v>
      </c>
      <c r="H70" t="s">
        <v>395</v>
      </c>
      <c r="I70" t="s">
        <v>1489</v>
      </c>
      <c r="J70" t="s">
        <v>1870</v>
      </c>
      <c r="K70" t="s">
        <v>1870</v>
      </c>
      <c r="L70" t="s">
        <v>1489</v>
      </c>
      <c r="M70" t="s">
        <v>1489</v>
      </c>
      <c r="N70" t="s">
        <v>1870</v>
      </c>
      <c r="O70">
        <v>0</v>
      </c>
      <c r="Q70" s="3">
        <v>0</v>
      </c>
    </row>
    <row r="71" spans="1:17" x14ac:dyDescent="0.3">
      <c r="A71" s="249" t="s">
        <v>1870</v>
      </c>
      <c r="B71" s="246">
        <v>310</v>
      </c>
      <c r="C71" t="s">
        <v>1870</v>
      </c>
      <c r="D71" t="s">
        <v>1870</v>
      </c>
      <c r="E71" s="246" t="s">
        <v>329</v>
      </c>
      <c r="F71" s="7">
        <v>1</v>
      </c>
      <c r="G71" t="s">
        <v>1870</v>
      </c>
      <c r="H71" t="s">
        <v>401</v>
      </c>
      <c r="I71" s="7" t="s">
        <v>1489</v>
      </c>
      <c r="J71" t="s">
        <v>1870</v>
      </c>
      <c r="K71" t="s">
        <v>1870</v>
      </c>
      <c r="L71" s="7" t="s">
        <v>1489</v>
      </c>
      <c r="M71" s="7" t="s">
        <v>1489</v>
      </c>
      <c r="N71" t="s">
        <v>1870</v>
      </c>
      <c r="O71">
        <v>0</v>
      </c>
      <c r="Q71" s="3">
        <v>0</v>
      </c>
    </row>
    <row r="72" spans="1:17" x14ac:dyDescent="0.3">
      <c r="A72" s="249" t="s">
        <v>1870</v>
      </c>
      <c r="B72" s="246">
        <v>310</v>
      </c>
      <c r="C72" t="s">
        <v>1870</v>
      </c>
      <c r="D72" t="s">
        <v>1870</v>
      </c>
      <c r="E72" s="7" t="s">
        <v>335</v>
      </c>
      <c r="F72" s="7">
        <v>0</v>
      </c>
      <c r="G72" t="s">
        <v>1870</v>
      </c>
      <c r="H72" t="s">
        <v>403</v>
      </c>
      <c r="I72" t="s">
        <v>1489</v>
      </c>
      <c r="J72" t="s">
        <v>1870</v>
      </c>
      <c r="K72" t="s">
        <v>1870</v>
      </c>
      <c r="L72" t="s">
        <v>1489</v>
      </c>
      <c r="M72" t="s">
        <v>1489</v>
      </c>
      <c r="N72" t="s">
        <v>1870</v>
      </c>
      <c r="O72">
        <v>0</v>
      </c>
      <c r="Q72" s="3">
        <v>0</v>
      </c>
    </row>
    <row r="73" spans="1:17" x14ac:dyDescent="0.3">
      <c r="A73" s="249" t="s">
        <v>1870</v>
      </c>
      <c r="B73" s="246">
        <v>310</v>
      </c>
      <c r="C73" t="s">
        <v>1870</v>
      </c>
      <c r="D73" t="s">
        <v>1870</v>
      </c>
      <c r="E73" s="7" t="s">
        <v>61</v>
      </c>
      <c r="F73">
        <v>0</v>
      </c>
      <c r="G73" t="s">
        <v>1870</v>
      </c>
      <c r="H73" t="s">
        <v>405</v>
      </c>
      <c r="I73" t="s">
        <v>1489</v>
      </c>
      <c r="J73" t="s">
        <v>1870</v>
      </c>
      <c r="K73" t="s">
        <v>1870</v>
      </c>
      <c r="L73" t="s">
        <v>1489</v>
      </c>
      <c r="M73" t="s">
        <v>1489</v>
      </c>
      <c r="N73" t="s">
        <v>1870</v>
      </c>
      <c r="O73">
        <v>0</v>
      </c>
      <c r="Q73" s="3">
        <v>0</v>
      </c>
    </row>
    <row r="74" spans="1:17" x14ac:dyDescent="0.3">
      <c r="A74" s="249" t="s">
        <v>1870</v>
      </c>
      <c r="B74" s="246">
        <v>310</v>
      </c>
      <c r="C74" t="s">
        <v>1870</v>
      </c>
      <c r="D74" t="s">
        <v>1870</v>
      </c>
      <c r="E74" s="7" t="s">
        <v>175</v>
      </c>
      <c r="F74">
        <v>0</v>
      </c>
      <c r="G74" t="s">
        <v>1870</v>
      </c>
      <c r="H74" t="s">
        <v>407</v>
      </c>
      <c r="I74" t="s">
        <v>1489</v>
      </c>
      <c r="J74" t="s">
        <v>1870</v>
      </c>
      <c r="K74" t="s">
        <v>1870</v>
      </c>
      <c r="L74" t="s">
        <v>1489</v>
      </c>
      <c r="M74" t="s">
        <v>1489</v>
      </c>
      <c r="N74" t="s">
        <v>1870</v>
      </c>
      <c r="O74">
        <v>0</v>
      </c>
      <c r="Q74" s="3">
        <v>0</v>
      </c>
    </row>
    <row r="75" spans="1:17" x14ac:dyDescent="0.3">
      <c r="A75" s="249" t="s">
        <v>1870</v>
      </c>
      <c r="B75" s="246">
        <v>310</v>
      </c>
      <c r="C75" t="s">
        <v>1870</v>
      </c>
      <c r="D75" t="s">
        <v>1870</v>
      </c>
      <c r="E75" s="7" t="s">
        <v>351</v>
      </c>
      <c r="F75">
        <v>0</v>
      </c>
      <c r="G75" t="s">
        <v>1870</v>
      </c>
      <c r="H75" t="s">
        <v>409</v>
      </c>
      <c r="I75" t="s">
        <v>1489</v>
      </c>
      <c r="J75" t="s">
        <v>1870</v>
      </c>
      <c r="K75" t="s">
        <v>1870</v>
      </c>
      <c r="L75" t="s">
        <v>1489</v>
      </c>
      <c r="M75" t="s">
        <v>1489</v>
      </c>
      <c r="N75" t="s">
        <v>1870</v>
      </c>
      <c r="O75">
        <v>0</v>
      </c>
      <c r="Q75" s="3">
        <v>0</v>
      </c>
    </row>
    <row r="76" spans="1:17" x14ac:dyDescent="0.3">
      <c r="A76" s="249" t="s">
        <v>1870</v>
      </c>
      <c r="B76" s="246">
        <v>310</v>
      </c>
      <c r="C76" t="s">
        <v>1870</v>
      </c>
      <c r="D76" t="s">
        <v>1870</v>
      </c>
      <c r="E76" s="7" t="s">
        <v>64</v>
      </c>
      <c r="F76">
        <v>0</v>
      </c>
      <c r="G76" t="s">
        <v>1870</v>
      </c>
      <c r="H76" t="s">
        <v>411</v>
      </c>
      <c r="I76" t="s">
        <v>1489</v>
      </c>
      <c r="J76" t="s">
        <v>1870</v>
      </c>
      <c r="K76" t="s">
        <v>1870</v>
      </c>
      <c r="L76" t="s">
        <v>1489</v>
      </c>
      <c r="M76" t="s">
        <v>1489</v>
      </c>
      <c r="N76" t="s">
        <v>1870</v>
      </c>
      <c r="O76">
        <v>0</v>
      </c>
      <c r="Q76" s="3">
        <v>0</v>
      </c>
    </row>
    <row r="77" spans="1:17" x14ac:dyDescent="0.3">
      <c r="A77" s="249" t="s">
        <v>1870</v>
      </c>
      <c r="B77" s="246">
        <v>320</v>
      </c>
      <c r="C77" t="s">
        <v>1870</v>
      </c>
      <c r="D77" t="s">
        <v>1870</v>
      </c>
      <c r="E77" s="7" t="s">
        <v>93</v>
      </c>
      <c r="F77">
        <v>0</v>
      </c>
      <c r="G77" t="s">
        <v>1870</v>
      </c>
      <c r="H77" t="s">
        <v>418</v>
      </c>
      <c r="I77" s="7" t="s">
        <v>1489</v>
      </c>
      <c r="J77" t="s">
        <v>1870</v>
      </c>
      <c r="K77" t="s">
        <v>1870</v>
      </c>
      <c r="L77" s="7" t="s">
        <v>1489</v>
      </c>
      <c r="M77" s="7" t="s">
        <v>1489</v>
      </c>
      <c r="N77" t="s">
        <v>1870</v>
      </c>
      <c r="O77">
        <v>0</v>
      </c>
      <c r="Q77" s="3">
        <v>0</v>
      </c>
    </row>
    <row r="78" spans="1:17" x14ac:dyDescent="0.3">
      <c r="A78" s="249" t="s">
        <v>1870</v>
      </c>
      <c r="B78" s="246">
        <v>320</v>
      </c>
      <c r="C78" t="s">
        <v>1870</v>
      </c>
      <c r="D78" t="s">
        <v>1870</v>
      </c>
      <c r="E78" s="7" t="s">
        <v>164</v>
      </c>
      <c r="F78">
        <v>0</v>
      </c>
      <c r="G78" t="s">
        <v>1870</v>
      </c>
      <c r="H78" t="s">
        <v>420</v>
      </c>
      <c r="I78" t="s">
        <v>1489</v>
      </c>
      <c r="J78" t="s">
        <v>1870</v>
      </c>
      <c r="K78" t="s">
        <v>1870</v>
      </c>
      <c r="L78" t="s">
        <v>1489</v>
      </c>
      <c r="M78" t="s">
        <v>1489</v>
      </c>
      <c r="N78" t="s">
        <v>1870</v>
      </c>
      <c r="O78">
        <v>0</v>
      </c>
      <c r="Q78" s="3">
        <v>0</v>
      </c>
    </row>
    <row r="79" spans="1:17" x14ac:dyDescent="0.3">
      <c r="A79" s="249" t="s">
        <v>1870</v>
      </c>
      <c r="B79" s="246">
        <v>320</v>
      </c>
      <c r="C79" t="s">
        <v>1870</v>
      </c>
      <c r="D79" t="s">
        <v>1870</v>
      </c>
      <c r="E79" s="7" t="s">
        <v>96</v>
      </c>
      <c r="F79">
        <v>0</v>
      </c>
      <c r="G79" t="s">
        <v>1870</v>
      </c>
      <c r="H79" t="s">
        <v>422</v>
      </c>
      <c r="I79" t="s">
        <v>1489</v>
      </c>
      <c r="J79" t="s">
        <v>1870</v>
      </c>
      <c r="K79" t="s">
        <v>1870</v>
      </c>
      <c r="L79" t="s">
        <v>1489</v>
      </c>
      <c r="M79" t="s">
        <v>1489</v>
      </c>
      <c r="N79" t="s">
        <v>1870</v>
      </c>
      <c r="O79">
        <v>0</v>
      </c>
      <c r="P79" s="3">
        <v>1</v>
      </c>
      <c r="Q79" s="3">
        <v>0</v>
      </c>
    </row>
    <row r="80" spans="1:17" x14ac:dyDescent="0.3">
      <c r="A80" s="249" t="s">
        <v>1870</v>
      </c>
      <c r="B80" s="246">
        <v>320</v>
      </c>
      <c r="C80" t="s">
        <v>1870</v>
      </c>
      <c r="D80" t="s">
        <v>1870</v>
      </c>
      <c r="E80" s="7" t="s">
        <v>6</v>
      </c>
      <c r="F80" s="7">
        <v>0</v>
      </c>
      <c r="G80" t="s">
        <v>1870</v>
      </c>
      <c r="H80" t="s">
        <v>428</v>
      </c>
      <c r="I80" s="7" t="s">
        <v>1489</v>
      </c>
      <c r="J80" t="s">
        <v>1870</v>
      </c>
      <c r="K80" t="s">
        <v>1870</v>
      </c>
      <c r="L80" s="7" t="s">
        <v>1489</v>
      </c>
      <c r="M80" s="7" t="s">
        <v>1489</v>
      </c>
      <c r="N80" t="s">
        <v>1870</v>
      </c>
      <c r="O80">
        <v>0</v>
      </c>
      <c r="Q80" s="3">
        <v>0</v>
      </c>
    </row>
    <row r="81" spans="1:17" x14ac:dyDescent="0.3">
      <c r="A81" s="249" t="s">
        <v>1870</v>
      </c>
      <c r="B81" s="246">
        <v>320</v>
      </c>
      <c r="C81" t="s">
        <v>1870</v>
      </c>
      <c r="D81" t="s">
        <v>1870</v>
      </c>
      <c r="E81" s="7" t="s">
        <v>58</v>
      </c>
      <c r="F81">
        <v>0</v>
      </c>
      <c r="G81" t="s">
        <v>1870</v>
      </c>
      <c r="H81" t="s">
        <v>430</v>
      </c>
      <c r="I81" t="s">
        <v>1489</v>
      </c>
      <c r="J81" t="s">
        <v>1870</v>
      </c>
      <c r="K81" t="s">
        <v>1870</v>
      </c>
      <c r="L81" t="s">
        <v>1489</v>
      </c>
      <c r="M81" t="s">
        <v>1489</v>
      </c>
      <c r="N81" t="s">
        <v>1870</v>
      </c>
      <c r="O81">
        <v>0</v>
      </c>
      <c r="Q81" s="3">
        <v>0</v>
      </c>
    </row>
    <row r="82" spans="1:17" x14ac:dyDescent="0.3">
      <c r="A82" s="249" t="s">
        <v>1870</v>
      </c>
      <c r="B82" s="246">
        <v>321</v>
      </c>
      <c r="C82" t="s">
        <v>1870</v>
      </c>
      <c r="D82" t="s">
        <v>1870</v>
      </c>
      <c r="E82" s="7" t="s">
        <v>25</v>
      </c>
      <c r="F82">
        <v>0</v>
      </c>
      <c r="G82" t="s">
        <v>1870</v>
      </c>
      <c r="H82" t="s">
        <v>436</v>
      </c>
      <c r="I82" s="7" t="s">
        <v>1489</v>
      </c>
      <c r="J82" t="s">
        <v>1870</v>
      </c>
      <c r="K82" t="s">
        <v>1870</v>
      </c>
      <c r="L82" s="7" t="s">
        <v>1489</v>
      </c>
      <c r="M82" s="7" t="s">
        <v>1489</v>
      </c>
      <c r="N82" t="s">
        <v>1870</v>
      </c>
      <c r="O82">
        <v>0</v>
      </c>
      <c r="Q82" s="3">
        <v>0</v>
      </c>
    </row>
    <row r="83" spans="1:17" x14ac:dyDescent="0.3">
      <c r="A83" s="249" t="s">
        <v>1870</v>
      </c>
      <c r="B83" s="246">
        <v>321</v>
      </c>
      <c r="C83" t="s">
        <v>1870</v>
      </c>
      <c r="D83" t="s">
        <v>1870</v>
      </c>
      <c r="E83" s="7" t="s">
        <v>439</v>
      </c>
      <c r="F83">
        <v>0</v>
      </c>
      <c r="G83" t="s">
        <v>1870</v>
      </c>
      <c r="H83" t="s">
        <v>438</v>
      </c>
      <c r="I83" t="s">
        <v>1489</v>
      </c>
      <c r="J83" t="s">
        <v>1870</v>
      </c>
      <c r="K83" t="s">
        <v>1870</v>
      </c>
      <c r="L83" t="s">
        <v>1489</v>
      </c>
      <c r="M83" t="s">
        <v>1489</v>
      </c>
      <c r="N83" t="s">
        <v>1870</v>
      </c>
      <c r="O83">
        <v>0</v>
      </c>
      <c r="Q83" s="3">
        <v>0</v>
      </c>
    </row>
    <row r="84" spans="1:17" x14ac:dyDescent="0.3">
      <c r="A84" s="249" t="s">
        <v>1870</v>
      </c>
      <c r="B84" s="246">
        <v>321</v>
      </c>
      <c r="C84" t="s">
        <v>1870</v>
      </c>
      <c r="D84" t="s">
        <v>1870</v>
      </c>
      <c r="E84" s="7" t="s">
        <v>164</v>
      </c>
      <c r="F84">
        <v>0</v>
      </c>
      <c r="G84" t="s">
        <v>1870</v>
      </c>
      <c r="H84" t="s">
        <v>447</v>
      </c>
      <c r="I84" s="7" t="s">
        <v>1489</v>
      </c>
      <c r="J84" t="s">
        <v>1870</v>
      </c>
      <c r="K84" t="s">
        <v>1870</v>
      </c>
      <c r="L84" s="7" t="s">
        <v>1489</v>
      </c>
      <c r="M84" s="7" t="s">
        <v>1489</v>
      </c>
      <c r="N84" t="s">
        <v>1870</v>
      </c>
      <c r="O84">
        <v>0</v>
      </c>
      <c r="Q84" s="3">
        <v>0</v>
      </c>
    </row>
    <row r="85" spans="1:17" x14ac:dyDescent="0.3">
      <c r="A85" s="249" t="s">
        <v>1870</v>
      </c>
      <c r="B85" s="246">
        <v>321</v>
      </c>
      <c r="C85" t="s">
        <v>1870</v>
      </c>
      <c r="D85" t="s">
        <v>1870</v>
      </c>
      <c r="E85" s="7" t="s">
        <v>96</v>
      </c>
      <c r="F85">
        <v>0</v>
      </c>
      <c r="G85" t="s">
        <v>1870</v>
      </c>
      <c r="H85" t="s">
        <v>449</v>
      </c>
      <c r="I85" t="s">
        <v>1489</v>
      </c>
      <c r="J85" t="s">
        <v>1870</v>
      </c>
      <c r="K85" t="s">
        <v>1870</v>
      </c>
      <c r="L85" t="s">
        <v>1489</v>
      </c>
      <c r="M85" t="s">
        <v>1489</v>
      </c>
      <c r="N85" t="s">
        <v>1870</v>
      </c>
      <c r="O85">
        <v>0</v>
      </c>
      <c r="Q85" s="3">
        <v>0</v>
      </c>
    </row>
    <row r="86" spans="1:17" x14ac:dyDescent="0.3">
      <c r="A86" s="249" t="s">
        <v>1870</v>
      </c>
      <c r="B86" s="246">
        <v>321</v>
      </c>
      <c r="C86" t="s">
        <v>1870</v>
      </c>
      <c r="D86" t="s">
        <v>1870</v>
      </c>
      <c r="E86" s="7" t="s">
        <v>6</v>
      </c>
      <c r="F86" s="7">
        <v>1</v>
      </c>
      <c r="G86" t="s">
        <v>1870</v>
      </c>
      <c r="H86" t="s">
        <v>451</v>
      </c>
      <c r="I86" t="s">
        <v>1489</v>
      </c>
      <c r="J86" t="s">
        <v>1870</v>
      </c>
      <c r="K86" t="s">
        <v>1870</v>
      </c>
      <c r="L86" t="s">
        <v>1489</v>
      </c>
      <c r="M86" t="s">
        <v>1489</v>
      </c>
      <c r="N86" t="s">
        <v>1870</v>
      </c>
      <c r="O86">
        <v>0</v>
      </c>
      <c r="Q86" s="3">
        <v>0</v>
      </c>
    </row>
    <row r="87" spans="1:17" x14ac:dyDescent="0.3">
      <c r="A87" s="249" t="s">
        <v>1870</v>
      </c>
      <c r="B87" s="246">
        <v>321</v>
      </c>
      <c r="C87" t="s">
        <v>1870</v>
      </c>
      <c r="D87" t="s">
        <v>1870</v>
      </c>
      <c r="E87" s="7" t="s">
        <v>58</v>
      </c>
      <c r="F87">
        <v>0</v>
      </c>
      <c r="G87" t="s">
        <v>1870</v>
      </c>
      <c r="H87" t="s">
        <v>455</v>
      </c>
      <c r="I87" s="7" t="s">
        <v>1489</v>
      </c>
      <c r="J87" t="s">
        <v>1870</v>
      </c>
      <c r="K87" t="s">
        <v>1870</v>
      </c>
      <c r="L87" s="7" t="s">
        <v>1489</v>
      </c>
      <c r="M87" s="7" t="s">
        <v>1489</v>
      </c>
      <c r="N87" t="s">
        <v>1870</v>
      </c>
      <c r="O87">
        <v>0</v>
      </c>
      <c r="Q87" s="3">
        <v>0</v>
      </c>
    </row>
    <row r="88" spans="1:17" x14ac:dyDescent="0.3">
      <c r="A88" s="249" t="s">
        <v>1870</v>
      </c>
      <c r="B88" s="246">
        <v>321</v>
      </c>
      <c r="C88" t="s">
        <v>1870</v>
      </c>
      <c r="D88" t="s">
        <v>1870</v>
      </c>
      <c r="E88" s="246" t="s">
        <v>61</v>
      </c>
      <c r="F88" s="7">
        <v>1</v>
      </c>
      <c r="G88" t="s">
        <v>1870</v>
      </c>
      <c r="H88" t="s">
        <v>459</v>
      </c>
      <c r="I88" s="7" t="s">
        <v>1489</v>
      </c>
      <c r="J88" t="s">
        <v>1870</v>
      </c>
      <c r="K88" t="s">
        <v>1870</v>
      </c>
      <c r="L88" s="7" t="s">
        <v>1489</v>
      </c>
      <c r="M88" s="7" t="s">
        <v>1489</v>
      </c>
      <c r="N88" t="s">
        <v>1870</v>
      </c>
      <c r="O88">
        <v>0</v>
      </c>
      <c r="Q88" s="3">
        <v>0</v>
      </c>
    </row>
    <row r="89" spans="1:17" x14ac:dyDescent="0.3">
      <c r="A89" s="249" t="s">
        <v>1870</v>
      </c>
      <c r="B89" s="246">
        <v>321</v>
      </c>
      <c r="C89" t="s">
        <v>1870</v>
      </c>
      <c r="D89" t="s">
        <v>1870</v>
      </c>
      <c r="E89" s="7" t="s">
        <v>175</v>
      </c>
      <c r="F89" s="7">
        <v>0</v>
      </c>
      <c r="G89" t="s">
        <v>1870</v>
      </c>
      <c r="H89" t="s">
        <v>461</v>
      </c>
      <c r="I89" t="s">
        <v>1489</v>
      </c>
      <c r="J89" t="s">
        <v>1870</v>
      </c>
      <c r="K89" t="s">
        <v>1870</v>
      </c>
      <c r="L89" t="s">
        <v>1489</v>
      </c>
      <c r="M89" t="s">
        <v>1489</v>
      </c>
      <c r="N89" t="s">
        <v>1870</v>
      </c>
      <c r="O89">
        <v>0</v>
      </c>
      <c r="Q89" s="3">
        <v>0</v>
      </c>
    </row>
    <row r="90" spans="1:17" x14ac:dyDescent="0.3">
      <c r="A90" s="249" t="s">
        <v>1870</v>
      </c>
      <c r="B90" s="246">
        <v>321</v>
      </c>
      <c r="C90" t="s">
        <v>1870</v>
      </c>
      <c r="D90" t="s">
        <v>1870</v>
      </c>
      <c r="E90" s="7" t="s">
        <v>351</v>
      </c>
      <c r="F90">
        <v>0</v>
      </c>
      <c r="G90" t="s">
        <v>1870</v>
      </c>
      <c r="H90" t="s">
        <v>463</v>
      </c>
      <c r="I90" t="s">
        <v>1489</v>
      </c>
      <c r="J90" t="s">
        <v>1870</v>
      </c>
      <c r="K90" t="s">
        <v>1870</v>
      </c>
      <c r="L90" t="s">
        <v>1489</v>
      </c>
      <c r="M90" t="s">
        <v>1489</v>
      </c>
      <c r="N90" t="s">
        <v>1870</v>
      </c>
      <c r="O90">
        <v>0</v>
      </c>
      <c r="Q90" s="3">
        <v>0</v>
      </c>
    </row>
    <row r="91" spans="1:17" x14ac:dyDescent="0.3">
      <c r="A91" s="249" t="s">
        <v>1870</v>
      </c>
      <c r="B91" s="246">
        <v>321</v>
      </c>
      <c r="C91" t="s">
        <v>1870</v>
      </c>
      <c r="D91" t="s">
        <v>1870</v>
      </c>
      <c r="E91" s="7" t="s">
        <v>64</v>
      </c>
      <c r="F91">
        <v>0</v>
      </c>
      <c r="G91" t="s">
        <v>1870</v>
      </c>
      <c r="H91" t="s">
        <v>465</v>
      </c>
      <c r="I91" t="s">
        <v>1489</v>
      </c>
      <c r="J91" t="s">
        <v>1870</v>
      </c>
      <c r="K91" t="s">
        <v>1870</v>
      </c>
      <c r="L91" t="s">
        <v>1489</v>
      </c>
      <c r="M91" t="s">
        <v>1489</v>
      </c>
      <c r="N91" t="s">
        <v>1870</v>
      </c>
      <c r="O91">
        <v>0</v>
      </c>
      <c r="Q91" s="3">
        <v>0</v>
      </c>
    </row>
    <row r="92" spans="1:17" x14ac:dyDescent="0.3">
      <c r="A92" s="249" t="s">
        <v>1870</v>
      </c>
      <c r="B92" s="246">
        <v>420</v>
      </c>
      <c r="C92" t="s">
        <v>1870</v>
      </c>
      <c r="D92" t="s">
        <v>1870</v>
      </c>
      <c r="E92" s="7" t="s">
        <v>164</v>
      </c>
      <c r="F92">
        <v>0</v>
      </c>
      <c r="G92" t="s">
        <v>1870</v>
      </c>
      <c r="H92" t="s">
        <v>925</v>
      </c>
      <c r="I92" s="7" t="s">
        <v>1489</v>
      </c>
      <c r="J92" t="s">
        <v>1870</v>
      </c>
      <c r="K92" t="s">
        <v>1870</v>
      </c>
      <c r="L92" s="7" t="s">
        <v>1489</v>
      </c>
      <c r="M92" s="7" t="s">
        <v>1489</v>
      </c>
      <c r="N92" t="s">
        <v>1870</v>
      </c>
      <c r="O92" t="s">
        <v>1489</v>
      </c>
      <c r="Q92" s="3">
        <v>0</v>
      </c>
    </row>
    <row r="93" spans="1:17" x14ac:dyDescent="0.3">
      <c r="A93" s="249" t="s">
        <v>1870</v>
      </c>
      <c r="B93" s="246">
        <v>420</v>
      </c>
      <c r="C93" t="s">
        <v>1870</v>
      </c>
      <c r="D93" t="s">
        <v>1870</v>
      </c>
      <c r="E93" s="7" t="s">
        <v>6</v>
      </c>
      <c r="F93">
        <v>0</v>
      </c>
      <c r="G93" t="s">
        <v>1870</v>
      </c>
      <c r="H93" t="s">
        <v>929</v>
      </c>
      <c r="I93" t="s">
        <v>1489</v>
      </c>
      <c r="J93" t="s">
        <v>1870</v>
      </c>
      <c r="K93" t="s">
        <v>1870</v>
      </c>
      <c r="L93" t="s">
        <v>1489</v>
      </c>
      <c r="M93" t="s">
        <v>1489</v>
      </c>
      <c r="N93" t="s">
        <v>1870</v>
      </c>
      <c r="O93" t="s">
        <v>1489</v>
      </c>
      <c r="Q93" s="3">
        <v>0</v>
      </c>
    </row>
    <row r="94" spans="1:17" x14ac:dyDescent="0.3">
      <c r="A94" s="249" t="s">
        <v>1870</v>
      </c>
      <c r="B94" s="246">
        <v>430</v>
      </c>
      <c r="C94" t="s">
        <v>1870</v>
      </c>
      <c r="D94" t="s">
        <v>1870</v>
      </c>
      <c r="E94" s="246" t="s">
        <v>164</v>
      </c>
      <c r="F94">
        <v>0</v>
      </c>
      <c r="G94" t="s">
        <v>1870</v>
      </c>
      <c r="H94" t="s">
        <v>968</v>
      </c>
      <c r="I94" s="7" t="s">
        <v>1489</v>
      </c>
      <c r="J94" t="s">
        <v>1870</v>
      </c>
      <c r="K94" t="s">
        <v>1870</v>
      </c>
      <c r="L94" s="7" t="s">
        <v>1489</v>
      </c>
      <c r="M94" s="7" t="s">
        <v>1489</v>
      </c>
      <c r="N94" t="s">
        <v>1870</v>
      </c>
      <c r="O94" t="s">
        <v>1489</v>
      </c>
      <c r="Q94" s="3">
        <v>0</v>
      </c>
    </row>
    <row r="95" spans="1:17" x14ac:dyDescent="0.3">
      <c r="A95" s="249" t="s">
        <v>1870</v>
      </c>
      <c r="B95" s="246">
        <v>430</v>
      </c>
      <c r="C95" t="s">
        <v>1870</v>
      </c>
      <c r="D95" t="s">
        <v>1870</v>
      </c>
      <c r="E95" s="246" t="s">
        <v>164</v>
      </c>
      <c r="F95" s="7">
        <v>1</v>
      </c>
      <c r="G95" t="s">
        <v>1870</v>
      </c>
      <c r="H95" t="s">
        <v>972</v>
      </c>
      <c r="I95" t="s">
        <v>1489</v>
      </c>
      <c r="J95" t="s">
        <v>1870</v>
      </c>
      <c r="K95" t="s">
        <v>1870</v>
      </c>
      <c r="L95" t="s">
        <v>1489</v>
      </c>
      <c r="M95" t="s">
        <v>1489</v>
      </c>
      <c r="N95" t="s">
        <v>1870</v>
      </c>
      <c r="O95" t="s">
        <v>1489</v>
      </c>
      <c r="Q95" s="3">
        <v>0</v>
      </c>
    </row>
    <row r="96" spans="1:17" x14ac:dyDescent="0.3">
      <c r="A96" s="249" t="s">
        <v>1870</v>
      </c>
      <c r="B96" s="246">
        <v>430</v>
      </c>
      <c r="C96" t="s">
        <v>1870</v>
      </c>
      <c r="D96" t="s">
        <v>1870</v>
      </c>
      <c r="E96" s="246" t="s">
        <v>164</v>
      </c>
      <c r="F96" s="7">
        <v>2</v>
      </c>
      <c r="G96" t="s">
        <v>1870</v>
      </c>
      <c r="H96" t="s">
        <v>974</v>
      </c>
      <c r="I96" t="s">
        <v>1489</v>
      </c>
      <c r="J96" t="s">
        <v>1870</v>
      </c>
      <c r="K96" t="s">
        <v>1870</v>
      </c>
      <c r="L96" t="s">
        <v>1489</v>
      </c>
      <c r="M96" t="s">
        <v>1489</v>
      </c>
      <c r="N96" t="s">
        <v>1870</v>
      </c>
      <c r="O96" t="s">
        <v>1489</v>
      </c>
      <c r="Q96" s="3">
        <v>0</v>
      </c>
    </row>
    <row r="97" spans="1:17" x14ac:dyDescent="0.3">
      <c r="A97" s="249" t="s">
        <v>1870</v>
      </c>
      <c r="B97" s="246">
        <v>430</v>
      </c>
      <c r="C97" t="s">
        <v>1870</v>
      </c>
      <c r="D97" t="s">
        <v>1870</v>
      </c>
      <c r="E97" s="246" t="s">
        <v>164</v>
      </c>
      <c r="F97" s="7">
        <v>3</v>
      </c>
      <c r="G97" t="s">
        <v>1870</v>
      </c>
      <c r="H97" t="s">
        <v>976</v>
      </c>
      <c r="I97" t="s">
        <v>1489</v>
      </c>
      <c r="J97" t="s">
        <v>1870</v>
      </c>
      <c r="K97" t="s">
        <v>1870</v>
      </c>
      <c r="L97" t="s">
        <v>1489</v>
      </c>
      <c r="M97" t="s">
        <v>1489</v>
      </c>
      <c r="N97" t="s">
        <v>1870</v>
      </c>
      <c r="O97" t="s">
        <v>1489</v>
      </c>
      <c r="Q97" s="3">
        <v>0</v>
      </c>
    </row>
    <row r="98" spans="1:17" x14ac:dyDescent="0.3">
      <c r="A98" s="249" t="s">
        <v>1870</v>
      </c>
      <c r="B98" s="246">
        <v>430</v>
      </c>
      <c r="C98" t="s">
        <v>1870</v>
      </c>
      <c r="D98" t="s">
        <v>1870</v>
      </c>
      <c r="E98" s="246" t="s">
        <v>164</v>
      </c>
      <c r="F98" s="7">
        <v>4</v>
      </c>
      <c r="G98" t="s">
        <v>1870</v>
      </c>
      <c r="H98" t="s">
        <v>978</v>
      </c>
      <c r="I98" t="s">
        <v>1489</v>
      </c>
      <c r="J98" t="s">
        <v>1870</v>
      </c>
      <c r="K98" t="s">
        <v>1870</v>
      </c>
      <c r="L98" t="s">
        <v>1489</v>
      </c>
      <c r="M98" t="s">
        <v>1489</v>
      </c>
      <c r="N98" t="s">
        <v>1870</v>
      </c>
      <c r="O98" t="s">
        <v>1489</v>
      </c>
      <c r="Q98" s="3">
        <v>0</v>
      </c>
    </row>
    <row r="99" spans="1:17" x14ac:dyDescent="0.3">
      <c r="A99" s="249" t="s">
        <v>1870</v>
      </c>
      <c r="B99" s="246">
        <v>430</v>
      </c>
      <c r="C99" t="s">
        <v>1870</v>
      </c>
      <c r="D99" t="s">
        <v>1870</v>
      </c>
      <c r="E99" s="7" t="s">
        <v>6</v>
      </c>
      <c r="F99">
        <v>0</v>
      </c>
      <c r="G99" t="s">
        <v>1870</v>
      </c>
      <c r="H99" t="s">
        <v>986</v>
      </c>
      <c r="I99" s="7" t="s">
        <v>1489</v>
      </c>
      <c r="J99" t="s">
        <v>1870</v>
      </c>
      <c r="K99" t="s">
        <v>1870</v>
      </c>
      <c r="L99" s="7" t="s">
        <v>1489</v>
      </c>
      <c r="M99" s="7" t="s">
        <v>1489</v>
      </c>
      <c r="N99" t="s">
        <v>1870</v>
      </c>
      <c r="O99" t="s">
        <v>1489</v>
      </c>
      <c r="Q99" s="3">
        <v>0</v>
      </c>
    </row>
    <row r="100" spans="1:17" x14ac:dyDescent="0.3">
      <c r="A100" s="249" t="s">
        <v>1870</v>
      </c>
      <c r="B100" s="246">
        <v>430</v>
      </c>
      <c r="C100" t="s">
        <v>1870</v>
      </c>
      <c r="D100" t="s">
        <v>1870</v>
      </c>
      <c r="E100" s="7" t="s">
        <v>6</v>
      </c>
      <c r="F100" s="7">
        <v>1</v>
      </c>
      <c r="G100" t="s">
        <v>1870</v>
      </c>
      <c r="H100" t="s">
        <v>988</v>
      </c>
      <c r="I100" t="s">
        <v>1489</v>
      </c>
      <c r="J100" t="s">
        <v>1870</v>
      </c>
      <c r="K100" t="s">
        <v>1870</v>
      </c>
      <c r="L100" t="s">
        <v>1489</v>
      </c>
      <c r="M100" t="s">
        <v>1489</v>
      </c>
      <c r="N100" t="s">
        <v>1870</v>
      </c>
      <c r="O100" t="s">
        <v>1489</v>
      </c>
      <c r="Q100" s="3">
        <v>0</v>
      </c>
    </row>
    <row r="101" spans="1:17" x14ac:dyDescent="0.3">
      <c r="A101" s="249" t="s">
        <v>1870</v>
      </c>
      <c r="B101" s="246">
        <v>430</v>
      </c>
      <c r="C101" t="s">
        <v>1870</v>
      </c>
      <c r="D101" t="s">
        <v>1870</v>
      </c>
      <c r="E101" s="7" t="s">
        <v>28</v>
      </c>
      <c r="F101">
        <v>1</v>
      </c>
      <c r="G101" t="s">
        <v>1870</v>
      </c>
      <c r="H101" t="s">
        <v>990</v>
      </c>
      <c r="I101" t="s">
        <v>1489</v>
      </c>
      <c r="J101" t="s">
        <v>1870</v>
      </c>
      <c r="K101" t="s">
        <v>1870</v>
      </c>
      <c r="L101" t="s">
        <v>1489</v>
      </c>
      <c r="M101" t="s">
        <v>1489</v>
      </c>
      <c r="N101" t="s">
        <v>1870</v>
      </c>
      <c r="O101" t="s">
        <v>1489</v>
      </c>
      <c r="Q101" s="3">
        <v>0</v>
      </c>
    </row>
    <row r="102" spans="1:17" x14ac:dyDescent="0.3">
      <c r="A102" s="249" t="s">
        <v>1870</v>
      </c>
      <c r="B102" s="246">
        <v>430</v>
      </c>
      <c r="C102" t="s">
        <v>1870</v>
      </c>
      <c r="D102" t="s">
        <v>1870</v>
      </c>
      <c r="E102" s="7" t="s">
        <v>28</v>
      </c>
      <c r="F102" s="7">
        <v>2</v>
      </c>
      <c r="G102" t="s">
        <v>1870</v>
      </c>
      <c r="H102" t="s">
        <v>992</v>
      </c>
      <c r="I102" t="s">
        <v>1489</v>
      </c>
      <c r="J102" t="s">
        <v>1870</v>
      </c>
      <c r="K102" t="s">
        <v>1870</v>
      </c>
      <c r="L102" t="s">
        <v>1489</v>
      </c>
      <c r="M102" t="s">
        <v>1489</v>
      </c>
      <c r="N102" t="s">
        <v>1870</v>
      </c>
      <c r="O102" t="s">
        <v>1489</v>
      </c>
      <c r="Q102" s="3">
        <v>0</v>
      </c>
    </row>
    <row r="103" spans="1:17" x14ac:dyDescent="0.3">
      <c r="A103" s="249" t="s">
        <v>1870</v>
      </c>
      <c r="B103" s="246">
        <v>430</v>
      </c>
      <c r="C103" t="s">
        <v>1870</v>
      </c>
      <c r="D103" t="s">
        <v>1870</v>
      </c>
      <c r="E103" s="7" t="s">
        <v>329</v>
      </c>
      <c r="F103" s="7">
        <v>1</v>
      </c>
      <c r="G103" t="s">
        <v>1870</v>
      </c>
      <c r="H103" t="s">
        <v>994</v>
      </c>
      <c r="I103" t="s">
        <v>1489</v>
      </c>
      <c r="J103" t="s">
        <v>1870</v>
      </c>
      <c r="K103" t="s">
        <v>1870</v>
      </c>
      <c r="L103" t="s">
        <v>1489</v>
      </c>
      <c r="M103" t="s">
        <v>1489</v>
      </c>
      <c r="N103" t="s">
        <v>1870</v>
      </c>
      <c r="O103" t="s">
        <v>1489</v>
      </c>
      <c r="Q103" s="3">
        <v>0</v>
      </c>
    </row>
    <row r="104" spans="1:17" x14ac:dyDescent="0.3">
      <c r="A104" s="249" t="s">
        <v>1870</v>
      </c>
      <c r="B104" s="246">
        <v>430</v>
      </c>
      <c r="C104" t="s">
        <v>1870</v>
      </c>
      <c r="D104" t="s">
        <v>1870</v>
      </c>
      <c r="E104" s="7" t="s">
        <v>175</v>
      </c>
      <c r="F104" s="7">
        <v>7</v>
      </c>
      <c r="G104" t="s">
        <v>1870</v>
      </c>
      <c r="H104" t="s">
        <v>1000</v>
      </c>
      <c r="I104" s="7" t="s">
        <v>1489</v>
      </c>
      <c r="J104" t="s">
        <v>1870</v>
      </c>
      <c r="K104" t="s">
        <v>1870</v>
      </c>
      <c r="L104" s="7" t="s">
        <v>1489</v>
      </c>
      <c r="M104" s="7" t="s">
        <v>1489</v>
      </c>
      <c r="N104" t="s">
        <v>1870</v>
      </c>
      <c r="O104" t="s">
        <v>1489</v>
      </c>
      <c r="Q104" s="3">
        <v>0</v>
      </c>
    </row>
    <row r="105" spans="1:17" x14ac:dyDescent="0.3">
      <c r="A105" s="249" t="s">
        <v>1870</v>
      </c>
      <c r="B105" s="246">
        <v>430</v>
      </c>
      <c r="C105" t="s">
        <v>1870</v>
      </c>
      <c r="D105" t="s">
        <v>1870</v>
      </c>
      <c r="E105" s="7" t="s">
        <v>351</v>
      </c>
      <c r="F105" s="7">
        <v>0</v>
      </c>
      <c r="G105" t="s">
        <v>1870</v>
      </c>
      <c r="H105" t="s">
        <v>1002</v>
      </c>
      <c r="I105" t="s">
        <v>1489</v>
      </c>
      <c r="J105" t="s">
        <v>1870</v>
      </c>
      <c r="K105" t="s">
        <v>1870</v>
      </c>
      <c r="L105" t="s">
        <v>1489</v>
      </c>
      <c r="M105" t="s">
        <v>1489</v>
      </c>
      <c r="N105" t="s">
        <v>1870</v>
      </c>
      <c r="O105" t="s">
        <v>1489</v>
      </c>
      <c r="Q105" s="3">
        <v>0</v>
      </c>
    </row>
    <row r="106" spans="1:17" x14ac:dyDescent="0.3">
      <c r="A106" s="249" t="s">
        <v>1870</v>
      </c>
      <c r="B106" s="246">
        <v>430</v>
      </c>
      <c r="C106" t="s">
        <v>1870</v>
      </c>
      <c r="D106" t="s">
        <v>1870</v>
      </c>
      <c r="E106" s="7" t="s">
        <v>67</v>
      </c>
      <c r="F106">
        <v>0</v>
      </c>
      <c r="G106" t="s">
        <v>1870</v>
      </c>
      <c r="H106" t="s">
        <v>1006</v>
      </c>
      <c r="I106" s="7" t="s">
        <v>1489</v>
      </c>
      <c r="J106" t="s">
        <v>1870</v>
      </c>
      <c r="K106" t="s">
        <v>1870</v>
      </c>
      <c r="L106" s="7" t="s">
        <v>1489</v>
      </c>
      <c r="M106" s="7" t="s">
        <v>1489</v>
      </c>
      <c r="N106" t="s">
        <v>1870</v>
      </c>
      <c r="O106" t="s">
        <v>1489</v>
      </c>
      <c r="Q106" s="3">
        <v>0</v>
      </c>
    </row>
    <row r="107" spans="1:17" x14ac:dyDescent="0.3">
      <c r="A107" s="249" t="s">
        <v>1870</v>
      </c>
      <c r="B107" s="246">
        <v>440</v>
      </c>
      <c r="C107" t="s">
        <v>1870</v>
      </c>
      <c r="D107" t="s">
        <v>1870</v>
      </c>
      <c r="E107" s="7" t="s">
        <v>439</v>
      </c>
      <c r="F107">
        <v>0</v>
      </c>
      <c r="G107" t="s">
        <v>1870</v>
      </c>
      <c r="H107" t="s">
        <v>1021</v>
      </c>
      <c r="I107" s="7" t="s">
        <v>1489</v>
      </c>
      <c r="J107" t="s">
        <v>1870</v>
      </c>
      <c r="K107" t="s">
        <v>1870</v>
      </c>
      <c r="L107" s="7" t="s">
        <v>1489</v>
      </c>
      <c r="M107" s="7" t="s">
        <v>1489</v>
      </c>
      <c r="N107" t="s">
        <v>1870</v>
      </c>
      <c r="O107" t="s">
        <v>1489</v>
      </c>
      <c r="Q107" s="3">
        <v>0</v>
      </c>
    </row>
    <row r="108" spans="1:17" x14ac:dyDescent="0.3">
      <c r="A108" s="249" t="s">
        <v>1870</v>
      </c>
      <c r="B108" s="246">
        <v>440</v>
      </c>
      <c r="C108" t="s">
        <v>1870</v>
      </c>
      <c r="D108" t="s">
        <v>1870</v>
      </c>
      <c r="E108" s="7" t="s">
        <v>164</v>
      </c>
      <c r="F108">
        <v>0</v>
      </c>
      <c r="G108" t="s">
        <v>1870</v>
      </c>
      <c r="H108" t="s">
        <v>1025</v>
      </c>
      <c r="I108" s="7" t="s">
        <v>1489</v>
      </c>
      <c r="J108" t="s">
        <v>1870</v>
      </c>
      <c r="K108" t="s">
        <v>1870</v>
      </c>
      <c r="L108" s="7" t="s">
        <v>1489</v>
      </c>
      <c r="M108" s="7" t="s">
        <v>1489</v>
      </c>
      <c r="N108" t="s">
        <v>1870</v>
      </c>
      <c r="O108" t="s">
        <v>1489</v>
      </c>
      <c r="Q108" s="3">
        <v>0</v>
      </c>
    </row>
    <row r="109" spans="1:17" x14ac:dyDescent="0.3">
      <c r="A109" s="249" t="s">
        <v>1870</v>
      </c>
      <c r="B109" s="246">
        <v>440</v>
      </c>
      <c r="C109" t="s">
        <v>1870</v>
      </c>
      <c r="D109" t="s">
        <v>1870</v>
      </c>
      <c r="E109" s="7" t="s">
        <v>96</v>
      </c>
      <c r="F109">
        <v>0</v>
      </c>
      <c r="G109" t="s">
        <v>1870</v>
      </c>
      <c r="H109" t="s">
        <v>1027</v>
      </c>
      <c r="I109" t="s">
        <v>1489</v>
      </c>
      <c r="J109" t="s">
        <v>1870</v>
      </c>
      <c r="K109" t="s">
        <v>1870</v>
      </c>
      <c r="L109" t="s">
        <v>1489</v>
      </c>
      <c r="M109" t="s">
        <v>1489</v>
      </c>
      <c r="N109" t="s">
        <v>1870</v>
      </c>
      <c r="O109" t="s">
        <v>1489</v>
      </c>
      <c r="Q109" s="3">
        <v>0</v>
      </c>
    </row>
    <row r="110" spans="1:17" x14ac:dyDescent="0.3">
      <c r="A110" s="249" t="s">
        <v>1870</v>
      </c>
      <c r="B110" s="246">
        <v>440</v>
      </c>
      <c r="C110" t="s">
        <v>1870</v>
      </c>
      <c r="D110" t="s">
        <v>1870</v>
      </c>
      <c r="E110" s="7" t="s">
        <v>28</v>
      </c>
      <c r="F110" s="7">
        <v>1</v>
      </c>
      <c r="G110" t="s">
        <v>1870</v>
      </c>
      <c r="H110" t="s">
        <v>1031</v>
      </c>
      <c r="I110" s="7" t="s">
        <v>1489</v>
      </c>
      <c r="J110" t="s">
        <v>1870</v>
      </c>
      <c r="K110" t="s">
        <v>1870</v>
      </c>
      <c r="L110" s="7" t="s">
        <v>1489</v>
      </c>
      <c r="M110" s="7" t="s">
        <v>1489</v>
      </c>
      <c r="N110" t="s">
        <v>1870</v>
      </c>
      <c r="O110" t="s">
        <v>1489</v>
      </c>
      <c r="Q110" s="3">
        <v>0</v>
      </c>
    </row>
    <row r="111" spans="1:17" x14ac:dyDescent="0.3">
      <c r="A111" s="249" t="s">
        <v>1870</v>
      </c>
      <c r="B111" s="246">
        <v>440</v>
      </c>
      <c r="C111" t="s">
        <v>1870</v>
      </c>
      <c r="D111" t="s">
        <v>1870</v>
      </c>
      <c r="E111" s="7" t="s">
        <v>61</v>
      </c>
      <c r="F111" s="7">
        <v>0</v>
      </c>
      <c r="G111" t="s">
        <v>1870</v>
      </c>
      <c r="H111" t="s">
        <v>1033</v>
      </c>
      <c r="I111" t="s">
        <v>1489</v>
      </c>
      <c r="J111" t="s">
        <v>1870</v>
      </c>
      <c r="K111" t="s">
        <v>1870</v>
      </c>
      <c r="L111" t="s">
        <v>1489</v>
      </c>
      <c r="M111" t="s">
        <v>1489</v>
      </c>
      <c r="N111" t="s">
        <v>1870</v>
      </c>
      <c r="O111" t="s">
        <v>1489</v>
      </c>
      <c r="Q111" s="3">
        <v>0</v>
      </c>
    </row>
    <row r="112" spans="1:17" x14ac:dyDescent="0.3">
      <c r="A112" s="249" t="s">
        <v>1870</v>
      </c>
      <c r="B112" s="246">
        <v>440</v>
      </c>
      <c r="C112" t="s">
        <v>1870</v>
      </c>
      <c r="D112" t="s">
        <v>1870</v>
      </c>
      <c r="E112" s="7" t="s">
        <v>64</v>
      </c>
      <c r="F112">
        <v>0</v>
      </c>
      <c r="G112" t="s">
        <v>1870</v>
      </c>
      <c r="H112" t="s">
        <v>1039</v>
      </c>
      <c r="I112" s="7" t="s">
        <v>1489</v>
      </c>
      <c r="J112" t="s">
        <v>1870</v>
      </c>
      <c r="K112" t="s">
        <v>1870</v>
      </c>
      <c r="L112" s="7" t="s">
        <v>1489</v>
      </c>
      <c r="M112" s="7" t="s">
        <v>1489</v>
      </c>
      <c r="N112" t="s">
        <v>1870</v>
      </c>
      <c r="O112" t="s">
        <v>1489</v>
      </c>
      <c r="Q112" s="3">
        <v>0</v>
      </c>
    </row>
    <row r="113" spans="1:17" x14ac:dyDescent="0.3">
      <c r="A113" s="249" t="s">
        <v>1870</v>
      </c>
      <c r="B113" s="246">
        <v>450</v>
      </c>
      <c r="C113" t="s">
        <v>1870</v>
      </c>
      <c r="D113" t="s">
        <v>1870</v>
      </c>
      <c r="E113" s="246" t="s">
        <v>48</v>
      </c>
      <c r="F113" s="7">
        <v>1</v>
      </c>
      <c r="G113" t="s">
        <v>1870</v>
      </c>
      <c r="H113" t="s">
        <v>1042</v>
      </c>
      <c r="I113" t="s">
        <v>1489</v>
      </c>
      <c r="J113" t="s">
        <v>1870</v>
      </c>
      <c r="K113" t="s">
        <v>1870</v>
      </c>
      <c r="L113" t="s">
        <v>1489</v>
      </c>
      <c r="M113" t="s">
        <v>1489</v>
      </c>
      <c r="N113" t="s">
        <v>1870</v>
      </c>
      <c r="O113" t="s">
        <v>1489</v>
      </c>
      <c r="Q113" s="3">
        <v>0</v>
      </c>
    </row>
    <row r="114" spans="1:17" x14ac:dyDescent="0.3">
      <c r="A114" s="249" t="s">
        <v>1870</v>
      </c>
      <c r="B114" s="246">
        <v>450</v>
      </c>
      <c r="C114" t="s">
        <v>1870</v>
      </c>
      <c r="D114" t="s">
        <v>1870</v>
      </c>
      <c r="E114" s="246" t="s">
        <v>48</v>
      </c>
      <c r="F114" s="7">
        <v>3</v>
      </c>
      <c r="G114" t="s">
        <v>1870</v>
      </c>
      <c r="H114" t="s">
        <v>1046</v>
      </c>
      <c r="I114" s="7" t="s">
        <v>1489</v>
      </c>
      <c r="J114" t="s">
        <v>1870</v>
      </c>
      <c r="K114" t="s">
        <v>1870</v>
      </c>
      <c r="L114" s="7" t="s">
        <v>1489</v>
      </c>
      <c r="M114" s="7" t="s">
        <v>1489</v>
      </c>
      <c r="N114" t="s">
        <v>1870</v>
      </c>
      <c r="O114" t="s">
        <v>1489</v>
      </c>
      <c r="Q114" s="3">
        <v>0</v>
      </c>
    </row>
    <row r="115" spans="1:17" x14ac:dyDescent="0.3">
      <c r="A115" s="249" t="s">
        <v>1870</v>
      </c>
      <c r="B115" s="246">
        <v>450</v>
      </c>
      <c r="C115" t="s">
        <v>1870</v>
      </c>
      <c r="D115" t="s">
        <v>1870</v>
      </c>
      <c r="E115" s="7" t="s">
        <v>61</v>
      </c>
      <c r="F115" s="7">
        <v>3</v>
      </c>
      <c r="G115" t="s">
        <v>1870</v>
      </c>
      <c r="H115" t="s">
        <v>1052</v>
      </c>
      <c r="I115" s="7" t="s">
        <v>1489</v>
      </c>
      <c r="J115" t="s">
        <v>1870</v>
      </c>
      <c r="K115" t="s">
        <v>1870</v>
      </c>
      <c r="L115" s="7" t="s">
        <v>1489</v>
      </c>
      <c r="M115" s="7" t="s">
        <v>1489</v>
      </c>
      <c r="N115" t="s">
        <v>1870</v>
      </c>
      <c r="O115" t="s">
        <v>1489</v>
      </c>
      <c r="Q115" s="3">
        <v>0</v>
      </c>
    </row>
    <row r="116" spans="1:17" x14ac:dyDescent="0.3">
      <c r="A116" s="249" t="s">
        <v>1870</v>
      </c>
      <c r="B116" s="246">
        <v>450</v>
      </c>
      <c r="C116" t="s">
        <v>1870</v>
      </c>
      <c r="D116" t="s">
        <v>1870</v>
      </c>
      <c r="E116" s="7" t="s">
        <v>144</v>
      </c>
      <c r="F116" s="7">
        <v>0</v>
      </c>
      <c r="G116" t="s">
        <v>1870</v>
      </c>
      <c r="H116" t="s">
        <v>1054</v>
      </c>
      <c r="I116" t="s">
        <v>1489</v>
      </c>
      <c r="J116" t="s">
        <v>1870</v>
      </c>
      <c r="K116" t="s">
        <v>1870</v>
      </c>
      <c r="L116" t="s">
        <v>1489</v>
      </c>
      <c r="M116" t="s">
        <v>1489</v>
      </c>
      <c r="N116" t="s">
        <v>1870</v>
      </c>
      <c r="O116" t="s">
        <v>1489</v>
      </c>
      <c r="Q116" s="3">
        <v>0</v>
      </c>
    </row>
    <row r="117" spans="1:17" x14ac:dyDescent="0.3">
      <c r="A117" s="249" t="s">
        <v>1870</v>
      </c>
      <c r="B117" s="246">
        <v>451</v>
      </c>
      <c r="C117" t="s">
        <v>1870</v>
      </c>
      <c r="D117" t="s">
        <v>1870</v>
      </c>
      <c r="E117" s="7" t="s">
        <v>93</v>
      </c>
      <c r="F117" s="7">
        <v>0</v>
      </c>
      <c r="G117" t="s">
        <v>1870</v>
      </c>
      <c r="H117" t="s">
        <v>1089</v>
      </c>
      <c r="I117" s="7" t="s">
        <v>1489</v>
      </c>
      <c r="J117" t="s">
        <v>1870</v>
      </c>
      <c r="K117" t="s">
        <v>1870</v>
      </c>
      <c r="L117" s="7" t="s">
        <v>1489</v>
      </c>
      <c r="M117" s="7" t="s">
        <v>1489</v>
      </c>
      <c r="N117" t="s">
        <v>1870</v>
      </c>
      <c r="O117" t="s">
        <v>1489</v>
      </c>
      <c r="Q117" s="3">
        <v>0</v>
      </c>
    </row>
    <row r="118" spans="1:17" x14ac:dyDescent="0.3">
      <c r="A118" s="249" t="s">
        <v>1870</v>
      </c>
      <c r="B118" s="246">
        <v>451</v>
      </c>
      <c r="C118" t="s">
        <v>1870</v>
      </c>
      <c r="D118" t="s">
        <v>1870</v>
      </c>
      <c r="E118" s="7" t="s">
        <v>138</v>
      </c>
      <c r="F118">
        <v>0</v>
      </c>
      <c r="G118" t="s">
        <v>1870</v>
      </c>
      <c r="H118" t="s">
        <v>1091</v>
      </c>
      <c r="I118" t="s">
        <v>1489</v>
      </c>
      <c r="J118" t="s">
        <v>1870</v>
      </c>
      <c r="K118" t="s">
        <v>1870</v>
      </c>
      <c r="L118" t="s">
        <v>1489</v>
      </c>
      <c r="M118" t="s">
        <v>1489</v>
      </c>
      <c r="N118" t="s">
        <v>1870</v>
      </c>
      <c r="O118" t="s">
        <v>1489</v>
      </c>
      <c r="Q118" s="3">
        <v>0</v>
      </c>
    </row>
    <row r="119" spans="1:17" x14ac:dyDescent="0.3">
      <c r="A119" s="249" t="s">
        <v>1870</v>
      </c>
      <c r="B119" s="246">
        <v>451</v>
      </c>
      <c r="C119" t="s">
        <v>1870</v>
      </c>
      <c r="D119" t="s">
        <v>1870</v>
      </c>
      <c r="E119" s="7" t="s">
        <v>28</v>
      </c>
      <c r="F119">
        <v>0</v>
      </c>
      <c r="G119" t="s">
        <v>1870</v>
      </c>
      <c r="H119" t="s">
        <v>1093</v>
      </c>
      <c r="I119" t="s">
        <v>1489</v>
      </c>
      <c r="J119" t="s">
        <v>1870</v>
      </c>
      <c r="K119" t="s">
        <v>1870</v>
      </c>
      <c r="L119" t="s">
        <v>1489</v>
      </c>
      <c r="M119" t="s">
        <v>1489</v>
      </c>
      <c r="N119" t="s">
        <v>1870</v>
      </c>
      <c r="O119" t="s">
        <v>1489</v>
      </c>
      <c r="Q119" s="3">
        <v>0</v>
      </c>
    </row>
    <row r="120" spans="1:17" x14ac:dyDescent="0.3">
      <c r="A120" s="249" t="s">
        <v>1870</v>
      </c>
      <c r="B120" s="246">
        <v>451</v>
      </c>
      <c r="C120" t="s">
        <v>1870</v>
      </c>
      <c r="D120" t="s">
        <v>1870</v>
      </c>
      <c r="E120" s="7" t="s">
        <v>1096</v>
      </c>
      <c r="F120">
        <v>0</v>
      </c>
      <c r="G120" t="s">
        <v>1870</v>
      </c>
      <c r="H120" t="s">
        <v>1095</v>
      </c>
      <c r="I120" t="s">
        <v>1489</v>
      </c>
      <c r="J120" t="s">
        <v>1870</v>
      </c>
      <c r="K120" t="s">
        <v>1870</v>
      </c>
      <c r="L120" t="s">
        <v>1489</v>
      </c>
      <c r="M120" t="s">
        <v>1489</v>
      </c>
      <c r="N120" t="s">
        <v>1870</v>
      </c>
      <c r="O120" t="s">
        <v>1489</v>
      </c>
      <c r="Q120" s="3">
        <v>0</v>
      </c>
    </row>
    <row r="121" spans="1:17" x14ac:dyDescent="0.3">
      <c r="A121" s="249" t="s">
        <v>1870</v>
      </c>
      <c r="B121" s="246">
        <v>451</v>
      </c>
      <c r="C121" t="s">
        <v>1870</v>
      </c>
      <c r="D121" t="s">
        <v>1870</v>
      </c>
      <c r="E121" s="7" t="s">
        <v>1096</v>
      </c>
      <c r="F121" s="7">
        <v>1</v>
      </c>
      <c r="G121" t="s">
        <v>1870</v>
      </c>
      <c r="H121" t="s">
        <v>1098</v>
      </c>
      <c r="I121" t="s">
        <v>1489</v>
      </c>
      <c r="J121" t="s">
        <v>1870</v>
      </c>
      <c r="K121" t="s">
        <v>1870</v>
      </c>
      <c r="L121" t="s">
        <v>1489</v>
      </c>
      <c r="M121" t="s">
        <v>1489</v>
      </c>
      <c r="N121" t="s">
        <v>1870</v>
      </c>
      <c r="O121" t="s">
        <v>1489</v>
      </c>
      <c r="Q121" s="3">
        <v>0</v>
      </c>
    </row>
    <row r="122" spans="1:17" x14ac:dyDescent="0.3">
      <c r="A122" s="249" t="s">
        <v>1870</v>
      </c>
      <c r="B122" s="246">
        <v>451</v>
      </c>
      <c r="C122" t="s">
        <v>1870</v>
      </c>
      <c r="D122" t="s">
        <v>1870</v>
      </c>
      <c r="E122" s="7" t="s">
        <v>1111</v>
      </c>
      <c r="F122">
        <v>0</v>
      </c>
      <c r="G122" t="s">
        <v>1870</v>
      </c>
      <c r="H122" t="s">
        <v>1110</v>
      </c>
      <c r="I122" s="7" t="s">
        <v>1489</v>
      </c>
      <c r="J122" t="s">
        <v>1870</v>
      </c>
      <c r="K122" t="s">
        <v>1870</v>
      </c>
      <c r="L122" s="7" t="s">
        <v>1489</v>
      </c>
      <c r="M122" s="7" t="s">
        <v>1489</v>
      </c>
      <c r="N122" t="s">
        <v>1870</v>
      </c>
      <c r="O122" t="s">
        <v>1489</v>
      </c>
      <c r="Q122" s="3">
        <v>0</v>
      </c>
    </row>
    <row r="123" spans="1:17" x14ac:dyDescent="0.3">
      <c r="A123" s="249" t="s">
        <v>1870</v>
      </c>
      <c r="B123" s="246">
        <v>451</v>
      </c>
      <c r="C123" t="s">
        <v>1870</v>
      </c>
      <c r="D123" t="s">
        <v>1870</v>
      </c>
      <c r="E123" s="7" t="s">
        <v>67</v>
      </c>
      <c r="F123">
        <v>0</v>
      </c>
      <c r="G123" t="s">
        <v>1870</v>
      </c>
      <c r="H123" t="s">
        <v>1115</v>
      </c>
      <c r="I123" s="7" t="s">
        <v>1489</v>
      </c>
      <c r="J123" t="s">
        <v>1870</v>
      </c>
      <c r="K123" t="s">
        <v>1870</v>
      </c>
      <c r="L123" s="7" t="s">
        <v>1489</v>
      </c>
      <c r="M123" s="7" t="s">
        <v>1489</v>
      </c>
      <c r="N123" t="s">
        <v>1870</v>
      </c>
      <c r="O123" t="s">
        <v>1489</v>
      </c>
      <c r="Q123" s="3">
        <v>0</v>
      </c>
    </row>
    <row r="124" spans="1:17" x14ac:dyDescent="0.3">
      <c r="A124" s="249" t="s">
        <v>1870</v>
      </c>
      <c r="B124" s="246">
        <v>452</v>
      </c>
      <c r="C124" t="s">
        <v>1870</v>
      </c>
      <c r="D124" t="s">
        <v>1870</v>
      </c>
      <c r="E124" s="246" t="s">
        <v>48</v>
      </c>
      <c r="F124" s="7">
        <v>1</v>
      </c>
      <c r="G124" t="s">
        <v>1870</v>
      </c>
      <c r="H124" t="s">
        <v>1119</v>
      </c>
      <c r="I124" s="7" t="s">
        <v>1489</v>
      </c>
      <c r="J124" t="s">
        <v>1870</v>
      </c>
      <c r="K124" t="s">
        <v>1870</v>
      </c>
      <c r="L124" s="7" t="s">
        <v>1489</v>
      </c>
      <c r="M124" s="7" t="s">
        <v>1489</v>
      </c>
      <c r="N124" t="s">
        <v>1870</v>
      </c>
      <c r="O124" t="s">
        <v>1675</v>
      </c>
      <c r="P124" s="3">
        <v>3245.23</v>
      </c>
      <c r="Q124" s="3">
        <v>3000</v>
      </c>
    </row>
    <row r="125" spans="1:17" x14ac:dyDescent="0.3">
      <c r="A125" s="249" t="s">
        <v>1870</v>
      </c>
      <c r="B125" s="246">
        <v>452</v>
      </c>
      <c r="C125" t="s">
        <v>1870</v>
      </c>
      <c r="D125" t="s">
        <v>1870</v>
      </c>
      <c r="E125" s="7" t="s">
        <v>61</v>
      </c>
      <c r="F125" s="7">
        <v>1</v>
      </c>
      <c r="G125" t="s">
        <v>1870</v>
      </c>
      <c r="H125" t="s">
        <v>1123</v>
      </c>
      <c r="I125" s="7" t="s">
        <v>1489</v>
      </c>
      <c r="J125" t="s">
        <v>1870</v>
      </c>
      <c r="K125" t="s">
        <v>1870</v>
      </c>
      <c r="L125" s="7" t="s">
        <v>1489</v>
      </c>
      <c r="M125" s="7" t="s">
        <v>1489</v>
      </c>
      <c r="N125" t="s">
        <v>1870</v>
      </c>
      <c r="O125" t="s">
        <v>1675</v>
      </c>
      <c r="P125" s="3">
        <v>-3124.85</v>
      </c>
      <c r="Q125" s="3">
        <v>-2100</v>
      </c>
    </row>
    <row r="126" spans="1:17" x14ac:dyDescent="0.3">
      <c r="A126" s="249" t="s">
        <v>1870</v>
      </c>
      <c r="B126" s="246">
        <v>460</v>
      </c>
      <c r="C126" t="s">
        <v>1870</v>
      </c>
      <c r="D126" t="s">
        <v>1870</v>
      </c>
      <c r="E126" s="7" t="s">
        <v>25</v>
      </c>
      <c r="F126">
        <v>0</v>
      </c>
      <c r="G126" t="s">
        <v>1870</v>
      </c>
      <c r="H126" t="s">
        <v>1136</v>
      </c>
      <c r="I126" s="7" t="s">
        <v>1489</v>
      </c>
      <c r="J126" t="s">
        <v>1870</v>
      </c>
      <c r="K126" t="s">
        <v>1870</v>
      </c>
      <c r="L126" s="7" t="s">
        <v>1489</v>
      </c>
      <c r="M126" s="7" t="s">
        <v>1489</v>
      </c>
      <c r="N126" t="s">
        <v>1870</v>
      </c>
      <c r="O126" t="s">
        <v>1489</v>
      </c>
      <c r="Q126" s="3">
        <v>0</v>
      </c>
    </row>
    <row r="127" spans="1:17" x14ac:dyDescent="0.3">
      <c r="A127" s="249" t="s">
        <v>1870</v>
      </c>
      <c r="B127" s="246">
        <v>460</v>
      </c>
      <c r="C127" t="s">
        <v>1870</v>
      </c>
      <c r="D127" t="s">
        <v>1870</v>
      </c>
      <c r="E127" s="7" t="s">
        <v>439</v>
      </c>
      <c r="F127">
        <v>0</v>
      </c>
      <c r="G127" t="s">
        <v>1870</v>
      </c>
      <c r="H127" t="s">
        <v>1140</v>
      </c>
      <c r="I127" s="7" t="s">
        <v>1489</v>
      </c>
      <c r="J127" t="s">
        <v>1870</v>
      </c>
      <c r="K127" t="s">
        <v>1870</v>
      </c>
      <c r="L127" s="7" t="s">
        <v>1489</v>
      </c>
      <c r="M127" s="7" t="s">
        <v>1489</v>
      </c>
      <c r="N127" t="s">
        <v>1870</v>
      </c>
      <c r="O127" t="s">
        <v>1489</v>
      </c>
      <c r="Q127" s="3">
        <v>0</v>
      </c>
    </row>
    <row r="128" spans="1:17" x14ac:dyDescent="0.3">
      <c r="A128" s="249" t="s">
        <v>1870</v>
      </c>
      <c r="B128" s="246">
        <v>460</v>
      </c>
      <c r="C128" t="s">
        <v>1870</v>
      </c>
      <c r="D128" t="s">
        <v>1870</v>
      </c>
      <c r="E128" s="7" t="s">
        <v>53</v>
      </c>
      <c r="F128">
        <v>0</v>
      </c>
      <c r="G128" t="s">
        <v>1870</v>
      </c>
      <c r="H128" t="s">
        <v>1146</v>
      </c>
      <c r="I128" s="7" t="s">
        <v>1489</v>
      </c>
      <c r="J128" t="s">
        <v>1870</v>
      </c>
      <c r="K128" t="s">
        <v>1870</v>
      </c>
      <c r="L128" s="7" t="s">
        <v>1489</v>
      </c>
      <c r="M128" s="7" t="s">
        <v>1489</v>
      </c>
      <c r="N128" t="s">
        <v>1870</v>
      </c>
      <c r="O128" t="s">
        <v>1489</v>
      </c>
      <c r="Q128" s="3">
        <v>0</v>
      </c>
    </row>
    <row r="129" spans="1:17" x14ac:dyDescent="0.3">
      <c r="A129" s="249" t="s">
        <v>1870</v>
      </c>
      <c r="B129" s="246">
        <v>460</v>
      </c>
      <c r="C129" t="s">
        <v>1870</v>
      </c>
      <c r="D129" t="s">
        <v>1870</v>
      </c>
      <c r="E129" s="7" t="s">
        <v>164</v>
      </c>
      <c r="F129">
        <v>0</v>
      </c>
      <c r="G129" t="s">
        <v>1870</v>
      </c>
      <c r="H129" t="s">
        <v>1148</v>
      </c>
      <c r="I129" t="s">
        <v>1489</v>
      </c>
      <c r="J129" t="s">
        <v>1870</v>
      </c>
      <c r="K129" t="s">
        <v>1870</v>
      </c>
      <c r="L129" t="s">
        <v>1489</v>
      </c>
      <c r="M129" t="s">
        <v>1489</v>
      </c>
      <c r="N129" t="s">
        <v>1870</v>
      </c>
      <c r="O129" t="s">
        <v>1489</v>
      </c>
      <c r="Q129" s="3">
        <v>0</v>
      </c>
    </row>
    <row r="130" spans="1:17" x14ac:dyDescent="0.3">
      <c r="A130" s="249" t="s">
        <v>1870</v>
      </c>
      <c r="B130" s="246">
        <v>460</v>
      </c>
      <c r="C130" t="s">
        <v>1870</v>
      </c>
      <c r="D130" t="s">
        <v>1870</v>
      </c>
      <c r="E130" s="246" t="s">
        <v>5</v>
      </c>
      <c r="F130" s="7">
        <v>1</v>
      </c>
      <c r="G130" t="s">
        <v>1870</v>
      </c>
      <c r="H130" t="s">
        <v>1154</v>
      </c>
      <c r="I130" s="7" t="s">
        <v>1489</v>
      </c>
      <c r="J130" t="s">
        <v>1870</v>
      </c>
      <c r="K130" t="s">
        <v>1870</v>
      </c>
      <c r="L130" s="7" t="s">
        <v>1489</v>
      </c>
      <c r="M130" s="7" t="s">
        <v>1489</v>
      </c>
      <c r="N130" t="s">
        <v>1870</v>
      </c>
      <c r="O130" t="s">
        <v>1489</v>
      </c>
      <c r="Q130" s="3">
        <v>0</v>
      </c>
    </row>
    <row r="131" spans="1:17" x14ac:dyDescent="0.3">
      <c r="A131" s="249" t="s">
        <v>1870</v>
      </c>
      <c r="B131" s="246">
        <v>460</v>
      </c>
      <c r="C131" t="s">
        <v>1870</v>
      </c>
      <c r="D131" t="s">
        <v>1870</v>
      </c>
      <c r="E131" s="246" t="s">
        <v>138</v>
      </c>
      <c r="F131" s="7">
        <v>1</v>
      </c>
      <c r="G131" t="s">
        <v>1870</v>
      </c>
      <c r="H131" t="s">
        <v>1158</v>
      </c>
      <c r="I131" s="7" t="s">
        <v>1489</v>
      </c>
      <c r="J131" t="s">
        <v>1870</v>
      </c>
      <c r="K131" t="s">
        <v>1870</v>
      </c>
      <c r="L131" s="7" t="s">
        <v>1489</v>
      </c>
      <c r="M131" s="7" t="s">
        <v>1489</v>
      </c>
      <c r="N131" t="s">
        <v>1870</v>
      </c>
      <c r="O131" t="s">
        <v>1489</v>
      </c>
      <c r="Q131" s="3">
        <v>0</v>
      </c>
    </row>
    <row r="132" spans="1:17" x14ac:dyDescent="0.3">
      <c r="A132" s="249" t="s">
        <v>1870</v>
      </c>
      <c r="B132" s="246">
        <v>460</v>
      </c>
      <c r="C132" t="s">
        <v>1870</v>
      </c>
      <c r="D132" t="s">
        <v>1870</v>
      </c>
      <c r="E132" s="7" t="s">
        <v>28</v>
      </c>
      <c r="F132">
        <v>1</v>
      </c>
      <c r="G132" t="s">
        <v>1870</v>
      </c>
      <c r="H132" t="s">
        <v>1160</v>
      </c>
      <c r="I132" t="s">
        <v>1489</v>
      </c>
      <c r="J132" t="s">
        <v>1870</v>
      </c>
      <c r="K132" t="s">
        <v>1870</v>
      </c>
      <c r="L132" t="s">
        <v>1489</v>
      </c>
      <c r="M132" t="s">
        <v>1489</v>
      </c>
      <c r="N132" t="s">
        <v>1870</v>
      </c>
      <c r="O132" t="s">
        <v>1489</v>
      </c>
      <c r="Q132" s="3">
        <v>0</v>
      </c>
    </row>
    <row r="133" spans="1:17" x14ac:dyDescent="0.3">
      <c r="A133" s="249" t="s">
        <v>1870</v>
      </c>
      <c r="B133" s="246">
        <v>460</v>
      </c>
      <c r="C133" t="s">
        <v>1870</v>
      </c>
      <c r="D133" t="s">
        <v>1870</v>
      </c>
      <c r="E133" s="246" t="s">
        <v>338</v>
      </c>
      <c r="F133" s="7">
        <v>3</v>
      </c>
      <c r="G133" t="s">
        <v>1870</v>
      </c>
      <c r="H133" t="s">
        <v>1166</v>
      </c>
      <c r="I133" s="7" t="s">
        <v>1489</v>
      </c>
      <c r="J133" t="s">
        <v>1870</v>
      </c>
      <c r="K133" t="s">
        <v>1870</v>
      </c>
      <c r="L133" s="7" t="s">
        <v>1489</v>
      </c>
      <c r="M133" s="7" t="s">
        <v>1489</v>
      </c>
      <c r="N133" t="s">
        <v>1870</v>
      </c>
      <c r="O133" t="s">
        <v>1489</v>
      </c>
      <c r="Q133" s="3">
        <v>0</v>
      </c>
    </row>
    <row r="134" spans="1:17" x14ac:dyDescent="0.3">
      <c r="A134" s="249" t="s">
        <v>1870</v>
      </c>
      <c r="B134" s="246">
        <v>460</v>
      </c>
      <c r="C134" t="s">
        <v>1870</v>
      </c>
      <c r="D134" t="s">
        <v>1870</v>
      </c>
      <c r="E134" s="246" t="s">
        <v>338</v>
      </c>
      <c r="F134" s="7">
        <v>4</v>
      </c>
      <c r="G134" t="s">
        <v>1870</v>
      </c>
      <c r="H134" t="s">
        <v>1168</v>
      </c>
      <c r="I134" t="s">
        <v>1489</v>
      </c>
      <c r="J134" t="s">
        <v>1870</v>
      </c>
      <c r="K134" t="s">
        <v>1870</v>
      </c>
      <c r="L134" t="s">
        <v>1489</v>
      </c>
      <c r="M134" t="s">
        <v>1489</v>
      </c>
      <c r="N134" t="s">
        <v>1870</v>
      </c>
      <c r="O134" t="s">
        <v>1489</v>
      </c>
      <c r="Q134" s="3">
        <v>0</v>
      </c>
    </row>
    <row r="135" spans="1:17" x14ac:dyDescent="0.3">
      <c r="A135" s="249" t="s">
        <v>1870</v>
      </c>
      <c r="B135" s="246">
        <v>460</v>
      </c>
      <c r="C135" t="s">
        <v>1870</v>
      </c>
      <c r="D135" t="s">
        <v>1870</v>
      </c>
      <c r="E135" s="7" t="s">
        <v>61</v>
      </c>
      <c r="F135" s="7">
        <v>0</v>
      </c>
      <c r="G135" t="s">
        <v>1870</v>
      </c>
      <c r="H135" t="s">
        <v>1170</v>
      </c>
      <c r="I135" t="s">
        <v>1489</v>
      </c>
      <c r="J135" t="s">
        <v>1870</v>
      </c>
      <c r="K135" t="s">
        <v>1870</v>
      </c>
      <c r="L135" t="s">
        <v>1489</v>
      </c>
      <c r="M135" t="s">
        <v>1489</v>
      </c>
      <c r="N135" t="s">
        <v>1870</v>
      </c>
      <c r="O135" t="s">
        <v>1489</v>
      </c>
      <c r="Q135" s="3">
        <v>0</v>
      </c>
    </row>
    <row r="136" spans="1:17" x14ac:dyDescent="0.3">
      <c r="A136" s="249" t="s">
        <v>1870</v>
      </c>
      <c r="B136" s="246">
        <v>460</v>
      </c>
      <c r="C136" t="s">
        <v>1870</v>
      </c>
      <c r="D136" t="s">
        <v>1870</v>
      </c>
      <c r="E136" s="7" t="s">
        <v>345</v>
      </c>
      <c r="F136">
        <v>0</v>
      </c>
      <c r="G136" t="s">
        <v>1870</v>
      </c>
      <c r="H136" t="s">
        <v>1172</v>
      </c>
      <c r="I136" t="s">
        <v>1489</v>
      </c>
      <c r="J136" t="s">
        <v>1870</v>
      </c>
      <c r="K136" t="s">
        <v>1870</v>
      </c>
      <c r="L136" t="s">
        <v>1489</v>
      </c>
      <c r="M136" t="s">
        <v>1489</v>
      </c>
      <c r="N136" t="s">
        <v>1870</v>
      </c>
      <c r="O136" t="s">
        <v>1489</v>
      </c>
      <c r="Q136" s="3">
        <v>0</v>
      </c>
    </row>
    <row r="137" spans="1:17" x14ac:dyDescent="0.3">
      <c r="A137" s="249" t="s">
        <v>1870</v>
      </c>
      <c r="B137" s="246">
        <v>460</v>
      </c>
      <c r="C137" t="s">
        <v>1870</v>
      </c>
      <c r="D137" t="s">
        <v>1870</v>
      </c>
      <c r="E137" s="7" t="s">
        <v>64</v>
      </c>
      <c r="F137">
        <v>0</v>
      </c>
      <c r="G137" t="s">
        <v>1870</v>
      </c>
      <c r="H137" t="s">
        <v>1174</v>
      </c>
      <c r="I137" t="s">
        <v>1489</v>
      </c>
      <c r="J137" t="s">
        <v>1870</v>
      </c>
      <c r="K137" t="s">
        <v>1870</v>
      </c>
      <c r="L137" t="s">
        <v>1489</v>
      </c>
      <c r="M137" t="s">
        <v>1489</v>
      </c>
      <c r="N137" t="s">
        <v>1870</v>
      </c>
      <c r="O137" t="s">
        <v>1489</v>
      </c>
      <c r="Q137" s="3">
        <v>0</v>
      </c>
    </row>
    <row r="138" spans="1:17" x14ac:dyDescent="0.3">
      <c r="A138" s="249" t="s">
        <v>1870</v>
      </c>
      <c r="B138" s="7">
        <v>470</v>
      </c>
      <c r="C138" t="s">
        <v>1870</v>
      </c>
      <c r="D138" t="s">
        <v>1870</v>
      </c>
      <c r="E138" s="7" t="s">
        <v>131</v>
      </c>
      <c r="F138">
        <v>0</v>
      </c>
      <c r="G138" t="s">
        <v>1870</v>
      </c>
      <c r="H138" t="s">
        <v>1179</v>
      </c>
      <c r="I138" s="7" t="s">
        <v>1489</v>
      </c>
      <c r="J138" t="s">
        <v>1870</v>
      </c>
      <c r="K138" t="s">
        <v>1870</v>
      </c>
      <c r="L138" s="7" t="s">
        <v>1489</v>
      </c>
      <c r="M138" s="7" t="s">
        <v>1489</v>
      </c>
      <c r="N138" t="s">
        <v>1870</v>
      </c>
      <c r="O138" t="s">
        <v>1489</v>
      </c>
      <c r="Q138" s="3">
        <v>0</v>
      </c>
    </row>
    <row r="139" spans="1:17" x14ac:dyDescent="0.3">
      <c r="A139" s="249" t="s">
        <v>1870</v>
      </c>
      <c r="B139" s="7">
        <v>470</v>
      </c>
      <c r="C139" t="s">
        <v>1870</v>
      </c>
      <c r="D139" t="s">
        <v>1870</v>
      </c>
      <c r="E139" s="7" t="s">
        <v>164</v>
      </c>
      <c r="F139">
        <v>0</v>
      </c>
      <c r="G139" t="s">
        <v>1870</v>
      </c>
      <c r="H139" t="s">
        <v>1181</v>
      </c>
      <c r="I139" t="s">
        <v>1489</v>
      </c>
      <c r="J139" t="s">
        <v>1870</v>
      </c>
      <c r="K139" t="s">
        <v>1870</v>
      </c>
      <c r="L139" t="s">
        <v>1489</v>
      </c>
      <c r="M139" t="s">
        <v>1489</v>
      </c>
      <c r="N139" t="s">
        <v>1870</v>
      </c>
      <c r="O139" t="s">
        <v>1489</v>
      </c>
      <c r="Q139" s="3">
        <v>0</v>
      </c>
    </row>
    <row r="140" spans="1:17" x14ac:dyDescent="0.3">
      <c r="A140" s="249" t="s">
        <v>1870</v>
      </c>
      <c r="B140" s="7">
        <v>470</v>
      </c>
      <c r="C140" t="s">
        <v>1870</v>
      </c>
      <c r="D140" t="s">
        <v>1870</v>
      </c>
      <c r="E140" s="7" t="s">
        <v>61</v>
      </c>
      <c r="F140">
        <v>0</v>
      </c>
      <c r="G140" t="s">
        <v>1870</v>
      </c>
      <c r="H140" t="s">
        <v>1183</v>
      </c>
      <c r="I140" t="s">
        <v>1489</v>
      </c>
      <c r="J140" t="s">
        <v>1870</v>
      </c>
      <c r="K140" t="s">
        <v>1870</v>
      </c>
      <c r="L140" t="s">
        <v>1489</v>
      </c>
      <c r="M140" t="s">
        <v>1489</v>
      </c>
      <c r="N140" t="s">
        <v>1870</v>
      </c>
      <c r="O140" t="s">
        <v>1489</v>
      </c>
      <c r="Q140" s="3">
        <v>0</v>
      </c>
    </row>
    <row r="141" spans="1:17" x14ac:dyDescent="0.3">
      <c r="A141" s="249" t="s">
        <v>1870</v>
      </c>
      <c r="B141" s="7">
        <v>470</v>
      </c>
      <c r="C141" t="s">
        <v>1870</v>
      </c>
      <c r="D141" t="s">
        <v>1870</v>
      </c>
      <c r="E141" s="7" t="s">
        <v>175</v>
      </c>
      <c r="F141">
        <v>0</v>
      </c>
      <c r="G141" t="s">
        <v>1870</v>
      </c>
      <c r="H141" t="s">
        <v>1185</v>
      </c>
      <c r="I141" t="s">
        <v>1489</v>
      </c>
      <c r="J141" t="s">
        <v>1870</v>
      </c>
      <c r="K141" t="s">
        <v>1870</v>
      </c>
      <c r="L141" t="s">
        <v>1489</v>
      </c>
      <c r="M141" t="s">
        <v>1489</v>
      </c>
      <c r="N141" t="s">
        <v>1870</v>
      </c>
      <c r="O141" t="s">
        <v>1489</v>
      </c>
      <c r="Q141" s="3">
        <v>0</v>
      </c>
    </row>
    <row r="142" spans="1:17" x14ac:dyDescent="0.3">
      <c r="A142" s="249" t="s">
        <v>1870</v>
      </c>
      <c r="B142" s="7">
        <v>470</v>
      </c>
      <c r="C142" t="s">
        <v>1870</v>
      </c>
      <c r="D142" t="s">
        <v>1870</v>
      </c>
      <c r="E142" s="7" t="s">
        <v>64</v>
      </c>
      <c r="F142">
        <v>0</v>
      </c>
      <c r="G142" t="s">
        <v>1870</v>
      </c>
      <c r="H142" t="s">
        <v>1187</v>
      </c>
      <c r="I142" t="s">
        <v>1489</v>
      </c>
      <c r="J142" t="s">
        <v>1870</v>
      </c>
      <c r="K142" t="s">
        <v>1870</v>
      </c>
      <c r="L142" t="s">
        <v>1489</v>
      </c>
      <c r="M142" t="s">
        <v>1489</v>
      </c>
      <c r="N142" t="s">
        <v>1870</v>
      </c>
      <c r="O142" t="s">
        <v>1489</v>
      </c>
      <c r="Q142" s="3">
        <v>0</v>
      </c>
    </row>
    <row r="143" spans="1:17" x14ac:dyDescent="0.3">
      <c r="A143" s="249" t="s">
        <v>1870</v>
      </c>
      <c r="B143" s="246">
        <v>520</v>
      </c>
      <c r="C143" t="s">
        <v>1870</v>
      </c>
      <c r="D143" t="s">
        <v>1870</v>
      </c>
      <c r="E143" s="7" t="s">
        <v>48</v>
      </c>
      <c r="F143">
        <v>0</v>
      </c>
      <c r="G143" t="s">
        <v>1870</v>
      </c>
      <c r="H143" t="s">
        <v>1199</v>
      </c>
      <c r="I143" s="7" t="s">
        <v>1489</v>
      </c>
      <c r="J143" t="s">
        <v>1870</v>
      </c>
      <c r="K143" t="s">
        <v>1870</v>
      </c>
      <c r="L143" s="7" t="s">
        <v>1489</v>
      </c>
      <c r="M143" s="7" t="s">
        <v>1489</v>
      </c>
      <c r="N143" t="s">
        <v>1870</v>
      </c>
      <c r="O143" t="s">
        <v>1489</v>
      </c>
      <c r="Q143" s="3">
        <v>0</v>
      </c>
    </row>
    <row r="144" spans="1:17" x14ac:dyDescent="0.3">
      <c r="A144" s="249" t="s">
        <v>1870</v>
      </c>
      <c r="B144" s="246">
        <v>530</v>
      </c>
      <c r="C144" t="s">
        <v>1870</v>
      </c>
      <c r="D144" t="s">
        <v>1870</v>
      </c>
      <c r="E144" s="7" t="s">
        <v>175</v>
      </c>
      <c r="F144">
        <v>0</v>
      </c>
      <c r="G144" t="s">
        <v>1870</v>
      </c>
      <c r="H144" t="s">
        <v>1208</v>
      </c>
      <c r="I144" s="7" t="s">
        <v>1489</v>
      </c>
      <c r="J144" t="s">
        <v>1870</v>
      </c>
      <c r="K144" t="s">
        <v>1870</v>
      </c>
      <c r="L144" s="7" t="s">
        <v>1489</v>
      </c>
      <c r="M144" s="7" t="s">
        <v>1489</v>
      </c>
      <c r="N144" t="s">
        <v>1870</v>
      </c>
      <c r="O144" t="s">
        <v>1489</v>
      </c>
      <c r="Q144" s="3">
        <v>0</v>
      </c>
    </row>
    <row r="145" spans="1:18" x14ac:dyDescent="0.3">
      <c r="A145" s="249" t="s">
        <v>1870</v>
      </c>
      <c r="B145" s="246">
        <v>580</v>
      </c>
      <c r="C145" t="s">
        <v>1870</v>
      </c>
      <c r="D145" t="s">
        <v>1870</v>
      </c>
      <c r="E145" s="7" t="s">
        <v>48</v>
      </c>
      <c r="F145">
        <v>0</v>
      </c>
      <c r="G145" t="s">
        <v>1870</v>
      </c>
      <c r="H145" t="s">
        <v>1223</v>
      </c>
      <c r="I145" s="7" t="s">
        <v>1489</v>
      </c>
      <c r="J145" t="s">
        <v>1870</v>
      </c>
      <c r="K145" t="s">
        <v>1870</v>
      </c>
      <c r="L145" s="7" t="s">
        <v>1489</v>
      </c>
      <c r="M145" s="7" t="s">
        <v>1489</v>
      </c>
      <c r="N145" t="s">
        <v>1870</v>
      </c>
      <c r="O145" t="s">
        <v>1489</v>
      </c>
      <c r="Q145" s="3">
        <v>0</v>
      </c>
    </row>
    <row r="146" spans="1:18" x14ac:dyDescent="0.3">
      <c r="A146" s="249" t="s">
        <v>1870</v>
      </c>
      <c r="B146" s="246">
        <v>580</v>
      </c>
      <c r="C146" t="s">
        <v>1870</v>
      </c>
      <c r="D146" t="s">
        <v>1870</v>
      </c>
      <c r="E146" s="7" t="s">
        <v>164</v>
      </c>
      <c r="F146">
        <v>0</v>
      </c>
      <c r="G146" t="s">
        <v>1870</v>
      </c>
      <c r="H146" t="s">
        <v>1225</v>
      </c>
      <c r="I146" t="s">
        <v>1489</v>
      </c>
      <c r="J146" t="s">
        <v>1870</v>
      </c>
      <c r="K146" t="s">
        <v>1870</v>
      </c>
      <c r="L146" t="s">
        <v>1489</v>
      </c>
      <c r="M146" t="s">
        <v>1489</v>
      </c>
      <c r="N146" t="s">
        <v>1870</v>
      </c>
      <c r="O146" t="s">
        <v>1489</v>
      </c>
      <c r="Q146" s="3">
        <v>0</v>
      </c>
    </row>
    <row r="147" spans="1:18" x14ac:dyDescent="0.3">
      <c r="A147" s="249" t="s">
        <v>1870</v>
      </c>
      <c r="B147" s="246">
        <v>580</v>
      </c>
      <c r="C147" t="s">
        <v>1870</v>
      </c>
      <c r="D147" t="s">
        <v>1870</v>
      </c>
      <c r="E147" s="7" t="s">
        <v>96</v>
      </c>
      <c r="F147">
        <v>0</v>
      </c>
      <c r="G147" t="s">
        <v>1870</v>
      </c>
      <c r="H147" t="s">
        <v>1227</v>
      </c>
      <c r="I147" t="s">
        <v>1489</v>
      </c>
      <c r="J147" t="s">
        <v>1870</v>
      </c>
      <c r="K147" t="s">
        <v>1870</v>
      </c>
      <c r="L147" t="s">
        <v>1489</v>
      </c>
      <c r="M147" t="s">
        <v>1489</v>
      </c>
      <c r="N147" t="s">
        <v>1870</v>
      </c>
      <c r="O147" t="s">
        <v>1489</v>
      </c>
      <c r="Q147" s="3">
        <v>0</v>
      </c>
    </row>
    <row r="148" spans="1:18" x14ac:dyDescent="0.3">
      <c r="A148" s="249" t="s">
        <v>1870</v>
      </c>
      <c r="B148" s="246">
        <v>600</v>
      </c>
      <c r="C148" t="s">
        <v>1870</v>
      </c>
      <c r="D148" t="s">
        <v>1870</v>
      </c>
      <c r="E148" s="7" t="s">
        <v>48</v>
      </c>
      <c r="F148">
        <v>0</v>
      </c>
      <c r="G148" t="s">
        <v>1870</v>
      </c>
      <c r="H148" t="s">
        <v>1232</v>
      </c>
      <c r="I148" s="7" t="s">
        <v>1489</v>
      </c>
      <c r="J148" t="s">
        <v>1870</v>
      </c>
      <c r="K148" t="s">
        <v>1870</v>
      </c>
      <c r="L148" s="7" t="s">
        <v>1489</v>
      </c>
      <c r="M148" s="7" t="s">
        <v>1489</v>
      </c>
      <c r="N148" t="s">
        <v>1870</v>
      </c>
      <c r="O148" t="s">
        <v>1489</v>
      </c>
      <c r="Q148" s="3">
        <v>0</v>
      </c>
    </row>
    <row r="149" spans="1:18" x14ac:dyDescent="0.3">
      <c r="A149" s="249" t="s">
        <v>1870</v>
      </c>
      <c r="B149" s="246">
        <v>600</v>
      </c>
      <c r="C149" t="s">
        <v>1870</v>
      </c>
      <c r="D149" t="s">
        <v>1870</v>
      </c>
      <c r="E149" s="246" t="s">
        <v>183</v>
      </c>
      <c r="F149" s="7">
        <v>1</v>
      </c>
      <c r="G149" t="s">
        <v>1870</v>
      </c>
      <c r="H149" t="s">
        <v>1236</v>
      </c>
      <c r="I149" s="7" t="s">
        <v>1489</v>
      </c>
      <c r="J149" t="s">
        <v>1870</v>
      </c>
      <c r="K149" t="s">
        <v>1870</v>
      </c>
      <c r="L149" s="7" t="s">
        <v>1489</v>
      </c>
      <c r="M149" s="7" t="s">
        <v>1489</v>
      </c>
      <c r="N149" t="s">
        <v>1870</v>
      </c>
      <c r="O149" t="s">
        <v>1489</v>
      </c>
      <c r="Q149" s="3">
        <v>0</v>
      </c>
    </row>
    <row r="150" spans="1:18" x14ac:dyDescent="0.3">
      <c r="A150" s="249" t="s">
        <v>1870</v>
      </c>
      <c r="B150" s="246">
        <v>600</v>
      </c>
      <c r="C150" t="s">
        <v>1870</v>
      </c>
      <c r="D150" t="s">
        <v>1870</v>
      </c>
      <c r="E150" s="7" t="s">
        <v>108</v>
      </c>
      <c r="F150" s="7">
        <v>0</v>
      </c>
      <c r="G150" t="s">
        <v>1870</v>
      </c>
      <c r="H150" t="s">
        <v>1238</v>
      </c>
      <c r="I150" t="s">
        <v>1489</v>
      </c>
      <c r="J150" t="s">
        <v>1870</v>
      </c>
      <c r="K150" t="s">
        <v>1870</v>
      </c>
      <c r="L150" t="s">
        <v>1489</v>
      </c>
      <c r="M150" t="s">
        <v>1489</v>
      </c>
      <c r="N150" t="s">
        <v>1870</v>
      </c>
      <c r="O150" t="s">
        <v>1489</v>
      </c>
      <c r="Q150" s="3">
        <v>0</v>
      </c>
    </row>
    <row r="151" spans="1:18" x14ac:dyDescent="0.3">
      <c r="A151" s="249" t="s">
        <v>1870</v>
      </c>
      <c r="B151" s="246">
        <v>600</v>
      </c>
      <c r="C151" t="s">
        <v>1870</v>
      </c>
      <c r="D151" t="s">
        <v>1870</v>
      </c>
      <c r="E151" s="7" t="s">
        <v>175</v>
      </c>
      <c r="F151">
        <v>0</v>
      </c>
      <c r="G151" t="s">
        <v>1870</v>
      </c>
      <c r="H151" t="s">
        <v>1242</v>
      </c>
      <c r="I151" s="7" t="s">
        <v>1489</v>
      </c>
      <c r="J151" t="s">
        <v>1870</v>
      </c>
      <c r="K151" t="s">
        <v>1870</v>
      </c>
      <c r="L151" s="7" t="s">
        <v>1489</v>
      </c>
      <c r="M151" s="7" t="s">
        <v>1489</v>
      </c>
      <c r="N151" t="s">
        <v>1870</v>
      </c>
      <c r="O151" t="s">
        <v>1489</v>
      </c>
      <c r="Q151" s="3">
        <v>0</v>
      </c>
    </row>
    <row r="152" spans="1:18" x14ac:dyDescent="0.3">
      <c r="A152" s="249" t="s">
        <v>1870</v>
      </c>
      <c r="B152" s="246">
        <v>620</v>
      </c>
      <c r="C152" t="s">
        <v>1870</v>
      </c>
      <c r="D152" t="s">
        <v>1870</v>
      </c>
      <c r="E152" s="7" t="s">
        <v>28</v>
      </c>
      <c r="F152" s="7">
        <v>1</v>
      </c>
      <c r="G152" t="s">
        <v>1870</v>
      </c>
      <c r="H152" t="s">
        <v>1257</v>
      </c>
      <c r="I152" s="7" t="s">
        <v>1489</v>
      </c>
      <c r="J152" t="s">
        <v>1870</v>
      </c>
      <c r="K152" t="s">
        <v>1870</v>
      </c>
      <c r="L152" s="7" t="s">
        <v>1489</v>
      </c>
      <c r="M152" s="7" t="s">
        <v>1489</v>
      </c>
      <c r="N152" t="s">
        <v>1870</v>
      </c>
      <c r="O152" t="s">
        <v>1489</v>
      </c>
      <c r="Q152" s="3">
        <v>0</v>
      </c>
    </row>
    <row r="153" spans="1:18" x14ac:dyDescent="0.3">
      <c r="A153" s="249" t="s">
        <v>1870</v>
      </c>
      <c r="B153" s="246">
        <v>620</v>
      </c>
      <c r="C153" t="s">
        <v>1870</v>
      </c>
      <c r="D153" t="s">
        <v>1870</v>
      </c>
      <c r="E153" s="7" t="s">
        <v>272</v>
      </c>
      <c r="F153">
        <v>0</v>
      </c>
      <c r="G153" t="s">
        <v>1870</v>
      </c>
      <c r="H153" t="s">
        <v>1261</v>
      </c>
      <c r="I153" s="7" t="s">
        <v>1489</v>
      </c>
      <c r="J153" t="s">
        <v>1870</v>
      </c>
      <c r="K153" t="s">
        <v>1870</v>
      </c>
      <c r="L153" s="7" t="s">
        <v>1489</v>
      </c>
      <c r="M153" s="7" t="s">
        <v>1489</v>
      </c>
      <c r="N153" t="s">
        <v>1870</v>
      </c>
      <c r="O153" t="s">
        <v>1489</v>
      </c>
      <c r="Q153" s="3">
        <v>0</v>
      </c>
    </row>
    <row r="154" spans="1:18" x14ac:dyDescent="0.3">
      <c r="A154" s="249" t="s">
        <v>1870</v>
      </c>
      <c r="B154" s="246">
        <v>650</v>
      </c>
      <c r="C154" t="s">
        <v>1870</v>
      </c>
      <c r="D154" t="s">
        <v>1870</v>
      </c>
      <c r="E154" s="7" t="s">
        <v>45</v>
      </c>
      <c r="F154">
        <v>0</v>
      </c>
      <c r="G154" t="s">
        <v>1870</v>
      </c>
      <c r="H154" t="s">
        <v>1264</v>
      </c>
      <c r="I154" t="s">
        <v>1489</v>
      </c>
      <c r="J154" t="s">
        <v>1870</v>
      </c>
      <c r="K154" t="s">
        <v>1870</v>
      </c>
      <c r="L154" t="s">
        <v>1489</v>
      </c>
      <c r="M154" t="s">
        <v>1489</v>
      </c>
      <c r="N154" t="s">
        <v>1870</v>
      </c>
      <c r="O154" t="s">
        <v>1994</v>
      </c>
      <c r="P154" s="3">
        <v>4250.45</v>
      </c>
      <c r="Q154" s="3">
        <v>7500</v>
      </c>
      <c r="R154" s="3">
        <v>0</v>
      </c>
    </row>
    <row r="155" spans="1:18" x14ac:dyDescent="0.3">
      <c r="A155" s="249" t="s">
        <v>1870</v>
      </c>
      <c r="B155" s="246">
        <v>650</v>
      </c>
      <c r="C155" t="s">
        <v>1870</v>
      </c>
      <c r="D155" t="s">
        <v>1870</v>
      </c>
      <c r="E155" s="7" t="s">
        <v>61</v>
      </c>
      <c r="F155">
        <v>0</v>
      </c>
      <c r="G155" t="s">
        <v>1870</v>
      </c>
      <c r="H155" t="s">
        <v>1268</v>
      </c>
      <c r="I155" s="7" t="s">
        <v>1489</v>
      </c>
      <c r="J155" t="s">
        <v>1870</v>
      </c>
      <c r="K155" t="s">
        <v>1870</v>
      </c>
      <c r="L155" s="7" t="s">
        <v>1489</v>
      </c>
      <c r="M155" s="7" t="s">
        <v>1489</v>
      </c>
      <c r="N155" t="s">
        <v>1870</v>
      </c>
      <c r="O155" t="s">
        <v>1489</v>
      </c>
      <c r="Q155" s="3">
        <v>0</v>
      </c>
    </row>
    <row r="156" spans="1:18" x14ac:dyDescent="0.3">
      <c r="A156" s="249" t="s">
        <v>1870</v>
      </c>
      <c r="B156" s="246">
        <v>650</v>
      </c>
      <c r="C156" t="s">
        <v>1870</v>
      </c>
      <c r="D156" t="s">
        <v>1870</v>
      </c>
      <c r="E156" s="7" t="s">
        <v>345</v>
      </c>
      <c r="F156">
        <v>0</v>
      </c>
      <c r="G156" t="s">
        <v>1870</v>
      </c>
      <c r="H156" t="s">
        <v>1270</v>
      </c>
      <c r="I156" t="s">
        <v>1489</v>
      </c>
      <c r="J156" t="s">
        <v>1870</v>
      </c>
      <c r="K156" t="s">
        <v>1870</v>
      </c>
      <c r="L156" t="s">
        <v>1489</v>
      </c>
      <c r="M156" t="s">
        <v>1489</v>
      </c>
      <c r="N156" t="s">
        <v>1870</v>
      </c>
      <c r="O156" t="s">
        <v>1994</v>
      </c>
      <c r="P156" s="3">
        <v>-4250.45</v>
      </c>
      <c r="Q156" s="3">
        <v>0</v>
      </c>
      <c r="R156" s="3">
        <v>0</v>
      </c>
    </row>
    <row r="157" spans="1:18" x14ac:dyDescent="0.3">
      <c r="A157" s="249" t="s">
        <v>1870</v>
      </c>
      <c r="B157" s="246">
        <v>660</v>
      </c>
      <c r="C157" t="s">
        <v>1870</v>
      </c>
      <c r="D157" t="s">
        <v>1870</v>
      </c>
      <c r="E157" s="7" t="s">
        <v>6</v>
      </c>
      <c r="F157">
        <v>0</v>
      </c>
      <c r="G157" t="s">
        <v>1870</v>
      </c>
      <c r="H157" t="s">
        <v>1275</v>
      </c>
      <c r="I157" s="7" t="s">
        <v>1489</v>
      </c>
      <c r="J157" t="s">
        <v>1870</v>
      </c>
      <c r="K157" t="s">
        <v>1870</v>
      </c>
      <c r="L157" s="7" t="s">
        <v>1489</v>
      </c>
      <c r="M157" s="7" t="s">
        <v>1489</v>
      </c>
      <c r="N157" t="s">
        <v>1870</v>
      </c>
      <c r="O157" t="s">
        <v>1489</v>
      </c>
      <c r="Q157" s="3">
        <v>0</v>
      </c>
    </row>
    <row r="158" spans="1:18" x14ac:dyDescent="0.3">
      <c r="A158" s="249" t="s">
        <v>1870</v>
      </c>
      <c r="B158" s="246">
        <v>660</v>
      </c>
      <c r="C158" t="s">
        <v>1870</v>
      </c>
      <c r="D158" t="s">
        <v>1870</v>
      </c>
      <c r="E158" s="7" t="s">
        <v>351</v>
      </c>
      <c r="F158">
        <v>0</v>
      </c>
      <c r="G158" t="s">
        <v>1870</v>
      </c>
      <c r="H158" t="s">
        <v>1277</v>
      </c>
      <c r="I158" t="s">
        <v>1489</v>
      </c>
      <c r="J158" t="s">
        <v>1870</v>
      </c>
      <c r="K158" t="s">
        <v>1870</v>
      </c>
      <c r="L158" t="s">
        <v>1489</v>
      </c>
      <c r="M158" t="s">
        <v>1489</v>
      </c>
      <c r="N158" t="s">
        <v>1870</v>
      </c>
      <c r="O158" t="s">
        <v>1489</v>
      </c>
      <c r="Q158" s="3">
        <v>0</v>
      </c>
    </row>
    <row r="159" spans="1:18" x14ac:dyDescent="0.3">
      <c r="A159" s="249" t="s">
        <v>1870</v>
      </c>
      <c r="B159" s="246">
        <v>660</v>
      </c>
      <c r="C159" t="s">
        <v>1870</v>
      </c>
      <c r="D159" t="s">
        <v>1870</v>
      </c>
      <c r="E159" s="7" t="s">
        <v>64</v>
      </c>
      <c r="F159">
        <v>0</v>
      </c>
      <c r="G159" t="s">
        <v>1870</v>
      </c>
      <c r="H159" t="s">
        <v>1279</v>
      </c>
      <c r="I159" t="s">
        <v>1489</v>
      </c>
      <c r="J159" t="s">
        <v>1870</v>
      </c>
      <c r="K159" t="s">
        <v>1870</v>
      </c>
      <c r="L159" t="s">
        <v>1489</v>
      </c>
      <c r="M159" t="s">
        <v>1489</v>
      </c>
      <c r="N159" t="s">
        <v>1870</v>
      </c>
      <c r="O159" t="s">
        <v>1489</v>
      </c>
      <c r="Q159" s="3">
        <v>0</v>
      </c>
    </row>
    <row r="160" spans="1:18" x14ac:dyDescent="0.3">
      <c r="A160" s="249" t="s">
        <v>1870</v>
      </c>
      <c r="B160" s="246">
        <v>710</v>
      </c>
      <c r="C160" t="s">
        <v>1870</v>
      </c>
      <c r="D160" t="s">
        <v>1870</v>
      </c>
      <c r="E160" s="7" t="s">
        <v>183</v>
      </c>
      <c r="F160">
        <v>0</v>
      </c>
      <c r="G160" t="s">
        <v>1870</v>
      </c>
      <c r="H160" t="s">
        <v>1282</v>
      </c>
      <c r="I160" t="s">
        <v>1489</v>
      </c>
      <c r="J160" t="s">
        <v>1870</v>
      </c>
      <c r="K160" t="s">
        <v>1870</v>
      </c>
      <c r="L160" t="s">
        <v>1489</v>
      </c>
      <c r="M160" t="s">
        <v>1489</v>
      </c>
      <c r="N160" t="s">
        <v>1870</v>
      </c>
      <c r="O160" t="s">
        <v>1489</v>
      </c>
      <c r="Q160" s="3">
        <v>0</v>
      </c>
    </row>
    <row r="161" spans="1:17" x14ac:dyDescent="0.3">
      <c r="A161" s="249" t="s">
        <v>1870</v>
      </c>
      <c r="B161" s="246">
        <v>710</v>
      </c>
      <c r="C161" t="s">
        <v>1870</v>
      </c>
      <c r="D161" t="s">
        <v>1870</v>
      </c>
      <c r="E161" s="7" t="s">
        <v>5</v>
      </c>
      <c r="F161">
        <v>0</v>
      </c>
      <c r="G161" t="s">
        <v>1870</v>
      </c>
      <c r="H161" t="s">
        <v>1284</v>
      </c>
      <c r="I161" t="s">
        <v>1489</v>
      </c>
      <c r="J161" t="s">
        <v>1870</v>
      </c>
      <c r="K161" t="s">
        <v>1870</v>
      </c>
      <c r="L161" t="s">
        <v>1489</v>
      </c>
      <c r="M161" t="s">
        <v>1489</v>
      </c>
      <c r="N161" t="s">
        <v>1870</v>
      </c>
      <c r="O161" t="s">
        <v>1489</v>
      </c>
      <c r="Q161" s="3">
        <v>0</v>
      </c>
    </row>
    <row r="162" spans="1:17" x14ac:dyDescent="0.3">
      <c r="A162" s="249" t="s">
        <v>1870</v>
      </c>
      <c r="B162" s="246">
        <v>710</v>
      </c>
      <c r="C162" t="s">
        <v>1870</v>
      </c>
      <c r="D162" t="s">
        <v>1870</v>
      </c>
      <c r="E162" s="7" t="s">
        <v>28</v>
      </c>
      <c r="F162">
        <v>0</v>
      </c>
      <c r="G162" t="s">
        <v>1870</v>
      </c>
      <c r="H162" t="s">
        <v>1292</v>
      </c>
      <c r="I162" s="7" t="s">
        <v>1489</v>
      </c>
      <c r="J162" t="s">
        <v>1870</v>
      </c>
      <c r="K162" t="s">
        <v>1870</v>
      </c>
      <c r="L162" s="7" t="s">
        <v>1489</v>
      </c>
      <c r="M162" s="7" t="s">
        <v>1489</v>
      </c>
      <c r="N162" t="s">
        <v>1870</v>
      </c>
      <c r="O162" t="s">
        <v>1489</v>
      </c>
      <c r="Q162" s="3">
        <v>0</v>
      </c>
    </row>
    <row r="163" spans="1:17" x14ac:dyDescent="0.3">
      <c r="A163" s="249" t="s">
        <v>1870</v>
      </c>
      <c r="B163" s="246">
        <v>720</v>
      </c>
      <c r="C163" t="s">
        <v>1870</v>
      </c>
      <c r="D163" t="s">
        <v>1870</v>
      </c>
      <c r="E163" s="246" t="s">
        <v>183</v>
      </c>
      <c r="F163" s="7">
        <v>1</v>
      </c>
      <c r="G163" t="s">
        <v>1870</v>
      </c>
      <c r="H163" t="s">
        <v>1297</v>
      </c>
      <c r="I163" s="7" t="s">
        <v>1489</v>
      </c>
      <c r="J163" t="s">
        <v>1870</v>
      </c>
      <c r="K163" t="s">
        <v>1870</v>
      </c>
      <c r="L163" s="7" t="s">
        <v>1489</v>
      </c>
      <c r="M163" s="7" t="s">
        <v>1489</v>
      </c>
      <c r="N163" t="s">
        <v>1870</v>
      </c>
      <c r="O163" t="s">
        <v>1489</v>
      </c>
      <c r="Q163" s="3">
        <v>0</v>
      </c>
    </row>
    <row r="164" spans="1:17" x14ac:dyDescent="0.3">
      <c r="A164" s="249" t="s">
        <v>1870</v>
      </c>
      <c r="B164" s="246">
        <v>720</v>
      </c>
      <c r="C164" t="s">
        <v>1870</v>
      </c>
      <c r="D164" t="s">
        <v>1870</v>
      </c>
      <c r="E164" s="7" t="s">
        <v>175</v>
      </c>
      <c r="F164">
        <v>0</v>
      </c>
      <c r="G164" t="s">
        <v>1870</v>
      </c>
      <c r="H164" t="s">
        <v>1301</v>
      </c>
      <c r="I164" s="7" t="s">
        <v>1489</v>
      </c>
      <c r="J164" t="s">
        <v>1870</v>
      </c>
      <c r="K164" t="s">
        <v>1870</v>
      </c>
      <c r="L164" s="7" t="s">
        <v>1489</v>
      </c>
      <c r="M164" s="7" t="s">
        <v>1489</v>
      </c>
      <c r="N164" t="s">
        <v>1870</v>
      </c>
      <c r="O164" t="s">
        <v>1489</v>
      </c>
      <c r="P164" s="3">
        <v>-50.5</v>
      </c>
      <c r="Q164" s="3">
        <v>0</v>
      </c>
    </row>
    <row r="165" spans="1:17" x14ac:dyDescent="0.3">
      <c r="A165" s="249" t="s">
        <v>1870</v>
      </c>
      <c r="B165" s="246">
        <v>720</v>
      </c>
      <c r="C165" t="s">
        <v>1870</v>
      </c>
      <c r="D165" t="s">
        <v>1870</v>
      </c>
      <c r="E165" s="7" t="s">
        <v>345</v>
      </c>
      <c r="F165">
        <v>0</v>
      </c>
      <c r="G165" t="s">
        <v>1870</v>
      </c>
      <c r="H165" t="s">
        <v>1303</v>
      </c>
      <c r="I165" t="s">
        <v>1489</v>
      </c>
      <c r="J165" t="s">
        <v>1870</v>
      </c>
      <c r="K165" t="s">
        <v>1870</v>
      </c>
      <c r="L165" t="s">
        <v>1489</v>
      </c>
      <c r="M165" t="s">
        <v>1489</v>
      </c>
      <c r="N165" t="s">
        <v>1870</v>
      </c>
      <c r="O165" t="s">
        <v>1489</v>
      </c>
      <c r="Q165" s="3">
        <v>0</v>
      </c>
    </row>
    <row r="166" spans="1:17" x14ac:dyDescent="0.3">
      <c r="A166" s="249" t="s">
        <v>1870</v>
      </c>
      <c r="B166" s="246">
        <v>810</v>
      </c>
      <c r="C166" t="s">
        <v>1870</v>
      </c>
      <c r="D166" t="s">
        <v>1870</v>
      </c>
      <c r="E166" s="7" t="s">
        <v>164</v>
      </c>
      <c r="F166">
        <v>0</v>
      </c>
      <c r="G166" t="s">
        <v>1870</v>
      </c>
      <c r="H166" t="s">
        <v>1334</v>
      </c>
      <c r="I166" s="7" t="s">
        <v>1489</v>
      </c>
      <c r="J166" t="s">
        <v>1870</v>
      </c>
      <c r="K166" t="s">
        <v>1870</v>
      </c>
      <c r="L166" s="7" t="s">
        <v>1489</v>
      </c>
      <c r="M166" s="7" t="s">
        <v>1489</v>
      </c>
      <c r="N166" t="s">
        <v>1870</v>
      </c>
      <c r="O166" t="s">
        <v>1489</v>
      </c>
      <c r="Q166" s="3">
        <v>0</v>
      </c>
    </row>
    <row r="167" spans="1:17" x14ac:dyDescent="0.3">
      <c r="A167" s="249" t="s">
        <v>1870</v>
      </c>
      <c r="B167" s="246">
        <v>810</v>
      </c>
      <c r="C167" t="s">
        <v>1870</v>
      </c>
      <c r="D167" t="s">
        <v>1870</v>
      </c>
      <c r="E167" s="7" t="s">
        <v>28</v>
      </c>
      <c r="F167" s="7">
        <v>1</v>
      </c>
      <c r="G167" t="s">
        <v>1870</v>
      </c>
      <c r="H167" t="s">
        <v>1344</v>
      </c>
      <c r="I167" s="7" t="s">
        <v>1489</v>
      </c>
      <c r="J167" t="s">
        <v>1870</v>
      </c>
      <c r="K167" t="s">
        <v>1870</v>
      </c>
      <c r="L167" s="7" t="s">
        <v>1489</v>
      </c>
      <c r="M167" s="7" t="s">
        <v>1489</v>
      </c>
      <c r="N167" t="s">
        <v>1870</v>
      </c>
      <c r="O167" t="s">
        <v>1489</v>
      </c>
      <c r="Q167" s="3">
        <v>0</v>
      </c>
    </row>
    <row r="168" spans="1:17" x14ac:dyDescent="0.3">
      <c r="A168" s="249" t="s">
        <v>1870</v>
      </c>
      <c r="B168" s="246">
        <v>810</v>
      </c>
      <c r="C168" t="s">
        <v>1870</v>
      </c>
      <c r="D168" t="s">
        <v>1870</v>
      </c>
      <c r="E168" s="7" t="s">
        <v>345</v>
      </c>
      <c r="F168">
        <v>0</v>
      </c>
      <c r="G168" t="s">
        <v>1870</v>
      </c>
      <c r="H168" t="s">
        <v>1358</v>
      </c>
      <c r="I168" s="7" t="s">
        <v>1489</v>
      </c>
      <c r="J168" t="s">
        <v>1870</v>
      </c>
      <c r="K168" t="s">
        <v>1870</v>
      </c>
      <c r="L168" s="7" t="s">
        <v>1489</v>
      </c>
      <c r="M168" s="7" t="s">
        <v>1489</v>
      </c>
      <c r="N168" t="s">
        <v>1870</v>
      </c>
      <c r="O168" t="s">
        <v>1489</v>
      </c>
      <c r="Q168" s="3">
        <v>0</v>
      </c>
    </row>
    <row r="169" spans="1:17" x14ac:dyDescent="0.3">
      <c r="A169" s="249" t="s">
        <v>1870</v>
      </c>
      <c r="B169" s="246">
        <v>810</v>
      </c>
      <c r="C169" t="s">
        <v>1870</v>
      </c>
      <c r="D169" t="s">
        <v>1870</v>
      </c>
      <c r="E169" s="7" t="s">
        <v>64</v>
      </c>
      <c r="F169">
        <v>0</v>
      </c>
      <c r="G169" t="s">
        <v>1870</v>
      </c>
      <c r="H169" t="s">
        <v>1362</v>
      </c>
      <c r="I169" s="7" t="s">
        <v>1489</v>
      </c>
      <c r="J169" t="s">
        <v>1870</v>
      </c>
      <c r="K169" t="s">
        <v>1870</v>
      </c>
      <c r="L169" s="7" t="s">
        <v>1489</v>
      </c>
      <c r="M169" s="7" t="s">
        <v>1489</v>
      </c>
      <c r="N169" t="s">
        <v>1870</v>
      </c>
      <c r="O169" t="s">
        <v>1489</v>
      </c>
      <c r="Q169" s="3">
        <v>0</v>
      </c>
    </row>
    <row r="170" spans="1:17" x14ac:dyDescent="0.3">
      <c r="A170" s="249" t="s">
        <v>1870</v>
      </c>
      <c r="B170" s="246">
        <v>3500</v>
      </c>
      <c r="C170" t="s">
        <v>1870</v>
      </c>
      <c r="D170" t="s">
        <v>1870</v>
      </c>
      <c r="E170" s="246" t="s">
        <v>22</v>
      </c>
      <c r="F170">
        <v>0</v>
      </c>
      <c r="G170" t="s">
        <v>1870</v>
      </c>
      <c r="H170" s="248" t="s">
        <v>476</v>
      </c>
      <c r="I170" s="7" t="s">
        <v>1489</v>
      </c>
      <c r="J170" t="s">
        <v>1870</v>
      </c>
      <c r="K170" t="s">
        <v>1870</v>
      </c>
      <c r="L170" s="7" t="s">
        <v>1489</v>
      </c>
      <c r="M170" s="7" t="s">
        <v>1489</v>
      </c>
      <c r="N170" t="s">
        <v>1870</v>
      </c>
      <c r="O170">
        <v>0</v>
      </c>
      <c r="Q170" s="3">
        <v>0</v>
      </c>
    </row>
    <row r="171" spans="1:17" x14ac:dyDescent="0.3">
      <c r="A171" s="249" t="s">
        <v>1870</v>
      </c>
      <c r="B171" s="246">
        <v>3500</v>
      </c>
      <c r="C171" t="s">
        <v>1870</v>
      </c>
      <c r="D171" t="s">
        <v>1870</v>
      </c>
      <c r="E171" s="7" t="s">
        <v>439</v>
      </c>
      <c r="F171" s="7">
        <v>0</v>
      </c>
      <c r="G171" t="s">
        <v>1870</v>
      </c>
      <c r="H171" t="s">
        <v>484</v>
      </c>
      <c r="I171" s="7" t="s">
        <v>1489</v>
      </c>
      <c r="J171" t="s">
        <v>1870</v>
      </c>
      <c r="K171" t="s">
        <v>1870</v>
      </c>
      <c r="L171" s="7" t="s">
        <v>1489</v>
      </c>
      <c r="M171" s="7" t="s">
        <v>1489</v>
      </c>
      <c r="N171" t="s">
        <v>1870</v>
      </c>
      <c r="O171">
        <v>0</v>
      </c>
      <c r="Q171" s="3">
        <v>0</v>
      </c>
    </row>
    <row r="172" spans="1:17" x14ac:dyDescent="0.3">
      <c r="A172" s="249" t="s">
        <v>1870</v>
      </c>
      <c r="B172" s="246">
        <v>3500</v>
      </c>
      <c r="C172" t="s">
        <v>1870</v>
      </c>
      <c r="D172" t="s">
        <v>1870</v>
      </c>
      <c r="E172" s="246" t="s">
        <v>131</v>
      </c>
      <c r="F172" s="7">
        <v>1</v>
      </c>
      <c r="G172" t="s">
        <v>1870</v>
      </c>
      <c r="H172" t="s">
        <v>488</v>
      </c>
      <c r="I172" s="7" t="s">
        <v>1489</v>
      </c>
      <c r="J172" t="s">
        <v>1870</v>
      </c>
      <c r="K172" t="s">
        <v>1870</v>
      </c>
      <c r="L172" s="7" t="s">
        <v>1489</v>
      </c>
      <c r="M172" s="7" t="s">
        <v>1489</v>
      </c>
      <c r="N172" t="s">
        <v>1870</v>
      </c>
      <c r="O172">
        <v>0</v>
      </c>
      <c r="Q172" s="3">
        <v>0</v>
      </c>
    </row>
    <row r="173" spans="1:17" x14ac:dyDescent="0.3">
      <c r="A173" s="249" t="s">
        <v>1870</v>
      </c>
      <c r="B173" s="246">
        <v>3500</v>
      </c>
      <c r="C173" t="s">
        <v>1870</v>
      </c>
      <c r="D173" t="s">
        <v>1870</v>
      </c>
      <c r="E173" s="7" t="s">
        <v>164</v>
      </c>
      <c r="F173">
        <v>0</v>
      </c>
      <c r="G173" t="s">
        <v>1870</v>
      </c>
      <c r="H173" t="s">
        <v>502</v>
      </c>
      <c r="I173" t="s">
        <v>1489</v>
      </c>
      <c r="J173" t="s">
        <v>1870</v>
      </c>
      <c r="K173" t="s">
        <v>1870</v>
      </c>
      <c r="L173">
        <v>0</v>
      </c>
      <c r="M173" t="s">
        <v>1489</v>
      </c>
      <c r="N173" t="s">
        <v>1870</v>
      </c>
      <c r="O173">
        <v>0</v>
      </c>
      <c r="Q173" s="3">
        <v>0</v>
      </c>
    </row>
    <row r="174" spans="1:17" x14ac:dyDescent="0.3">
      <c r="A174" s="249" t="s">
        <v>1870</v>
      </c>
      <c r="B174" s="246">
        <v>3500</v>
      </c>
      <c r="C174" t="s">
        <v>1870</v>
      </c>
      <c r="D174" t="s">
        <v>1870</v>
      </c>
      <c r="E174" s="7" t="s">
        <v>6</v>
      </c>
      <c r="F174">
        <v>0</v>
      </c>
      <c r="G174" t="s">
        <v>1870</v>
      </c>
      <c r="H174" t="s">
        <v>506</v>
      </c>
      <c r="I174" t="s">
        <v>1489</v>
      </c>
      <c r="J174" t="s">
        <v>1870</v>
      </c>
      <c r="K174" t="s">
        <v>1870</v>
      </c>
      <c r="L174" t="s">
        <v>1489</v>
      </c>
      <c r="M174" t="s">
        <v>1489</v>
      </c>
      <c r="N174" t="s">
        <v>1870</v>
      </c>
      <c r="O174">
        <v>0</v>
      </c>
      <c r="Q174" s="3">
        <v>0</v>
      </c>
    </row>
    <row r="175" spans="1:17" x14ac:dyDescent="0.3">
      <c r="A175" s="249" t="s">
        <v>1870</v>
      </c>
      <c r="B175" s="246">
        <v>3500</v>
      </c>
      <c r="C175" t="s">
        <v>1870</v>
      </c>
      <c r="D175" t="s">
        <v>1870</v>
      </c>
      <c r="E175" s="7" t="s">
        <v>6</v>
      </c>
      <c r="F175" s="7">
        <v>1</v>
      </c>
      <c r="G175" t="s">
        <v>1870</v>
      </c>
      <c r="H175" t="s">
        <v>508</v>
      </c>
      <c r="I175" t="s">
        <v>1489</v>
      </c>
      <c r="J175" t="s">
        <v>1870</v>
      </c>
      <c r="K175" t="s">
        <v>1870</v>
      </c>
      <c r="L175" t="s">
        <v>1489</v>
      </c>
      <c r="M175" t="s">
        <v>1489</v>
      </c>
      <c r="N175" t="s">
        <v>1870</v>
      </c>
      <c r="O175">
        <v>0</v>
      </c>
      <c r="Q175" s="3">
        <v>0</v>
      </c>
    </row>
    <row r="176" spans="1:17" x14ac:dyDescent="0.3">
      <c r="A176" s="249" t="s">
        <v>1870</v>
      </c>
      <c r="B176" s="246">
        <v>3500</v>
      </c>
      <c r="C176" t="s">
        <v>1870</v>
      </c>
      <c r="D176" t="s">
        <v>1870</v>
      </c>
      <c r="E176" s="7" t="s">
        <v>6</v>
      </c>
      <c r="F176" s="7">
        <v>2</v>
      </c>
      <c r="G176" t="s">
        <v>1870</v>
      </c>
      <c r="H176" t="s">
        <v>510</v>
      </c>
      <c r="I176" t="s">
        <v>1489</v>
      </c>
      <c r="J176" t="s">
        <v>1870</v>
      </c>
      <c r="K176" t="s">
        <v>1870</v>
      </c>
      <c r="L176" t="s">
        <v>1489</v>
      </c>
      <c r="M176" t="s">
        <v>1489</v>
      </c>
      <c r="N176" t="s">
        <v>1870</v>
      </c>
      <c r="O176">
        <v>0</v>
      </c>
      <c r="Q176" s="3">
        <v>0</v>
      </c>
    </row>
    <row r="177" spans="1:17" x14ac:dyDescent="0.3">
      <c r="A177" s="249" t="s">
        <v>1870</v>
      </c>
      <c r="B177" s="246">
        <v>3500</v>
      </c>
      <c r="C177" t="s">
        <v>1870</v>
      </c>
      <c r="D177" t="s">
        <v>1870</v>
      </c>
      <c r="E177" s="7" t="s">
        <v>28</v>
      </c>
      <c r="F177" s="7">
        <v>1</v>
      </c>
      <c r="G177" t="s">
        <v>1870</v>
      </c>
      <c r="H177" t="s">
        <v>512</v>
      </c>
      <c r="I177" t="s">
        <v>1489</v>
      </c>
      <c r="J177" t="s">
        <v>1870</v>
      </c>
      <c r="K177" t="s">
        <v>1870</v>
      </c>
      <c r="L177" t="s">
        <v>1489</v>
      </c>
      <c r="M177" t="s">
        <v>1489</v>
      </c>
      <c r="N177" t="s">
        <v>1870</v>
      </c>
      <c r="O177">
        <v>0</v>
      </c>
      <c r="Q177" s="3">
        <v>0</v>
      </c>
    </row>
    <row r="178" spans="1:17" x14ac:dyDescent="0.3">
      <c r="A178" s="249" t="s">
        <v>1870</v>
      </c>
      <c r="B178" s="246">
        <v>3500</v>
      </c>
      <c r="C178" t="s">
        <v>1870</v>
      </c>
      <c r="D178" t="s">
        <v>1870</v>
      </c>
      <c r="E178" s="246" t="s">
        <v>335</v>
      </c>
      <c r="F178" s="7">
        <v>0</v>
      </c>
      <c r="G178" t="s">
        <v>1870</v>
      </c>
      <c r="H178" s="248" t="s">
        <v>514</v>
      </c>
      <c r="I178" t="s">
        <v>1489</v>
      </c>
      <c r="J178" t="s">
        <v>1870</v>
      </c>
      <c r="K178" t="s">
        <v>1870</v>
      </c>
      <c r="L178" t="s">
        <v>1489</v>
      </c>
      <c r="M178" t="s">
        <v>1489</v>
      </c>
      <c r="N178" t="s">
        <v>1870</v>
      </c>
      <c r="O178">
        <v>0</v>
      </c>
      <c r="Q178" s="3">
        <v>0</v>
      </c>
    </row>
    <row r="179" spans="1:17" x14ac:dyDescent="0.3">
      <c r="A179" s="249" t="s">
        <v>1870</v>
      </c>
      <c r="B179" s="246">
        <v>3500</v>
      </c>
      <c r="C179" t="s">
        <v>1870</v>
      </c>
      <c r="D179" t="s">
        <v>1870</v>
      </c>
      <c r="E179" s="246" t="s">
        <v>335</v>
      </c>
      <c r="F179" s="7">
        <v>1</v>
      </c>
      <c r="G179" t="s">
        <v>1870</v>
      </c>
      <c r="H179" t="s">
        <v>516</v>
      </c>
      <c r="I179" s="7" t="s">
        <v>1489</v>
      </c>
      <c r="J179" t="s">
        <v>1870</v>
      </c>
      <c r="K179" t="s">
        <v>1870</v>
      </c>
      <c r="L179" s="7" t="s">
        <v>1489</v>
      </c>
      <c r="M179" s="7" t="s">
        <v>1489</v>
      </c>
      <c r="N179" t="s">
        <v>1870</v>
      </c>
      <c r="O179">
        <v>0</v>
      </c>
      <c r="Q179" s="3">
        <v>0</v>
      </c>
    </row>
    <row r="180" spans="1:17" x14ac:dyDescent="0.3">
      <c r="A180" s="249" t="s">
        <v>1870</v>
      </c>
      <c r="B180" s="246">
        <v>3501</v>
      </c>
      <c r="C180" t="s">
        <v>1870</v>
      </c>
      <c r="D180" t="s">
        <v>1870</v>
      </c>
      <c r="E180" s="7" t="s">
        <v>159</v>
      </c>
      <c r="F180">
        <v>0</v>
      </c>
      <c r="G180" t="s">
        <v>1870</v>
      </c>
      <c r="H180" t="s">
        <v>529</v>
      </c>
      <c r="I180" s="7" t="s">
        <v>1489</v>
      </c>
      <c r="J180" t="s">
        <v>1870</v>
      </c>
      <c r="K180" t="s">
        <v>1870</v>
      </c>
      <c r="L180" s="7" t="s">
        <v>1489</v>
      </c>
      <c r="M180" s="7" t="s">
        <v>1489</v>
      </c>
      <c r="N180" t="s">
        <v>1870</v>
      </c>
      <c r="O180">
        <v>0</v>
      </c>
      <c r="Q180" s="3">
        <v>0</v>
      </c>
    </row>
    <row r="181" spans="1:17" x14ac:dyDescent="0.3">
      <c r="A181" s="249" t="s">
        <v>1870</v>
      </c>
      <c r="B181" s="246">
        <v>3501</v>
      </c>
      <c r="C181" t="s">
        <v>1870</v>
      </c>
      <c r="D181" t="s">
        <v>1870</v>
      </c>
      <c r="E181" s="7" t="s">
        <v>159</v>
      </c>
      <c r="F181" s="7">
        <v>1</v>
      </c>
      <c r="G181" t="s">
        <v>1870</v>
      </c>
      <c r="H181" t="s">
        <v>531</v>
      </c>
      <c r="I181" t="s">
        <v>1489</v>
      </c>
      <c r="J181" t="s">
        <v>1870</v>
      </c>
      <c r="K181" t="s">
        <v>1870</v>
      </c>
      <c r="L181" t="s">
        <v>1489</v>
      </c>
      <c r="M181" t="s">
        <v>1489</v>
      </c>
      <c r="N181" t="s">
        <v>1870</v>
      </c>
      <c r="O181">
        <v>0</v>
      </c>
      <c r="Q181" s="3">
        <v>0</v>
      </c>
    </row>
    <row r="182" spans="1:17" x14ac:dyDescent="0.3">
      <c r="A182" s="249" t="s">
        <v>1870</v>
      </c>
      <c r="B182" s="246">
        <v>3501</v>
      </c>
      <c r="C182" t="s">
        <v>1870</v>
      </c>
      <c r="D182" t="s">
        <v>1870</v>
      </c>
      <c r="E182" s="7" t="s">
        <v>439</v>
      </c>
      <c r="F182" s="7">
        <v>0</v>
      </c>
      <c r="G182" t="s">
        <v>1870</v>
      </c>
      <c r="H182" t="s">
        <v>533</v>
      </c>
      <c r="I182" t="s">
        <v>1489</v>
      </c>
      <c r="J182" t="s">
        <v>1870</v>
      </c>
      <c r="K182" t="s">
        <v>1870</v>
      </c>
      <c r="L182" t="s">
        <v>1489</v>
      </c>
      <c r="M182" t="s">
        <v>1489</v>
      </c>
      <c r="N182" t="s">
        <v>1870</v>
      </c>
      <c r="O182">
        <v>0</v>
      </c>
      <c r="Q182" s="3">
        <v>0</v>
      </c>
    </row>
    <row r="183" spans="1:17" x14ac:dyDescent="0.3">
      <c r="A183" s="249" t="s">
        <v>1870</v>
      </c>
      <c r="B183" s="246">
        <v>3501</v>
      </c>
      <c r="C183" t="s">
        <v>1870</v>
      </c>
      <c r="D183" t="s">
        <v>1870</v>
      </c>
      <c r="E183" s="246" t="s">
        <v>131</v>
      </c>
      <c r="F183" s="7">
        <v>1</v>
      </c>
      <c r="G183" t="s">
        <v>1870</v>
      </c>
      <c r="H183" t="s">
        <v>537</v>
      </c>
      <c r="I183" s="7" t="s">
        <v>1489</v>
      </c>
      <c r="J183" t="s">
        <v>1870</v>
      </c>
      <c r="K183" t="s">
        <v>1870</v>
      </c>
      <c r="L183" s="7" t="s">
        <v>1489</v>
      </c>
      <c r="M183" s="7" t="s">
        <v>1489</v>
      </c>
      <c r="N183" t="s">
        <v>1870</v>
      </c>
      <c r="O183">
        <v>0</v>
      </c>
      <c r="Q183" s="3">
        <v>0</v>
      </c>
    </row>
    <row r="184" spans="1:17" x14ac:dyDescent="0.3">
      <c r="A184" s="249" t="s">
        <v>1870</v>
      </c>
      <c r="B184" s="246">
        <v>3501</v>
      </c>
      <c r="C184" t="s">
        <v>1870</v>
      </c>
      <c r="D184" t="s">
        <v>1870</v>
      </c>
      <c r="E184" s="246" t="s">
        <v>123</v>
      </c>
      <c r="F184" s="7">
        <v>1</v>
      </c>
      <c r="G184" t="s">
        <v>1870</v>
      </c>
      <c r="H184" t="s">
        <v>543</v>
      </c>
      <c r="I184" s="7" t="s">
        <v>1489</v>
      </c>
      <c r="J184" t="s">
        <v>1870</v>
      </c>
      <c r="K184" t="s">
        <v>1870</v>
      </c>
      <c r="L184" s="7" t="s">
        <v>1489</v>
      </c>
      <c r="M184" s="7" t="s">
        <v>1489</v>
      </c>
      <c r="N184" t="s">
        <v>1870</v>
      </c>
      <c r="O184">
        <v>0</v>
      </c>
      <c r="Q184" s="3">
        <v>0</v>
      </c>
    </row>
    <row r="185" spans="1:17" x14ac:dyDescent="0.3">
      <c r="A185" s="249" t="s">
        <v>1870</v>
      </c>
      <c r="B185" s="246">
        <v>3501</v>
      </c>
      <c r="C185" t="s">
        <v>1870</v>
      </c>
      <c r="D185" t="s">
        <v>1870</v>
      </c>
      <c r="E185" s="7" t="s">
        <v>6</v>
      </c>
      <c r="F185">
        <v>0</v>
      </c>
      <c r="G185" t="s">
        <v>1870</v>
      </c>
      <c r="H185" t="s">
        <v>547</v>
      </c>
      <c r="I185" s="7" t="s">
        <v>1489</v>
      </c>
      <c r="J185" t="s">
        <v>1870</v>
      </c>
      <c r="K185" t="s">
        <v>1870</v>
      </c>
      <c r="L185" s="7" t="s">
        <v>1489</v>
      </c>
      <c r="M185" s="7" t="s">
        <v>1489</v>
      </c>
      <c r="N185" t="s">
        <v>1870</v>
      </c>
      <c r="O185">
        <v>0</v>
      </c>
      <c r="Q185" s="3">
        <v>0</v>
      </c>
    </row>
    <row r="186" spans="1:17" x14ac:dyDescent="0.3">
      <c r="A186" s="249" t="s">
        <v>1870</v>
      </c>
      <c r="B186" s="246">
        <v>3501</v>
      </c>
      <c r="C186" t="s">
        <v>1870</v>
      </c>
      <c r="D186" t="s">
        <v>1870</v>
      </c>
      <c r="E186" s="7" t="s">
        <v>61</v>
      </c>
      <c r="F186" s="7">
        <v>0</v>
      </c>
      <c r="G186" t="s">
        <v>1870</v>
      </c>
      <c r="H186" t="s">
        <v>553</v>
      </c>
      <c r="I186" s="7" t="s">
        <v>1489</v>
      </c>
      <c r="J186" t="s">
        <v>1870</v>
      </c>
      <c r="K186" t="s">
        <v>1870</v>
      </c>
      <c r="L186" s="7" t="s">
        <v>1489</v>
      </c>
      <c r="M186" s="7" t="s">
        <v>1489</v>
      </c>
      <c r="N186" t="s">
        <v>1870</v>
      </c>
      <c r="O186">
        <v>0</v>
      </c>
      <c r="Q186" s="3">
        <v>0</v>
      </c>
    </row>
    <row r="187" spans="1:17" x14ac:dyDescent="0.3">
      <c r="A187" s="249" t="s">
        <v>1870</v>
      </c>
      <c r="B187" s="246">
        <v>3501</v>
      </c>
      <c r="C187" t="s">
        <v>1870</v>
      </c>
      <c r="D187" t="s">
        <v>1870</v>
      </c>
      <c r="E187" s="7" t="s">
        <v>64</v>
      </c>
      <c r="F187">
        <v>0</v>
      </c>
      <c r="G187" t="s">
        <v>1870</v>
      </c>
      <c r="H187" t="s">
        <v>555</v>
      </c>
      <c r="I187" t="s">
        <v>1489</v>
      </c>
      <c r="J187" t="s">
        <v>1870</v>
      </c>
      <c r="K187" t="s">
        <v>1870</v>
      </c>
      <c r="L187" t="s">
        <v>1489</v>
      </c>
      <c r="M187" t="s">
        <v>1489</v>
      </c>
      <c r="N187" t="s">
        <v>1870</v>
      </c>
      <c r="O187">
        <v>0</v>
      </c>
      <c r="Q187" s="3">
        <v>0</v>
      </c>
    </row>
    <row r="188" spans="1:17" x14ac:dyDescent="0.3">
      <c r="A188" s="249" t="s">
        <v>1870</v>
      </c>
      <c r="B188" s="246">
        <v>3503</v>
      </c>
      <c r="C188" t="s">
        <v>1870</v>
      </c>
      <c r="D188" t="s">
        <v>1870</v>
      </c>
      <c r="E188" s="7" t="s">
        <v>25</v>
      </c>
      <c r="F188">
        <v>0</v>
      </c>
      <c r="G188" t="s">
        <v>1870</v>
      </c>
      <c r="H188" t="s">
        <v>558</v>
      </c>
      <c r="I188" t="s">
        <v>1489</v>
      </c>
      <c r="J188" t="s">
        <v>1870</v>
      </c>
      <c r="K188" t="s">
        <v>1870</v>
      </c>
      <c r="L188" t="s">
        <v>1489</v>
      </c>
      <c r="M188" t="s">
        <v>1489</v>
      </c>
      <c r="N188" t="s">
        <v>1870</v>
      </c>
      <c r="O188">
        <v>0</v>
      </c>
      <c r="Q188" s="3">
        <v>0</v>
      </c>
    </row>
    <row r="189" spans="1:17" x14ac:dyDescent="0.3">
      <c r="A189" s="249" t="s">
        <v>1870</v>
      </c>
      <c r="B189" s="246">
        <v>3503</v>
      </c>
      <c r="C189" t="s">
        <v>1870</v>
      </c>
      <c r="D189" t="s">
        <v>1870</v>
      </c>
      <c r="E189" s="7" t="s">
        <v>159</v>
      </c>
      <c r="F189">
        <v>0</v>
      </c>
      <c r="G189" t="s">
        <v>1870</v>
      </c>
      <c r="H189" t="s">
        <v>560</v>
      </c>
      <c r="I189" t="s">
        <v>1489</v>
      </c>
      <c r="J189" t="s">
        <v>1870</v>
      </c>
      <c r="K189" t="s">
        <v>1870</v>
      </c>
      <c r="L189" t="s">
        <v>1489</v>
      </c>
      <c r="M189" t="s">
        <v>1489</v>
      </c>
      <c r="N189" t="s">
        <v>1870</v>
      </c>
      <c r="O189">
        <v>0</v>
      </c>
      <c r="Q189" s="3">
        <v>0</v>
      </c>
    </row>
    <row r="190" spans="1:17" x14ac:dyDescent="0.3">
      <c r="A190" s="249" t="s">
        <v>1870</v>
      </c>
      <c r="B190" s="246">
        <v>3503</v>
      </c>
      <c r="C190" t="s">
        <v>1870</v>
      </c>
      <c r="D190" t="s">
        <v>1870</v>
      </c>
      <c r="E190" s="7" t="s">
        <v>159</v>
      </c>
      <c r="F190" s="7">
        <v>1</v>
      </c>
      <c r="G190" t="s">
        <v>1870</v>
      </c>
      <c r="H190" t="s">
        <v>562</v>
      </c>
      <c r="I190" t="s">
        <v>1489</v>
      </c>
      <c r="J190" t="s">
        <v>1870</v>
      </c>
      <c r="K190" t="s">
        <v>1870</v>
      </c>
      <c r="L190" t="s">
        <v>1489</v>
      </c>
      <c r="M190" t="s">
        <v>1489</v>
      </c>
      <c r="N190" t="s">
        <v>1870</v>
      </c>
      <c r="O190">
        <v>0</v>
      </c>
      <c r="Q190" s="3">
        <v>0</v>
      </c>
    </row>
    <row r="191" spans="1:17" x14ac:dyDescent="0.3">
      <c r="A191" s="249" t="s">
        <v>1870</v>
      </c>
      <c r="B191" s="246">
        <v>3503</v>
      </c>
      <c r="C191" t="s">
        <v>1870</v>
      </c>
      <c r="D191" t="s">
        <v>1870</v>
      </c>
      <c r="E191" s="7" t="s">
        <v>439</v>
      </c>
      <c r="F191" s="7">
        <v>0</v>
      </c>
      <c r="G191" t="s">
        <v>1870</v>
      </c>
      <c r="H191" t="s">
        <v>564</v>
      </c>
      <c r="I191" t="s">
        <v>1489</v>
      </c>
      <c r="J191" t="s">
        <v>1870</v>
      </c>
      <c r="K191" t="s">
        <v>1870</v>
      </c>
      <c r="L191" t="s">
        <v>1489</v>
      </c>
      <c r="M191" t="s">
        <v>1489</v>
      </c>
      <c r="N191" t="s">
        <v>1870</v>
      </c>
      <c r="O191">
        <v>0</v>
      </c>
      <c r="Q191" s="3">
        <v>0</v>
      </c>
    </row>
    <row r="192" spans="1:17" x14ac:dyDescent="0.3">
      <c r="A192" s="249" t="s">
        <v>1870</v>
      </c>
      <c r="B192" s="246">
        <v>3503</v>
      </c>
      <c r="C192" t="s">
        <v>1870</v>
      </c>
      <c r="D192" t="s">
        <v>1870</v>
      </c>
      <c r="E192" s="246" t="s">
        <v>131</v>
      </c>
      <c r="F192" s="7">
        <v>1</v>
      </c>
      <c r="G192" t="s">
        <v>1870</v>
      </c>
      <c r="H192" t="s">
        <v>568</v>
      </c>
      <c r="I192" s="7" t="s">
        <v>1489</v>
      </c>
      <c r="J192" t="s">
        <v>1870</v>
      </c>
      <c r="K192" t="s">
        <v>1870</v>
      </c>
      <c r="L192" s="7" t="s">
        <v>1489</v>
      </c>
      <c r="M192" s="7" t="s">
        <v>1489</v>
      </c>
      <c r="N192" t="s">
        <v>1870</v>
      </c>
      <c r="O192">
        <v>0</v>
      </c>
      <c r="Q192" s="3">
        <v>0</v>
      </c>
    </row>
    <row r="193" spans="1:17" x14ac:dyDescent="0.3">
      <c r="A193" s="249" t="s">
        <v>1870</v>
      </c>
      <c r="B193" s="246">
        <v>3503</v>
      </c>
      <c r="C193" t="s">
        <v>1870</v>
      </c>
      <c r="D193" t="s">
        <v>1870</v>
      </c>
      <c r="E193" s="246" t="s">
        <v>123</v>
      </c>
      <c r="F193" s="7">
        <v>1</v>
      </c>
      <c r="G193" t="s">
        <v>1870</v>
      </c>
      <c r="H193" t="s">
        <v>574</v>
      </c>
      <c r="I193" s="7" t="s">
        <v>1489</v>
      </c>
      <c r="J193" t="s">
        <v>1870</v>
      </c>
      <c r="K193" t="s">
        <v>1870</v>
      </c>
      <c r="L193" s="7" t="s">
        <v>1489</v>
      </c>
      <c r="M193" s="7" t="s">
        <v>1489</v>
      </c>
      <c r="N193" t="s">
        <v>1870</v>
      </c>
      <c r="O193">
        <v>0</v>
      </c>
      <c r="Q193" s="3">
        <v>0</v>
      </c>
    </row>
    <row r="194" spans="1:17" x14ac:dyDescent="0.3">
      <c r="A194" s="249" t="s">
        <v>1870</v>
      </c>
      <c r="B194" s="246">
        <v>3503</v>
      </c>
      <c r="C194" t="s">
        <v>1870</v>
      </c>
      <c r="D194" t="s">
        <v>1870</v>
      </c>
      <c r="E194" s="7" t="s">
        <v>164</v>
      </c>
      <c r="F194">
        <v>0</v>
      </c>
      <c r="G194" t="s">
        <v>1870</v>
      </c>
      <c r="H194" t="s">
        <v>578</v>
      </c>
      <c r="I194" s="7" t="s">
        <v>1489</v>
      </c>
      <c r="J194" t="s">
        <v>1870</v>
      </c>
      <c r="K194" t="s">
        <v>1870</v>
      </c>
      <c r="L194" s="7" t="s">
        <v>1489</v>
      </c>
      <c r="M194" s="7" t="s">
        <v>1489</v>
      </c>
      <c r="N194" t="s">
        <v>1870</v>
      </c>
      <c r="O194">
        <v>0</v>
      </c>
      <c r="Q194" s="3">
        <v>0</v>
      </c>
    </row>
    <row r="195" spans="1:17" x14ac:dyDescent="0.3">
      <c r="A195" s="249" t="s">
        <v>1870</v>
      </c>
      <c r="B195" s="246">
        <v>3503</v>
      </c>
      <c r="C195" t="s">
        <v>1870</v>
      </c>
      <c r="D195" t="s">
        <v>1870</v>
      </c>
      <c r="E195" s="7" t="s">
        <v>6</v>
      </c>
      <c r="F195">
        <v>0</v>
      </c>
      <c r="G195" t="s">
        <v>1870</v>
      </c>
      <c r="H195" t="s">
        <v>580</v>
      </c>
      <c r="I195" t="s">
        <v>1489</v>
      </c>
      <c r="J195" t="s">
        <v>1870</v>
      </c>
      <c r="K195" t="s">
        <v>1870</v>
      </c>
      <c r="L195" t="s">
        <v>1489</v>
      </c>
      <c r="M195" t="s">
        <v>1489</v>
      </c>
      <c r="N195" t="s">
        <v>1870</v>
      </c>
      <c r="O195">
        <v>0</v>
      </c>
      <c r="Q195" s="3">
        <v>0</v>
      </c>
    </row>
    <row r="196" spans="1:17" x14ac:dyDescent="0.3">
      <c r="A196" s="249" t="s">
        <v>1870</v>
      </c>
      <c r="B196" s="246">
        <v>3503</v>
      </c>
      <c r="C196" t="s">
        <v>1870</v>
      </c>
      <c r="D196" t="s">
        <v>1870</v>
      </c>
      <c r="E196" s="7" t="s">
        <v>61</v>
      </c>
      <c r="F196" s="7">
        <v>0</v>
      </c>
      <c r="G196" t="s">
        <v>1870</v>
      </c>
      <c r="H196" t="s">
        <v>584</v>
      </c>
      <c r="I196" s="7" t="s">
        <v>1489</v>
      </c>
      <c r="J196" t="s">
        <v>1870</v>
      </c>
      <c r="K196" t="s">
        <v>1870</v>
      </c>
      <c r="L196" s="7" t="s">
        <v>1489</v>
      </c>
      <c r="M196" s="7" t="s">
        <v>1489</v>
      </c>
      <c r="N196" t="s">
        <v>1870</v>
      </c>
      <c r="O196">
        <v>0</v>
      </c>
      <c r="Q196" s="3">
        <v>0</v>
      </c>
    </row>
    <row r="197" spans="1:17" x14ac:dyDescent="0.3">
      <c r="A197" s="249" t="s">
        <v>1870</v>
      </c>
      <c r="B197" s="246">
        <v>3503</v>
      </c>
      <c r="C197" t="s">
        <v>1870</v>
      </c>
      <c r="D197" t="s">
        <v>1870</v>
      </c>
      <c r="E197" s="7" t="s">
        <v>64</v>
      </c>
      <c r="F197">
        <v>0</v>
      </c>
      <c r="G197" t="s">
        <v>1870</v>
      </c>
      <c r="H197" t="s">
        <v>586</v>
      </c>
      <c r="I197" t="s">
        <v>1489</v>
      </c>
      <c r="J197" t="s">
        <v>1870</v>
      </c>
      <c r="K197" t="s">
        <v>1870</v>
      </c>
      <c r="L197" t="s">
        <v>1489</v>
      </c>
      <c r="M197" t="s">
        <v>1489</v>
      </c>
      <c r="N197" t="s">
        <v>1870</v>
      </c>
      <c r="O197">
        <v>0</v>
      </c>
      <c r="Q197" s="3">
        <v>0</v>
      </c>
    </row>
    <row r="198" spans="1:17" x14ac:dyDescent="0.3">
      <c r="A198" s="249" t="s">
        <v>1870</v>
      </c>
      <c r="B198" s="7">
        <v>3504</v>
      </c>
      <c r="C198" t="s">
        <v>1870</v>
      </c>
      <c r="D198" t="s">
        <v>1870</v>
      </c>
      <c r="E198" s="7" t="s">
        <v>439</v>
      </c>
      <c r="F198">
        <v>0</v>
      </c>
      <c r="G198" t="s">
        <v>1870</v>
      </c>
      <c r="H198" t="s">
        <v>589</v>
      </c>
      <c r="I198" t="s">
        <v>1489</v>
      </c>
      <c r="J198" t="s">
        <v>1870</v>
      </c>
      <c r="K198" t="s">
        <v>1870</v>
      </c>
      <c r="L198" t="s">
        <v>1489</v>
      </c>
      <c r="M198" t="s">
        <v>1489</v>
      </c>
      <c r="N198" t="s">
        <v>1870</v>
      </c>
      <c r="O198">
        <v>0</v>
      </c>
      <c r="Q198" s="3">
        <v>0</v>
      </c>
    </row>
    <row r="199" spans="1:17" x14ac:dyDescent="0.3">
      <c r="A199" s="249" t="s">
        <v>1870</v>
      </c>
      <c r="B199" s="246">
        <v>3505</v>
      </c>
      <c r="C199" t="s">
        <v>1870</v>
      </c>
      <c r="D199" t="s">
        <v>1870</v>
      </c>
      <c r="E199" s="7" t="s">
        <v>25</v>
      </c>
      <c r="F199">
        <v>0</v>
      </c>
      <c r="G199" t="s">
        <v>1870</v>
      </c>
      <c r="H199" t="s">
        <v>592</v>
      </c>
      <c r="I199" t="s">
        <v>1489</v>
      </c>
      <c r="J199" t="s">
        <v>1870</v>
      </c>
      <c r="K199" t="s">
        <v>1870</v>
      </c>
      <c r="L199" t="s">
        <v>1489</v>
      </c>
      <c r="M199" t="s">
        <v>1489</v>
      </c>
      <c r="N199" t="s">
        <v>1870</v>
      </c>
      <c r="O199">
        <v>0</v>
      </c>
      <c r="Q199" s="3">
        <v>0</v>
      </c>
    </row>
    <row r="200" spans="1:17" x14ac:dyDescent="0.3">
      <c r="A200" s="249" t="s">
        <v>1870</v>
      </c>
      <c r="B200" s="246">
        <v>3505</v>
      </c>
      <c r="C200" t="s">
        <v>1870</v>
      </c>
      <c r="D200" t="s">
        <v>1870</v>
      </c>
      <c r="E200" s="7" t="s">
        <v>159</v>
      </c>
      <c r="F200">
        <v>0</v>
      </c>
      <c r="G200" t="s">
        <v>1870</v>
      </c>
      <c r="H200" t="s">
        <v>594</v>
      </c>
      <c r="I200" t="s">
        <v>1489</v>
      </c>
      <c r="J200" t="s">
        <v>1870</v>
      </c>
      <c r="K200" t="s">
        <v>1870</v>
      </c>
      <c r="L200" t="s">
        <v>1489</v>
      </c>
      <c r="M200" t="s">
        <v>1489</v>
      </c>
      <c r="N200" t="s">
        <v>1870</v>
      </c>
      <c r="O200">
        <v>0</v>
      </c>
      <c r="Q200" s="3">
        <v>0</v>
      </c>
    </row>
    <row r="201" spans="1:17" x14ac:dyDescent="0.3">
      <c r="A201" s="249" t="s">
        <v>1870</v>
      </c>
      <c r="B201" s="246">
        <v>3505</v>
      </c>
      <c r="C201" t="s">
        <v>1870</v>
      </c>
      <c r="D201" t="s">
        <v>1870</v>
      </c>
      <c r="E201" s="7" t="s">
        <v>159</v>
      </c>
      <c r="F201" s="7">
        <v>1</v>
      </c>
      <c r="G201" t="s">
        <v>1870</v>
      </c>
      <c r="H201" t="s">
        <v>596</v>
      </c>
      <c r="I201" t="s">
        <v>1489</v>
      </c>
      <c r="J201" t="s">
        <v>1870</v>
      </c>
      <c r="K201" t="s">
        <v>1870</v>
      </c>
      <c r="L201" t="s">
        <v>1489</v>
      </c>
      <c r="M201" t="s">
        <v>1489</v>
      </c>
      <c r="N201" t="s">
        <v>1870</v>
      </c>
      <c r="O201">
        <v>0</v>
      </c>
      <c r="Q201" s="3">
        <v>0</v>
      </c>
    </row>
    <row r="202" spans="1:17" x14ac:dyDescent="0.3">
      <c r="A202" s="249" t="s">
        <v>1870</v>
      </c>
      <c r="B202" s="246">
        <v>3505</v>
      </c>
      <c r="C202" t="s">
        <v>1870</v>
      </c>
      <c r="D202" t="s">
        <v>1870</v>
      </c>
      <c r="E202" s="7" t="s">
        <v>439</v>
      </c>
      <c r="F202" s="7">
        <v>0</v>
      </c>
      <c r="G202" t="s">
        <v>1870</v>
      </c>
      <c r="H202" t="s">
        <v>598</v>
      </c>
      <c r="I202" t="s">
        <v>1489</v>
      </c>
      <c r="J202" t="s">
        <v>1870</v>
      </c>
      <c r="K202" t="s">
        <v>1870</v>
      </c>
      <c r="L202" t="s">
        <v>1489</v>
      </c>
      <c r="M202" t="s">
        <v>1489</v>
      </c>
      <c r="N202" t="s">
        <v>1870</v>
      </c>
      <c r="O202">
        <v>0</v>
      </c>
      <c r="Q202" s="3">
        <v>0</v>
      </c>
    </row>
    <row r="203" spans="1:17" x14ac:dyDescent="0.3">
      <c r="A203" s="249" t="s">
        <v>1870</v>
      </c>
      <c r="B203" s="246">
        <v>3505</v>
      </c>
      <c r="C203" t="s">
        <v>1870</v>
      </c>
      <c r="D203" t="s">
        <v>1870</v>
      </c>
      <c r="E203" s="246" t="s">
        <v>131</v>
      </c>
      <c r="F203">
        <v>0</v>
      </c>
      <c r="G203" t="s">
        <v>1870</v>
      </c>
      <c r="H203" t="s">
        <v>600</v>
      </c>
      <c r="I203" t="s">
        <v>1489</v>
      </c>
      <c r="J203" t="s">
        <v>1870</v>
      </c>
      <c r="K203" t="s">
        <v>1870</v>
      </c>
      <c r="L203" t="s">
        <v>1489</v>
      </c>
      <c r="M203" t="s">
        <v>1489</v>
      </c>
      <c r="N203" t="s">
        <v>1870</v>
      </c>
      <c r="O203">
        <v>0</v>
      </c>
      <c r="Q203" s="3">
        <v>0</v>
      </c>
    </row>
    <row r="204" spans="1:17" x14ac:dyDescent="0.3">
      <c r="A204" s="249" t="s">
        <v>1870</v>
      </c>
      <c r="B204" s="246">
        <v>3505</v>
      </c>
      <c r="C204" t="s">
        <v>1870</v>
      </c>
      <c r="D204" t="s">
        <v>1870</v>
      </c>
      <c r="E204" s="246" t="s">
        <v>131</v>
      </c>
      <c r="F204" s="7">
        <v>1</v>
      </c>
      <c r="G204" t="s">
        <v>1870</v>
      </c>
      <c r="H204" t="s">
        <v>602</v>
      </c>
      <c r="I204" t="s">
        <v>1489</v>
      </c>
      <c r="J204" t="s">
        <v>1870</v>
      </c>
      <c r="K204" t="s">
        <v>1870</v>
      </c>
      <c r="L204" t="s">
        <v>1489</v>
      </c>
      <c r="M204" t="s">
        <v>1489</v>
      </c>
      <c r="N204" t="s">
        <v>1870</v>
      </c>
      <c r="O204">
        <v>0</v>
      </c>
      <c r="Q204" s="3">
        <v>0</v>
      </c>
    </row>
    <row r="205" spans="1:17" x14ac:dyDescent="0.3">
      <c r="A205" s="249" t="s">
        <v>1870</v>
      </c>
      <c r="B205" s="246">
        <v>3505</v>
      </c>
      <c r="C205" t="s">
        <v>1870</v>
      </c>
      <c r="D205" t="s">
        <v>1870</v>
      </c>
      <c r="E205" s="7" t="s">
        <v>123</v>
      </c>
      <c r="F205" s="7">
        <v>0</v>
      </c>
      <c r="G205" t="s">
        <v>1870</v>
      </c>
      <c r="H205" t="s">
        <v>606</v>
      </c>
      <c r="I205" s="7" t="s">
        <v>1489</v>
      </c>
      <c r="J205" t="s">
        <v>1870</v>
      </c>
      <c r="K205" t="s">
        <v>1870</v>
      </c>
      <c r="L205" s="7" t="s">
        <v>1489</v>
      </c>
      <c r="M205" s="7" t="s">
        <v>1489</v>
      </c>
      <c r="N205" t="s">
        <v>1870</v>
      </c>
      <c r="O205">
        <v>0</v>
      </c>
      <c r="Q205" s="3">
        <v>0</v>
      </c>
    </row>
    <row r="206" spans="1:17" x14ac:dyDescent="0.3">
      <c r="A206" s="249" t="s">
        <v>1870</v>
      </c>
      <c r="B206" s="246">
        <v>3505</v>
      </c>
      <c r="C206" t="s">
        <v>1870</v>
      </c>
      <c r="D206" t="s">
        <v>1870</v>
      </c>
      <c r="E206" s="7" t="s">
        <v>123</v>
      </c>
      <c r="F206" s="7">
        <v>1</v>
      </c>
      <c r="G206" t="s">
        <v>1870</v>
      </c>
      <c r="H206" t="s">
        <v>608</v>
      </c>
      <c r="I206" t="s">
        <v>1489</v>
      </c>
      <c r="J206" t="s">
        <v>1870</v>
      </c>
      <c r="K206" t="s">
        <v>1870</v>
      </c>
      <c r="L206" t="s">
        <v>1489</v>
      </c>
      <c r="M206" t="s">
        <v>1489</v>
      </c>
      <c r="N206" t="s">
        <v>1870</v>
      </c>
      <c r="O206">
        <v>0</v>
      </c>
      <c r="Q206" s="3">
        <v>0</v>
      </c>
    </row>
    <row r="207" spans="1:17" x14ac:dyDescent="0.3">
      <c r="A207" s="249" t="s">
        <v>1870</v>
      </c>
      <c r="B207" s="246">
        <v>3505</v>
      </c>
      <c r="C207" t="s">
        <v>1870</v>
      </c>
      <c r="D207" t="s">
        <v>1870</v>
      </c>
      <c r="E207" s="7" t="s">
        <v>28</v>
      </c>
      <c r="F207" s="7">
        <v>2</v>
      </c>
      <c r="G207" t="s">
        <v>1870</v>
      </c>
      <c r="H207" t="s">
        <v>614</v>
      </c>
      <c r="I207" t="s">
        <v>1489</v>
      </c>
      <c r="J207" t="s">
        <v>1870</v>
      </c>
      <c r="K207" t="s">
        <v>1870</v>
      </c>
      <c r="L207" t="s">
        <v>1489</v>
      </c>
      <c r="M207" t="s">
        <v>1489</v>
      </c>
      <c r="N207" t="s">
        <v>1870</v>
      </c>
      <c r="O207">
        <v>0</v>
      </c>
      <c r="Q207" s="3">
        <v>0</v>
      </c>
    </row>
    <row r="208" spans="1:17" x14ac:dyDescent="0.3">
      <c r="A208" s="249" t="s">
        <v>1870</v>
      </c>
      <c r="B208" s="246">
        <v>3505</v>
      </c>
      <c r="C208" t="s">
        <v>1870</v>
      </c>
      <c r="D208" t="s">
        <v>1870</v>
      </c>
      <c r="E208" s="7" t="s">
        <v>61</v>
      </c>
      <c r="F208" s="7">
        <v>0</v>
      </c>
      <c r="G208" t="s">
        <v>1870</v>
      </c>
      <c r="H208" t="s">
        <v>618</v>
      </c>
      <c r="I208" s="7" t="s">
        <v>1489</v>
      </c>
      <c r="J208" t="s">
        <v>1870</v>
      </c>
      <c r="K208" t="s">
        <v>1870</v>
      </c>
      <c r="L208" s="7" t="s">
        <v>1489</v>
      </c>
      <c r="M208" s="7" t="s">
        <v>1489</v>
      </c>
      <c r="N208" t="s">
        <v>1870</v>
      </c>
      <c r="O208">
        <v>0</v>
      </c>
      <c r="Q208" s="3">
        <v>0</v>
      </c>
    </row>
    <row r="209" spans="1:17" x14ac:dyDescent="0.3">
      <c r="A209" s="249" t="s">
        <v>1870</v>
      </c>
      <c r="B209" s="246">
        <v>3506</v>
      </c>
      <c r="C209" t="s">
        <v>1870</v>
      </c>
      <c r="D209" t="s">
        <v>1870</v>
      </c>
      <c r="E209" s="7" t="s">
        <v>164</v>
      </c>
      <c r="F209">
        <v>0</v>
      </c>
      <c r="G209" t="s">
        <v>1870</v>
      </c>
      <c r="H209" t="s">
        <v>641</v>
      </c>
      <c r="I209" s="7" t="s">
        <v>1489</v>
      </c>
      <c r="J209" t="s">
        <v>1870</v>
      </c>
      <c r="K209" t="s">
        <v>1870</v>
      </c>
      <c r="L209" s="7" t="s">
        <v>1489</v>
      </c>
      <c r="M209" s="7" t="s">
        <v>1489</v>
      </c>
      <c r="N209" t="s">
        <v>1870</v>
      </c>
      <c r="O209">
        <v>0</v>
      </c>
      <c r="Q209" s="3">
        <v>0</v>
      </c>
    </row>
    <row r="210" spans="1:17" x14ac:dyDescent="0.3">
      <c r="A210" s="249" t="s">
        <v>1870</v>
      </c>
      <c r="B210" s="246">
        <v>3506</v>
      </c>
      <c r="C210" t="s">
        <v>1870</v>
      </c>
      <c r="D210" t="s">
        <v>1870</v>
      </c>
      <c r="E210" s="7" t="s">
        <v>6</v>
      </c>
      <c r="F210">
        <v>0</v>
      </c>
      <c r="G210" t="s">
        <v>1870</v>
      </c>
      <c r="H210" t="s">
        <v>643</v>
      </c>
      <c r="I210" t="s">
        <v>1489</v>
      </c>
      <c r="J210" t="s">
        <v>1870</v>
      </c>
      <c r="K210" t="s">
        <v>1870</v>
      </c>
      <c r="L210" t="s">
        <v>1489</v>
      </c>
      <c r="M210" t="s">
        <v>1489</v>
      </c>
      <c r="N210" t="s">
        <v>1870</v>
      </c>
      <c r="O210">
        <v>0</v>
      </c>
      <c r="Q210" s="3">
        <v>0</v>
      </c>
    </row>
    <row r="211" spans="1:17" x14ac:dyDescent="0.3">
      <c r="A211" s="249" t="s">
        <v>1870</v>
      </c>
      <c r="B211" s="246">
        <v>3506</v>
      </c>
      <c r="C211" t="s">
        <v>1870</v>
      </c>
      <c r="D211" t="s">
        <v>1870</v>
      </c>
      <c r="E211" s="7" t="s">
        <v>28</v>
      </c>
      <c r="F211" s="7">
        <v>1</v>
      </c>
      <c r="G211" t="s">
        <v>1870</v>
      </c>
      <c r="H211" t="s">
        <v>645</v>
      </c>
      <c r="I211" t="s">
        <v>1489</v>
      </c>
      <c r="J211" t="s">
        <v>1870</v>
      </c>
      <c r="K211" t="s">
        <v>1870</v>
      </c>
      <c r="L211" t="s">
        <v>1489</v>
      </c>
      <c r="M211" t="s">
        <v>1489</v>
      </c>
      <c r="N211" t="s">
        <v>1870</v>
      </c>
      <c r="O211">
        <v>0</v>
      </c>
      <c r="Q211" s="3">
        <v>0</v>
      </c>
    </row>
    <row r="212" spans="1:17" x14ac:dyDescent="0.3">
      <c r="A212" s="249" t="s">
        <v>1870</v>
      </c>
      <c r="B212" s="246">
        <v>3506</v>
      </c>
      <c r="C212" t="s">
        <v>1870</v>
      </c>
      <c r="D212" t="s">
        <v>1870</v>
      </c>
      <c r="E212" s="7" t="s">
        <v>64</v>
      </c>
      <c r="F212">
        <v>0</v>
      </c>
      <c r="G212" t="s">
        <v>1870</v>
      </c>
      <c r="H212" t="s">
        <v>653</v>
      </c>
      <c r="I212" s="7" t="s">
        <v>1489</v>
      </c>
      <c r="J212" t="s">
        <v>1870</v>
      </c>
      <c r="K212" t="s">
        <v>1870</v>
      </c>
      <c r="L212" s="7" t="s">
        <v>1489</v>
      </c>
      <c r="M212" s="7" t="s">
        <v>1489</v>
      </c>
      <c r="N212" t="s">
        <v>1870</v>
      </c>
      <c r="O212">
        <v>0</v>
      </c>
      <c r="Q212" s="3">
        <v>0</v>
      </c>
    </row>
    <row r="213" spans="1:17" x14ac:dyDescent="0.3">
      <c r="A213" s="249" t="s">
        <v>1870</v>
      </c>
      <c r="B213" s="246">
        <v>3506</v>
      </c>
      <c r="C213" t="s">
        <v>1870</v>
      </c>
      <c r="D213" t="s">
        <v>1870</v>
      </c>
      <c r="E213" s="7" t="s">
        <v>67</v>
      </c>
      <c r="F213">
        <v>0</v>
      </c>
      <c r="G213" t="s">
        <v>1870</v>
      </c>
      <c r="H213" t="s">
        <v>655</v>
      </c>
      <c r="I213" t="s">
        <v>1489</v>
      </c>
      <c r="J213" t="s">
        <v>1870</v>
      </c>
      <c r="K213" t="s">
        <v>1870</v>
      </c>
      <c r="L213" t="s">
        <v>1489</v>
      </c>
      <c r="M213" t="s">
        <v>1489</v>
      </c>
      <c r="N213" t="s">
        <v>1870</v>
      </c>
      <c r="O213">
        <v>0</v>
      </c>
      <c r="Q213" s="3">
        <v>0</v>
      </c>
    </row>
    <row r="214" spans="1:17" x14ac:dyDescent="0.3">
      <c r="A214" s="249" t="s">
        <v>1870</v>
      </c>
      <c r="B214" s="246">
        <v>3507</v>
      </c>
      <c r="C214" t="s">
        <v>1870</v>
      </c>
      <c r="D214" t="s">
        <v>1870</v>
      </c>
      <c r="E214" s="7" t="s">
        <v>25</v>
      </c>
      <c r="F214">
        <v>0</v>
      </c>
      <c r="G214" t="s">
        <v>1870</v>
      </c>
      <c r="H214" t="s">
        <v>658</v>
      </c>
      <c r="I214" t="s">
        <v>1489</v>
      </c>
      <c r="J214" t="s">
        <v>1870</v>
      </c>
      <c r="K214" t="s">
        <v>1870</v>
      </c>
      <c r="L214" t="s">
        <v>1489</v>
      </c>
      <c r="M214" t="s">
        <v>1489</v>
      </c>
      <c r="N214" t="s">
        <v>1870</v>
      </c>
      <c r="O214">
        <v>0</v>
      </c>
      <c r="Q214" s="3">
        <v>0</v>
      </c>
    </row>
    <row r="215" spans="1:17" x14ac:dyDescent="0.3">
      <c r="A215" s="249" t="s">
        <v>1870</v>
      </c>
      <c r="B215" s="246">
        <v>3507</v>
      </c>
      <c r="C215" t="s">
        <v>1870</v>
      </c>
      <c r="D215" t="s">
        <v>1870</v>
      </c>
      <c r="E215" s="7" t="s">
        <v>159</v>
      </c>
      <c r="F215">
        <v>0</v>
      </c>
      <c r="G215" t="s">
        <v>1870</v>
      </c>
      <c r="H215" t="s">
        <v>660</v>
      </c>
      <c r="I215" t="s">
        <v>1489</v>
      </c>
      <c r="J215" t="s">
        <v>1870</v>
      </c>
      <c r="K215" t="s">
        <v>1870</v>
      </c>
      <c r="L215" t="s">
        <v>1489</v>
      </c>
      <c r="M215" t="s">
        <v>1489</v>
      </c>
      <c r="N215" t="s">
        <v>1870</v>
      </c>
      <c r="O215">
        <v>0</v>
      </c>
      <c r="Q215" s="3">
        <v>0</v>
      </c>
    </row>
    <row r="216" spans="1:17" x14ac:dyDescent="0.3">
      <c r="A216" s="249" t="s">
        <v>1870</v>
      </c>
      <c r="B216" s="246">
        <v>3507</v>
      </c>
      <c r="C216" t="s">
        <v>1870</v>
      </c>
      <c r="D216" t="s">
        <v>1870</v>
      </c>
      <c r="E216" s="7" t="s">
        <v>159</v>
      </c>
      <c r="F216" s="7">
        <v>1</v>
      </c>
      <c r="G216" t="s">
        <v>1870</v>
      </c>
      <c r="H216" t="s">
        <v>662</v>
      </c>
      <c r="I216" t="s">
        <v>1489</v>
      </c>
      <c r="J216" t="s">
        <v>1870</v>
      </c>
      <c r="K216" t="s">
        <v>1870</v>
      </c>
      <c r="L216" t="s">
        <v>1489</v>
      </c>
      <c r="M216" t="s">
        <v>1489</v>
      </c>
      <c r="N216" t="s">
        <v>1870</v>
      </c>
      <c r="O216">
        <v>0</v>
      </c>
      <c r="Q216" s="3">
        <v>0</v>
      </c>
    </row>
    <row r="217" spans="1:17" x14ac:dyDescent="0.3">
      <c r="A217" s="249" t="s">
        <v>1870</v>
      </c>
      <c r="B217" s="246">
        <v>3507</v>
      </c>
      <c r="C217" t="s">
        <v>1870</v>
      </c>
      <c r="D217" t="s">
        <v>1870</v>
      </c>
      <c r="E217" s="7" t="s">
        <v>439</v>
      </c>
      <c r="F217" s="7">
        <v>0</v>
      </c>
      <c r="G217" t="s">
        <v>1870</v>
      </c>
      <c r="H217" t="s">
        <v>664</v>
      </c>
      <c r="I217" t="s">
        <v>1489</v>
      </c>
      <c r="J217" t="s">
        <v>1870</v>
      </c>
      <c r="K217" t="s">
        <v>1870</v>
      </c>
      <c r="L217" t="s">
        <v>1489</v>
      </c>
      <c r="M217" t="s">
        <v>1489</v>
      </c>
      <c r="N217" t="s">
        <v>1870</v>
      </c>
      <c r="O217">
        <v>0</v>
      </c>
      <c r="Q217" s="3">
        <v>0</v>
      </c>
    </row>
    <row r="218" spans="1:17" x14ac:dyDescent="0.3">
      <c r="A218" s="249" t="s">
        <v>1870</v>
      </c>
      <c r="B218" s="246">
        <v>3507</v>
      </c>
      <c r="C218" t="s">
        <v>1870</v>
      </c>
      <c r="D218" t="s">
        <v>1870</v>
      </c>
      <c r="E218" s="246" t="s">
        <v>131</v>
      </c>
      <c r="F218" s="7">
        <v>1</v>
      </c>
      <c r="G218" t="s">
        <v>1870</v>
      </c>
      <c r="H218" t="s">
        <v>668</v>
      </c>
      <c r="I218" s="7" t="s">
        <v>1489</v>
      </c>
      <c r="J218" t="s">
        <v>1870</v>
      </c>
      <c r="K218" t="s">
        <v>1870</v>
      </c>
      <c r="L218" s="7" t="s">
        <v>1489</v>
      </c>
      <c r="M218" s="7" t="s">
        <v>1489</v>
      </c>
      <c r="N218" t="s">
        <v>1870</v>
      </c>
      <c r="O218">
        <v>0</v>
      </c>
      <c r="Q218" s="3">
        <v>0</v>
      </c>
    </row>
    <row r="219" spans="1:17" x14ac:dyDescent="0.3">
      <c r="A219" s="249" t="s">
        <v>1870</v>
      </c>
      <c r="B219" s="246">
        <v>3507</v>
      </c>
      <c r="C219" t="s">
        <v>1870</v>
      </c>
      <c r="D219" t="s">
        <v>1870</v>
      </c>
      <c r="E219" s="7" t="s">
        <v>123</v>
      </c>
      <c r="F219" s="7">
        <v>0</v>
      </c>
      <c r="G219" t="s">
        <v>1870</v>
      </c>
      <c r="H219" t="s">
        <v>672</v>
      </c>
      <c r="I219" s="7" t="s">
        <v>1489</v>
      </c>
      <c r="J219" t="s">
        <v>1870</v>
      </c>
      <c r="K219" t="s">
        <v>1870</v>
      </c>
      <c r="L219" s="7" t="s">
        <v>1489</v>
      </c>
      <c r="M219" s="7" t="s">
        <v>1489</v>
      </c>
      <c r="N219" t="s">
        <v>1870</v>
      </c>
      <c r="O219">
        <v>0</v>
      </c>
      <c r="Q219" s="3">
        <v>0</v>
      </c>
    </row>
    <row r="220" spans="1:17" x14ac:dyDescent="0.3">
      <c r="A220" s="249" t="s">
        <v>1870</v>
      </c>
      <c r="B220" s="246">
        <v>3507</v>
      </c>
      <c r="C220" t="s">
        <v>1870</v>
      </c>
      <c r="D220" t="s">
        <v>1870</v>
      </c>
      <c r="E220" s="7" t="s">
        <v>123</v>
      </c>
      <c r="F220" s="7">
        <v>1</v>
      </c>
      <c r="G220" t="s">
        <v>1870</v>
      </c>
      <c r="H220" t="s">
        <v>674</v>
      </c>
      <c r="I220" t="s">
        <v>1489</v>
      </c>
      <c r="J220" t="s">
        <v>1870</v>
      </c>
      <c r="K220" t="s">
        <v>1870</v>
      </c>
      <c r="L220" t="s">
        <v>1489</v>
      </c>
      <c r="M220" t="s">
        <v>1489</v>
      </c>
      <c r="N220" t="s">
        <v>1870</v>
      </c>
      <c r="O220">
        <v>0</v>
      </c>
      <c r="Q220" s="3">
        <v>0</v>
      </c>
    </row>
    <row r="221" spans="1:17" x14ac:dyDescent="0.3">
      <c r="A221" s="249" t="s">
        <v>1870</v>
      </c>
      <c r="B221" s="246">
        <v>3507</v>
      </c>
      <c r="C221" t="s">
        <v>1870</v>
      </c>
      <c r="D221" t="s">
        <v>1870</v>
      </c>
      <c r="E221" s="7" t="s">
        <v>6</v>
      </c>
      <c r="F221">
        <v>0</v>
      </c>
      <c r="G221" t="s">
        <v>1870</v>
      </c>
      <c r="H221" t="s">
        <v>678</v>
      </c>
      <c r="I221" s="7" t="s">
        <v>1489</v>
      </c>
      <c r="J221" t="s">
        <v>1870</v>
      </c>
      <c r="K221" t="s">
        <v>1870</v>
      </c>
      <c r="L221" s="7" t="s">
        <v>1489</v>
      </c>
      <c r="M221" s="7" t="s">
        <v>1489</v>
      </c>
      <c r="N221" t="s">
        <v>1870</v>
      </c>
      <c r="O221">
        <v>0</v>
      </c>
      <c r="Q221" s="3">
        <v>0</v>
      </c>
    </row>
    <row r="222" spans="1:17" x14ac:dyDescent="0.3">
      <c r="A222" s="249" t="s">
        <v>1870</v>
      </c>
      <c r="B222" s="246">
        <v>3508</v>
      </c>
      <c r="C222" t="s">
        <v>1870</v>
      </c>
      <c r="D222" t="s">
        <v>1870</v>
      </c>
      <c r="E222" s="7" t="s">
        <v>96</v>
      </c>
      <c r="F222">
        <v>0</v>
      </c>
      <c r="G222" t="s">
        <v>1870</v>
      </c>
      <c r="H222" t="s">
        <v>711</v>
      </c>
      <c r="I222" s="7" t="s">
        <v>1489</v>
      </c>
      <c r="J222" t="s">
        <v>1870</v>
      </c>
      <c r="K222" t="s">
        <v>1870</v>
      </c>
      <c r="L222" s="7" t="s">
        <v>1489</v>
      </c>
      <c r="M222" s="7" t="s">
        <v>1489</v>
      </c>
      <c r="N222" t="s">
        <v>1870</v>
      </c>
      <c r="O222" t="s">
        <v>1489</v>
      </c>
      <c r="Q222" s="3">
        <v>0</v>
      </c>
    </row>
    <row r="223" spans="1:17" x14ac:dyDescent="0.3">
      <c r="A223" s="249" t="s">
        <v>1870</v>
      </c>
      <c r="B223" s="246">
        <v>3508</v>
      </c>
      <c r="C223" t="s">
        <v>1870</v>
      </c>
      <c r="D223" t="s">
        <v>1870</v>
      </c>
      <c r="E223" s="7" t="s">
        <v>6</v>
      </c>
      <c r="F223">
        <v>0</v>
      </c>
      <c r="G223" t="s">
        <v>1870</v>
      </c>
      <c r="H223" t="s">
        <v>713</v>
      </c>
      <c r="I223" t="s">
        <v>1489</v>
      </c>
      <c r="J223" t="s">
        <v>1870</v>
      </c>
      <c r="K223" t="s">
        <v>1870</v>
      </c>
      <c r="L223" t="s">
        <v>1489</v>
      </c>
      <c r="M223" t="s">
        <v>1489</v>
      </c>
      <c r="N223" t="s">
        <v>1870</v>
      </c>
      <c r="O223" t="s">
        <v>1489</v>
      </c>
      <c r="Q223" s="3">
        <v>0</v>
      </c>
    </row>
    <row r="224" spans="1:17" x14ac:dyDescent="0.3">
      <c r="A224" s="249" t="s">
        <v>1870</v>
      </c>
      <c r="B224" s="246">
        <v>3508</v>
      </c>
      <c r="C224" t="s">
        <v>1870</v>
      </c>
      <c r="D224" t="s">
        <v>1870</v>
      </c>
      <c r="E224" s="7" t="s">
        <v>28</v>
      </c>
      <c r="F224" s="7">
        <v>1</v>
      </c>
      <c r="G224" t="s">
        <v>1870</v>
      </c>
      <c r="H224" t="s">
        <v>715</v>
      </c>
      <c r="I224" t="s">
        <v>1489</v>
      </c>
      <c r="J224" t="s">
        <v>1870</v>
      </c>
      <c r="K224" t="s">
        <v>1870</v>
      </c>
      <c r="L224" t="s">
        <v>1489</v>
      </c>
      <c r="M224" t="s">
        <v>1489</v>
      </c>
      <c r="N224" t="s">
        <v>1870</v>
      </c>
      <c r="O224" t="s">
        <v>1489</v>
      </c>
      <c r="Q224" s="3">
        <v>0</v>
      </c>
    </row>
    <row r="225" spans="1:17" x14ac:dyDescent="0.3">
      <c r="A225" s="249" t="s">
        <v>1870</v>
      </c>
      <c r="B225" s="246">
        <v>3508</v>
      </c>
      <c r="C225" t="s">
        <v>1870</v>
      </c>
      <c r="D225" t="s">
        <v>1870</v>
      </c>
      <c r="E225" s="7" t="s">
        <v>61</v>
      </c>
      <c r="F225" s="7">
        <v>0</v>
      </c>
      <c r="G225" t="s">
        <v>1870</v>
      </c>
      <c r="H225" t="s">
        <v>717</v>
      </c>
      <c r="I225" t="s">
        <v>1489</v>
      </c>
      <c r="J225" t="s">
        <v>1870</v>
      </c>
      <c r="K225" t="s">
        <v>1870</v>
      </c>
      <c r="L225" t="s">
        <v>1489</v>
      </c>
      <c r="M225" t="s">
        <v>1489</v>
      </c>
      <c r="N225" t="s">
        <v>1870</v>
      </c>
      <c r="O225" t="s">
        <v>1489</v>
      </c>
      <c r="Q225" s="3">
        <v>0</v>
      </c>
    </row>
    <row r="226" spans="1:17" x14ac:dyDescent="0.3">
      <c r="A226" s="249" t="s">
        <v>1870</v>
      </c>
      <c r="B226" s="246">
        <v>3509</v>
      </c>
      <c r="C226" t="s">
        <v>1870</v>
      </c>
      <c r="D226" t="s">
        <v>1870</v>
      </c>
      <c r="E226" s="7" t="s">
        <v>164</v>
      </c>
      <c r="F226">
        <v>0</v>
      </c>
      <c r="G226" t="s">
        <v>1870</v>
      </c>
      <c r="H226" t="s">
        <v>748</v>
      </c>
      <c r="I226" s="7" t="s">
        <v>1489</v>
      </c>
      <c r="J226" t="s">
        <v>1870</v>
      </c>
      <c r="K226" t="s">
        <v>1870</v>
      </c>
      <c r="L226" s="7" t="s">
        <v>1489</v>
      </c>
      <c r="M226" s="7" t="s">
        <v>1489</v>
      </c>
      <c r="N226" t="s">
        <v>1870</v>
      </c>
      <c r="O226" t="s">
        <v>1489</v>
      </c>
      <c r="Q226" s="3">
        <v>0</v>
      </c>
    </row>
    <row r="227" spans="1:17" x14ac:dyDescent="0.3">
      <c r="A227" s="249" t="s">
        <v>1870</v>
      </c>
      <c r="B227" s="246">
        <v>3509</v>
      </c>
      <c r="C227" t="s">
        <v>1870</v>
      </c>
      <c r="D227" t="s">
        <v>1870</v>
      </c>
      <c r="E227" s="7" t="s">
        <v>96</v>
      </c>
      <c r="F227">
        <v>0</v>
      </c>
      <c r="G227" t="s">
        <v>1870</v>
      </c>
      <c r="H227" t="s">
        <v>750</v>
      </c>
      <c r="I227" t="s">
        <v>1489</v>
      </c>
      <c r="J227" t="s">
        <v>1870</v>
      </c>
      <c r="K227" t="s">
        <v>1870</v>
      </c>
      <c r="L227" t="s">
        <v>1489</v>
      </c>
      <c r="M227" t="s">
        <v>1489</v>
      </c>
      <c r="N227" t="s">
        <v>1870</v>
      </c>
      <c r="O227" t="s">
        <v>1489</v>
      </c>
      <c r="Q227" s="3">
        <v>0</v>
      </c>
    </row>
    <row r="228" spans="1:17" x14ac:dyDescent="0.3">
      <c r="A228" s="249" t="s">
        <v>1870</v>
      </c>
      <c r="B228" s="246">
        <v>3509</v>
      </c>
      <c r="C228" t="s">
        <v>1870</v>
      </c>
      <c r="D228" t="s">
        <v>1870</v>
      </c>
      <c r="E228" s="7" t="s">
        <v>6</v>
      </c>
      <c r="F228">
        <v>0</v>
      </c>
      <c r="G228" t="s">
        <v>1870</v>
      </c>
      <c r="H228" t="s">
        <v>752</v>
      </c>
      <c r="I228" t="s">
        <v>1489</v>
      </c>
      <c r="J228" t="s">
        <v>1870</v>
      </c>
      <c r="K228" t="s">
        <v>1870</v>
      </c>
      <c r="L228" t="s">
        <v>1489</v>
      </c>
      <c r="M228" t="s">
        <v>1489</v>
      </c>
      <c r="N228" t="s">
        <v>1870</v>
      </c>
      <c r="O228" t="s">
        <v>1489</v>
      </c>
      <c r="Q228" s="3">
        <v>0</v>
      </c>
    </row>
    <row r="229" spans="1:17" x14ac:dyDescent="0.3">
      <c r="A229" s="249" t="s">
        <v>1870</v>
      </c>
      <c r="B229" s="246">
        <v>3509</v>
      </c>
      <c r="C229" t="s">
        <v>1870</v>
      </c>
      <c r="D229" t="s">
        <v>1870</v>
      </c>
      <c r="E229" s="7" t="s">
        <v>28</v>
      </c>
      <c r="F229" s="7">
        <v>1</v>
      </c>
      <c r="G229" t="s">
        <v>1870</v>
      </c>
      <c r="H229" t="s">
        <v>754</v>
      </c>
      <c r="I229" t="s">
        <v>1489</v>
      </c>
      <c r="J229" t="s">
        <v>1870</v>
      </c>
      <c r="K229" t="s">
        <v>1870</v>
      </c>
      <c r="L229" t="s">
        <v>1489</v>
      </c>
      <c r="M229" t="s">
        <v>1489</v>
      </c>
      <c r="N229" t="s">
        <v>1870</v>
      </c>
      <c r="O229" t="s">
        <v>1489</v>
      </c>
      <c r="Q229" s="3">
        <v>0</v>
      </c>
    </row>
    <row r="230" spans="1:17" x14ac:dyDescent="0.3">
      <c r="A230" s="249" t="s">
        <v>1870</v>
      </c>
      <c r="B230" s="246">
        <v>3509</v>
      </c>
      <c r="C230" t="s">
        <v>1870</v>
      </c>
      <c r="D230" t="s">
        <v>1870</v>
      </c>
      <c r="E230" s="7" t="s">
        <v>28</v>
      </c>
      <c r="F230" s="7">
        <v>2</v>
      </c>
      <c r="G230" t="s">
        <v>1870</v>
      </c>
      <c r="H230" t="s">
        <v>756</v>
      </c>
      <c r="I230" t="s">
        <v>1489</v>
      </c>
      <c r="J230" t="s">
        <v>1870</v>
      </c>
      <c r="K230" t="s">
        <v>1870</v>
      </c>
      <c r="L230" t="s">
        <v>1489</v>
      </c>
      <c r="M230" t="s">
        <v>1489</v>
      </c>
      <c r="N230" t="s">
        <v>1870</v>
      </c>
      <c r="O230" t="s">
        <v>1489</v>
      </c>
      <c r="Q230" s="3">
        <v>0</v>
      </c>
    </row>
    <row r="231" spans="1:17" x14ac:dyDescent="0.3">
      <c r="A231" s="249" t="s">
        <v>1870</v>
      </c>
      <c r="B231" s="246">
        <v>3509</v>
      </c>
      <c r="C231" t="s">
        <v>1870</v>
      </c>
      <c r="D231" t="s">
        <v>1870</v>
      </c>
      <c r="E231" s="7" t="s">
        <v>64</v>
      </c>
      <c r="F231">
        <v>0</v>
      </c>
      <c r="G231" t="s">
        <v>1870</v>
      </c>
      <c r="H231" t="s">
        <v>764</v>
      </c>
      <c r="I231" s="7" t="s">
        <v>1489</v>
      </c>
      <c r="J231" t="s">
        <v>1870</v>
      </c>
      <c r="K231" t="s">
        <v>1870</v>
      </c>
      <c r="L231" s="7" t="s">
        <v>1489</v>
      </c>
      <c r="M231" s="7" t="s">
        <v>1489</v>
      </c>
      <c r="N231" t="s">
        <v>1870</v>
      </c>
      <c r="O231" t="s">
        <v>1489</v>
      </c>
      <c r="Q231" s="3">
        <v>0</v>
      </c>
    </row>
    <row r="232" spans="1:17" x14ac:dyDescent="0.3">
      <c r="A232" s="249" t="s">
        <v>1870</v>
      </c>
      <c r="B232" s="246">
        <v>3510</v>
      </c>
      <c r="C232" t="s">
        <v>1870</v>
      </c>
      <c r="D232" t="s">
        <v>1870</v>
      </c>
      <c r="E232" s="7" t="s">
        <v>164</v>
      </c>
      <c r="F232">
        <v>0</v>
      </c>
      <c r="G232" t="s">
        <v>1870</v>
      </c>
      <c r="H232" t="s">
        <v>785</v>
      </c>
      <c r="I232" s="7" t="s">
        <v>1489</v>
      </c>
      <c r="J232" t="s">
        <v>1870</v>
      </c>
      <c r="K232" t="s">
        <v>1870</v>
      </c>
      <c r="L232" s="7" t="s">
        <v>1489</v>
      </c>
      <c r="M232" s="7" t="s">
        <v>1489</v>
      </c>
      <c r="N232" t="s">
        <v>1870</v>
      </c>
      <c r="O232" t="s">
        <v>1489</v>
      </c>
      <c r="Q232" s="3">
        <v>0</v>
      </c>
    </row>
    <row r="233" spans="1:17" x14ac:dyDescent="0.3">
      <c r="A233" s="249" t="s">
        <v>1870</v>
      </c>
      <c r="B233" s="246">
        <v>3510</v>
      </c>
      <c r="C233" t="s">
        <v>1870</v>
      </c>
      <c r="D233" t="s">
        <v>1870</v>
      </c>
      <c r="E233" s="7" t="s">
        <v>96</v>
      </c>
      <c r="F233">
        <v>0</v>
      </c>
      <c r="G233" t="s">
        <v>1870</v>
      </c>
      <c r="H233" t="s">
        <v>787</v>
      </c>
      <c r="I233" t="s">
        <v>1489</v>
      </c>
      <c r="J233" t="s">
        <v>1870</v>
      </c>
      <c r="K233" t="s">
        <v>1870</v>
      </c>
      <c r="L233" t="s">
        <v>1489</v>
      </c>
      <c r="M233" t="s">
        <v>1489</v>
      </c>
      <c r="N233" t="s">
        <v>1870</v>
      </c>
      <c r="O233" t="s">
        <v>1489</v>
      </c>
      <c r="Q233" s="3">
        <v>0</v>
      </c>
    </row>
    <row r="234" spans="1:17" x14ac:dyDescent="0.3">
      <c r="A234" s="249" t="s">
        <v>1870</v>
      </c>
      <c r="B234" s="246">
        <v>3510</v>
      </c>
      <c r="C234" t="s">
        <v>1870</v>
      </c>
      <c r="D234" t="s">
        <v>1870</v>
      </c>
      <c r="E234" s="7" t="s">
        <v>6</v>
      </c>
      <c r="F234">
        <v>0</v>
      </c>
      <c r="G234" t="s">
        <v>1870</v>
      </c>
      <c r="H234" t="s">
        <v>789</v>
      </c>
      <c r="I234" t="s">
        <v>1489</v>
      </c>
      <c r="J234" t="s">
        <v>1870</v>
      </c>
      <c r="K234" t="s">
        <v>1870</v>
      </c>
      <c r="L234" t="s">
        <v>1489</v>
      </c>
      <c r="M234" t="s">
        <v>1489</v>
      </c>
      <c r="N234" t="s">
        <v>1870</v>
      </c>
      <c r="O234" t="s">
        <v>1489</v>
      </c>
      <c r="Q234" s="3">
        <v>0</v>
      </c>
    </row>
    <row r="235" spans="1:17" x14ac:dyDescent="0.3">
      <c r="A235" s="249" t="s">
        <v>1870</v>
      </c>
      <c r="B235" s="246">
        <v>3510</v>
      </c>
      <c r="C235" t="s">
        <v>1870</v>
      </c>
      <c r="D235" t="s">
        <v>1870</v>
      </c>
      <c r="E235" s="7" t="s">
        <v>28</v>
      </c>
      <c r="F235" s="7">
        <v>1</v>
      </c>
      <c r="G235" t="s">
        <v>1870</v>
      </c>
      <c r="H235" t="s">
        <v>791</v>
      </c>
      <c r="I235" t="s">
        <v>1489</v>
      </c>
      <c r="J235" t="s">
        <v>1870</v>
      </c>
      <c r="K235" t="s">
        <v>1870</v>
      </c>
      <c r="L235" t="s">
        <v>1489</v>
      </c>
      <c r="M235" t="s">
        <v>1489</v>
      </c>
      <c r="N235" t="s">
        <v>1870</v>
      </c>
      <c r="O235" t="s">
        <v>1489</v>
      </c>
      <c r="Q235" s="3">
        <v>0</v>
      </c>
    </row>
    <row r="236" spans="1:17" x14ac:dyDescent="0.3">
      <c r="A236" s="249" t="s">
        <v>1870</v>
      </c>
      <c r="B236" s="246">
        <v>3510</v>
      </c>
      <c r="C236" t="s">
        <v>1870</v>
      </c>
      <c r="D236" t="s">
        <v>1870</v>
      </c>
      <c r="E236" s="7" t="s">
        <v>64</v>
      </c>
      <c r="F236">
        <v>0</v>
      </c>
      <c r="G236" t="s">
        <v>1870</v>
      </c>
      <c r="H236" t="s">
        <v>797</v>
      </c>
      <c r="I236" s="7" t="s">
        <v>1489</v>
      </c>
      <c r="J236" t="s">
        <v>1870</v>
      </c>
      <c r="K236" t="s">
        <v>1870</v>
      </c>
      <c r="L236" s="7" t="s">
        <v>1489</v>
      </c>
      <c r="M236" s="7" t="s">
        <v>1489</v>
      </c>
      <c r="N236" t="s">
        <v>1870</v>
      </c>
      <c r="O236" t="s">
        <v>1489</v>
      </c>
      <c r="Q236" s="3">
        <v>0</v>
      </c>
    </row>
    <row r="237" spans="1:17" x14ac:dyDescent="0.3">
      <c r="A237" s="249" t="s">
        <v>1870</v>
      </c>
      <c r="B237" s="246">
        <v>3511</v>
      </c>
      <c r="C237" t="s">
        <v>1870</v>
      </c>
      <c r="D237" t="s">
        <v>1870</v>
      </c>
      <c r="E237" s="7" t="s">
        <v>159</v>
      </c>
      <c r="F237">
        <v>0</v>
      </c>
      <c r="G237" t="s">
        <v>1870</v>
      </c>
      <c r="H237" t="s">
        <v>802</v>
      </c>
      <c r="I237" s="7" t="s">
        <v>1489</v>
      </c>
      <c r="J237" t="s">
        <v>1870</v>
      </c>
      <c r="K237" t="s">
        <v>1870</v>
      </c>
      <c r="L237" s="7" t="s">
        <v>1489</v>
      </c>
      <c r="M237" s="7" t="s">
        <v>1489</v>
      </c>
      <c r="N237" t="s">
        <v>1870</v>
      </c>
      <c r="O237" t="s">
        <v>1489</v>
      </c>
      <c r="Q237" s="3">
        <v>0</v>
      </c>
    </row>
    <row r="238" spans="1:17" x14ac:dyDescent="0.3">
      <c r="A238" s="249" t="s">
        <v>1870</v>
      </c>
      <c r="B238" s="246">
        <v>3511</v>
      </c>
      <c r="C238" t="s">
        <v>1870</v>
      </c>
      <c r="D238" t="s">
        <v>1870</v>
      </c>
      <c r="E238" s="7" t="s">
        <v>439</v>
      </c>
      <c r="F238">
        <v>0</v>
      </c>
      <c r="G238" t="s">
        <v>1870</v>
      </c>
      <c r="H238" t="s">
        <v>804</v>
      </c>
      <c r="I238" t="s">
        <v>1489</v>
      </c>
      <c r="J238" t="s">
        <v>1870</v>
      </c>
      <c r="K238" t="s">
        <v>1870</v>
      </c>
      <c r="L238" t="s">
        <v>1489</v>
      </c>
      <c r="M238" t="s">
        <v>1489</v>
      </c>
      <c r="N238" t="s">
        <v>1870</v>
      </c>
      <c r="O238" t="s">
        <v>1489</v>
      </c>
      <c r="Q238" s="3">
        <v>0</v>
      </c>
    </row>
    <row r="239" spans="1:17" x14ac:dyDescent="0.3">
      <c r="A239" s="249" t="s">
        <v>1870</v>
      </c>
      <c r="B239" s="246">
        <v>3511</v>
      </c>
      <c r="C239" t="s">
        <v>1870</v>
      </c>
      <c r="D239" t="s">
        <v>1870</v>
      </c>
      <c r="E239" s="7" t="s">
        <v>123</v>
      </c>
      <c r="F239" s="7">
        <v>0</v>
      </c>
      <c r="G239" t="s">
        <v>1870</v>
      </c>
      <c r="H239" t="s">
        <v>812</v>
      </c>
      <c r="I239" s="7" t="s">
        <v>1489</v>
      </c>
      <c r="J239" t="s">
        <v>1870</v>
      </c>
      <c r="K239" t="s">
        <v>1870</v>
      </c>
      <c r="L239" s="7" t="s">
        <v>1489</v>
      </c>
      <c r="M239" s="7" t="s">
        <v>1489</v>
      </c>
      <c r="N239" t="s">
        <v>1870</v>
      </c>
      <c r="O239" t="s">
        <v>1489</v>
      </c>
      <c r="Q239" s="3">
        <v>0</v>
      </c>
    </row>
    <row r="240" spans="1:17" x14ac:dyDescent="0.3">
      <c r="A240" s="249" t="s">
        <v>1870</v>
      </c>
      <c r="B240" s="246">
        <v>3511</v>
      </c>
      <c r="C240" t="s">
        <v>1870</v>
      </c>
      <c r="D240" t="s">
        <v>1870</v>
      </c>
      <c r="E240" s="7" t="s">
        <v>123</v>
      </c>
      <c r="F240" s="7">
        <v>1</v>
      </c>
      <c r="G240" t="s">
        <v>1870</v>
      </c>
      <c r="H240" t="s">
        <v>814</v>
      </c>
      <c r="I240" t="s">
        <v>1489</v>
      </c>
      <c r="J240" t="s">
        <v>1870</v>
      </c>
      <c r="K240" t="s">
        <v>1870</v>
      </c>
      <c r="L240" t="s">
        <v>1489</v>
      </c>
      <c r="M240" t="s">
        <v>1489</v>
      </c>
      <c r="N240" t="s">
        <v>1870</v>
      </c>
      <c r="O240" t="s">
        <v>1489</v>
      </c>
      <c r="Q240" s="3">
        <v>0</v>
      </c>
    </row>
    <row r="241" spans="1:17" x14ac:dyDescent="0.3">
      <c r="A241" s="249" t="s">
        <v>1870</v>
      </c>
      <c r="B241" s="246">
        <v>3511</v>
      </c>
      <c r="C241" t="s">
        <v>1870</v>
      </c>
      <c r="D241" t="s">
        <v>1870</v>
      </c>
      <c r="E241" s="7" t="s">
        <v>48</v>
      </c>
      <c r="F241" s="7">
        <v>0</v>
      </c>
      <c r="G241" t="s">
        <v>1870</v>
      </c>
      <c r="H241" t="s">
        <v>816</v>
      </c>
      <c r="I241" t="s">
        <v>1489</v>
      </c>
      <c r="J241" t="s">
        <v>1870</v>
      </c>
      <c r="K241" t="s">
        <v>1870</v>
      </c>
      <c r="L241" t="s">
        <v>1489</v>
      </c>
      <c r="M241" t="s">
        <v>1489</v>
      </c>
      <c r="N241" t="s">
        <v>1870</v>
      </c>
      <c r="O241" t="s">
        <v>1489</v>
      </c>
      <c r="Q241" s="3">
        <v>0</v>
      </c>
    </row>
    <row r="242" spans="1:17" x14ac:dyDescent="0.3">
      <c r="A242" s="249" t="s">
        <v>1870</v>
      </c>
      <c r="B242" s="246">
        <v>3511</v>
      </c>
      <c r="C242" t="s">
        <v>1870</v>
      </c>
      <c r="D242" t="s">
        <v>1870</v>
      </c>
      <c r="E242" s="7" t="s">
        <v>53</v>
      </c>
      <c r="F242">
        <v>0</v>
      </c>
      <c r="G242" t="s">
        <v>1870</v>
      </c>
      <c r="H242" t="s">
        <v>818</v>
      </c>
      <c r="I242" t="s">
        <v>1489</v>
      </c>
      <c r="J242" t="s">
        <v>1870</v>
      </c>
      <c r="K242" t="s">
        <v>1870</v>
      </c>
      <c r="L242" t="s">
        <v>1489</v>
      </c>
      <c r="M242" t="s">
        <v>1489</v>
      </c>
      <c r="N242" t="s">
        <v>1870</v>
      </c>
      <c r="O242" t="s">
        <v>1489</v>
      </c>
      <c r="Q242" s="3">
        <v>0</v>
      </c>
    </row>
    <row r="243" spans="1:17" x14ac:dyDescent="0.3">
      <c r="A243" s="249" t="s">
        <v>1870</v>
      </c>
      <c r="B243" s="246">
        <v>3511</v>
      </c>
      <c r="C243" t="s">
        <v>1870</v>
      </c>
      <c r="D243" t="s">
        <v>1870</v>
      </c>
      <c r="E243" s="7" t="s">
        <v>164</v>
      </c>
      <c r="F243">
        <v>0</v>
      </c>
      <c r="G243" t="s">
        <v>1870</v>
      </c>
      <c r="H243" t="s">
        <v>820</v>
      </c>
      <c r="I243" t="s">
        <v>1489</v>
      </c>
      <c r="J243" t="s">
        <v>1870</v>
      </c>
      <c r="K243" t="s">
        <v>1870</v>
      </c>
      <c r="L243" t="s">
        <v>1489</v>
      </c>
      <c r="M243" t="s">
        <v>1489</v>
      </c>
      <c r="N243" t="s">
        <v>1870</v>
      </c>
      <c r="O243" t="s">
        <v>1489</v>
      </c>
      <c r="Q243" s="3">
        <v>0</v>
      </c>
    </row>
    <row r="244" spans="1:17" x14ac:dyDescent="0.3">
      <c r="A244" s="249" t="s">
        <v>1870</v>
      </c>
      <c r="B244" s="246">
        <v>3511</v>
      </c>
      <c r="C244" t="s">
        <v>1870</v>
      </c>
      <c r="D244" t="s">
        <v>1870</v>
      </c>
      <c r="E244" s="7" t="s">
        <v>6</v>
      </c>
      <c r="F244">
        <v>0</v>
      </c>
      <c r="G244" t="s">
        <v>1870</v>
      </c>
      <c r="H244" t="s">
        <v>822</v>
      </c>
      <c r="I244" t="s">
        <v>1489</v>
      </c>
      <c r="J244" t="s">
        <v>1870</v>
      </c>
      <c r="K244" t="s">
        <v>1870</v>
      </c>
      <c r="L244" t="s">
        <v>1489</v>
      </c>
      <c r="M244" t="s">
        <v>1489</v>
      </c>
      <c r="N244" t="s">
        <v>1870</v>
      </c>
      <c r="O244" t="s">
        <v>1489</v>
      </c>
      <c r="Q244" s="3">
        <v>0</v>
      </c>
    </row>
    <row r="245" spans="1:17" x14ac:dyDescent="0.3">
      <c r="A245" s="249" t="s">
        <v>1870</v>
      </c>
      <c r="B245" s="246">
        <v>3511</v>
      </c>
      <c r="C245" t="s">
        <v>1870</v>
      </c>
      <c r="D245" t="s">
        <v>1870</v>
      </c>
      <c r="E245" s="246" t="s">
        <v>335</v>
      </c>
      <c r="F245">
        <v>0</v>
      </c>
      <c r="G245" t="s">
        <v>1870</v>
      </c>
      <c r="H245" t="s">
        <v>824</v>
      </c>
      <c r="I245" t="s">
        <v>1489</v>
      </c>
      <c r="J245" t="s">
        <v>1870</v>
      </c>
      <c r="K245" t="s">
        <v>1870</v>
      </c>
      <c r="L245" t="s">
        <v>1489</v>
      </c>
      <c r="M245" t="s">
        <v>1489</v>
      </c>
      <c r="N245" t="s">
        <v>1870</v>
      </c>
      <c r="O245" t="s">
        <v>1489</v>
      </c>
      <c r="Q245" s="3">
        <v>0</v>
      </c>
    </row>
    <row r="246" spans="1:17" x14ac:dyDescent="0.3">
      <c r="A246" s="249" t="s">
        <v>1870</v>
      </c>
      <c r="B246" s="246">
        <v>3511</v>
      </c>
      <c r="C246" t="s">
        <v>1870</v>
      </c>
      <c r="D246" t="s">
        <v>1870</v>
      </c>
      <c r="E246" s="7" t="s">
        <v>61</v>
      </c>
      <c r="F246" s="7">
        <v>0</v>
      </c>
      <c r="G246" t="s">
        <v>1870</v>
      </c>
      <c r="H246" t="s">
        <v>828</v>
      </c>
      <c r="I246" s="7" t="s">
        <v>1489</v>
      </c>
      <c r="J246" t="s">
        <v>1870</v>
      </c>
      <c r="K246" t="s">
        <v>1870</v>
      </c>
      <c r="L246" s="7" t="s">
        <v>1489</v>
      </c>
      <c r="M246" s="7" t="s">
        <v>1489</v>
      </c>
      <c r="N246" t="s">
        <v>1870</v>
      </c>
      <c r="O246" t="s">
        <v>1489</v>
      </c>
      <c r="Q246" s="3">
        <v>0</v>
      </c>
    </row>
    <row r="247" spans="1:17" x14ac:dyDescent="0.3">
      <c r="A247" s="249" t="s">
        <v>1870</v>
      </c>
      <c r="B247" s="246">
        <v>3511</v>
      </c>
      <c r="C247" t="s">
        <v>1870</v>
      </c>
      <c r="D247" t="s">
        <v>1870</v>
      </c>
      <c r="E247" s="7" t="s">
        <v>64</v>
      </c>
      <c r="F247">
        <v>0</v>
      </c>
      <c r="G247" t="s">
        <v>1870</v>
      </c>
      <c r="H247" t="s">
        <v>830</v>
      </c>
      <c r="I247" t="s">
        <v>1489</v>
      </c>
      <c r="J247" t="s">
        <v>1870</v>
      </c>
      <c r="K247" t="s">
        <v>1870</v>
      </c>
      <c r="L247" t="s">
        <v>1489</v>
      </c>
      <c r="M247" t="s">
        <v>1489</v>
      </c>
      <c r="N247" t="s">
        <v>1870</v>
      </c>
      <c r="O247" t="s">
        <v>1489</v>
      </c>
      <c r="Q247" s="3">
        <v>0</v>
      </c>
    </row>
    <row r="248" spans="1:17" x14ac:dyDescent="0.3">
      <c r="A248" s="249" t="s">
        <v>1870</v>
      </c>
      <c r="B248" s="246">
        <v>3512</v>
      </c>
      <c r="C248" t="s">
        <v>1870</v>
      </c>
      <c r="D248" t="s">
        <v>1870</v>
      </c>
      <c r="E248" s="246" t="s">
        <v>25</v>
      </c>
      <c r="F248" s="7">
        <v>2</v>
      </c>
      <c r="G248" t="s">
        <v>1870</v>
      </c>
      <c r="H248" t="s">
        <v>835</v>
      </c>
      <c r="I248" s="7" t="s">
        <v>1489</v>
      </c>
      <c r="J248" t="s">
        <v>1870</v>
      </c>
      <c r="K248" t="s">
        <v>1870</v>
      </c>
      <c r="L248" s="7" t="s">
        <v>1489</v>
      </c>
      <c r="M248" s="7" t="s">
        <v>1489</v>
      </c>
      <c r="N248" t="s">
        <v>1870</v>
      </c>
      <c r="O248" t="s">
        <v>1489</v>
      </c>
      <c r="Q248" s="3">
        <v>0</v>
      </c>
    </row>
    <row r="249" spans="1:17" x14ac:dyDescent="0.3">
      <c r="A249" s="249" t="s">
        <v>1870</v>
      </c>
      <c r="B249" s="246">
        <v>3512</v>
      </c>
      <c r="C249" t="s">
        <v>1870</v>
      </c>
      <c r="D249" t="s">
        <v>1870</v>
      </c>
      <c r="E249" s="246" t="s">
        <v>25</v>
      </c>
      <c r="F249" s="7">
        <v>3</v>
      </c>
      <c r="G249" t="s">
        <v>1870</v>
      </c>
      <c r="H249" t="s">
        <v>837</v>
      </c>
      <c r="I249" t="s">
        <v>1489</v>
      </c>
      <c r="J249" t="s">
        <v>1870</v>
      </c>
      <c r="K249" t="s">
        <v>1870</v>
      </c>
      <c r="L249" t="s">
        <v>1489</v>
      </c>
      <c r="M249" t="s">
        <v>1489</v>
      </c>
      <c r="N249" t="s">
        <v>1870</v>
      </c>
      <c r="O249" t="s">
        <v>1489</v>
      </c>
      <c r="Q249" s="3">
        <v>0</v>
      </c>
    </row>
    <row r="250" spans="1:17" x14ac:dyDescent="0.3">
      <c r="A250" s="249" t="s">
        <v>1870</v>
      </c>
      <c r="B250" s="246">
        <v>3512</v>
      </c>
      <c r="C250" t="s">
        <v>1870</v>
      </c>
      <c r="D250" t="s">
        <v>1870</v>
      </c>
      <c r="E250" s="246" t="s">
        <v>439</v>
      </c>
      <c r="F250" s="7">
        <v>2</v>
      </c>
      <c r="G250" t="s">
        <v>1870</v>
      </c>
      <c r="H250" t="s">
        <v>843</v>
      </c>
      <c r="I250" s="7" t="s">
        <v>1489</v>
      </c>
      <c r="J250" t="s">
        <v>1870</v>
      </c>
      <c r="K250" t="s">
        <v>1870</v>
      </c>
      <c r="L250" s="7" t="s">
        <v>1489</v>
      </c>
      <c r="M250" s="7" t="s">
        <v>1489</v>
      </c>
      <c r="N250" t="s">
        <v>1870</v>
      </c>
      <c r="O250" t="s">
        <v>1489</v>
      </c>
      <c r="Q250" s="3">
        <v>0</v>
      </c>
    </row>
    <row r="251" spans="1:17" x14ac:dyDescent="0.3">
      <c r="A251" s="249" t="s">
        <v>1870</v>
      </c>
      <c r="B251" s="246">
        <v>3512</v>
      </c>
      <c r="C251" t="s">
        <v>1870</v>
      </c>
      <c r="D251" t="s">
        <v>1870</v>
      </c>
      <c r="E251" s="246" t="s">
        <v>439</v>
      </c>
      <c r="F251" s="7">
        <v>3</v>
      </c>
      <c r="G251" t="s">
        <v>1870</v>
      </c>
      <c r="H251" t="s">
        <v>845</v>
      </c>
      <c r="I251" t="s">
        <v>1489</v>
      </c>
      <c r="J251" t="s">
        <v>1870</v>
      </c>
      <c r="K251" t="s">
        <v>1870</v>
      </c>
      <c r="L251" t="s">
        <v>1489</v>
      </c>
      <c r="M251" t="s">
        <v>1489</v>
      </c>
      <c r="N251" t="s">
        <v>1870</v>
      </c>
      <c r="O251" t="s">
        <v>1489</v>
      </c>
      <c r="Q251" s="3">
        <v>0</v>
      </c>
    </row>
    <row r="252" spans="1:17" x14ac:dyDescent="0.3">
      <c r="A252" s="249" t="s">
        <v>1870</v>
      </c>
      <c r="B252" s="246">
        <v>3512</v>
      </c>
      <c r="C252" t="s">
        <v>1870</v>
      </c>
      <c r="D252" t="s">
        <v>1870</v>
      </c>
      <c r="E252" s="246" t="s">
        <v>131</v>
      </c>
      <c r="F252" s="7">
        <v>2</v>
      </c>
      <c r="G252" t="s">
        <v>1870</v>
      </c>
      <c r="H252" t="s">
        <v>849</v>
      </c>
      <c r="I252" s="7" t="s">
        <v>1489</v>
      </c>
      <c r="J252" t="s">
        <v>1870</v>
      </c>
      <c r="K252" t="s">
        <v>1870</v>
      </c>
      <c r="L252" s="7" t="s">
        <v>1489</v>
      </c>
      <c r="M252" s="7" t="s">
        <v>1489</v>
      </c>
      <c r="N252" t="s">
        <v>1870</v>
      </c>
      <c r="O252" t="s">
        <v>1489</v>
      </c>
      <c r="Q252" s="3">
        <v>0</v>
      </c>
    </row>
    <row r="253" spans="1:17" x14ac:dyDescent="0.3">
      <c r="A253" s="249" t="s">
        <v>1870</v>
      </c>
      <c r="B253" s="246">
        <v>3512</v>
      </c>
      <c r="C253" t="s">
        <v>1870</v>
      </c>
      <c r="D253" t="s">
        <v>1870</v>
      </c>
      <c r="E253" s="246" t="s">
        <v>131</v>
      </c>
      <c r="F253" s="7">
        <v>3</v>
      </c>
      <c r="G253" t="s">
        <v>1870</v>
      </c>
      <c r="H253" t="s">
        <v>851</v>
      </c>
      <c r="I253" t="s">
        <v>1489</v>
      </c>
      <c r="J253" t="s">
        <v>1870</v>
      </c>
      <c r="K253" t="s">
        <v>1870</v>
      </c>
      <c r="L253" t="s">
        <v>1489</v>
      </c>
      <c r="M253" t="s">
        <v>1489</v>
      </c>
      <c r="N253" t="s">
        <v>1870</v>
      </c>
      <c r="O253" t="s">
        <v>1489</v>
      </c>
      <c r="Q253" s="3">
        <v>0</v>
      </c>
    </row>
    <row r="254" spans="1:17" x14ac:dyDescent="0.3">
      <c r="A254" s="249" t="s">
        <v>1870</v>
      </c>
      <c r="B254" s="246">
        <v>3512</v>
      </c>
      <c r="C254" t="s">
        <v>1870</v>
      </c>
      <c r="D254" t="s">
        <v>1870</v>
      </c>
      <c r="E254" s="246" t="s">
        <v>123</v>
      </c>
      <c r="F254" s="7">
        <v>2</v>
      </c>
      <c r="G254" t="s">
        <v>1870</v>
      </c>
      <c r="H254" t="s">
        <v>859</v>
      </c>
      <c r="I254" s="7" t="s">
        <v>1489</v>
      </c>
      <c r="J254" t="s">
        <v>1870</v>
      </c>
      <c r="K254" t="s">
        <v>1870</v>
      </c>
      <c r="L254" s="7" t="s">
        <v>1489</v>
      </c>
      <c r="M254" s="7" t="s">
        <v>1489</v>
      </c>
      <c r="N254" t="s">
        <v>1870</v>
      </c>
      <c r="O254" t="s">
        <v>1489</v>
      </c>
      <c r="Q254" s="3">
        <v>0</v>
      </c>
    </row>
    <row r="255" spans="1:17" x14ac:dyDescent="0.3">
      <c r="A255" s="249" t="s">
        <v>1870</v>
      </c>
      <c r="B255" s="246">
        <v>3512</v>
      </c>
      <c r="C255" t="s">
        <v>1870</v>
      </c>
      <c r="D255" t="s">
        <v>1870</v>
      </c>
      <c r="E255" s="246" t="s">
        <v>123</v>
      </c>
      <c r="F255" s="7">
        <v>3</v>
      </c>
      <c r="G255" t="s">
        <v>1870</v>
      </c>
      <c r="H255" t="s">
        <v>861</v>
      </c>
      <c r="I255" t="s">
        <v>1489</v>
      </c>
      <c r="J255" t="s">
        <v>1870</v>
      </c>
      <c r="K255" t="s">
        <v>1870</v>
      </c>
      <c r="L255" t="s">
        <v>1489</v>
      </c>
      <c r="M255" t="s">
        <v>1489</v>
      </c>
      <c r="N255" t="s">
        <v>1870</v>
      </c>
      <c r="O255" t="s">
        <v>1489</v>
      </c>
      <c r="Q255" s="3">
        <v>0</v>
      </c>
    </row>
    <row r="256" spans="1:17" x14ac:dyDescent="0.3">
      <c r="A256" s="249" t="s">
        <v>1870</v>
      </c>
      <c r="B256" s="246">
        <v>3512</v>
      </c>
      <c r="C256" t="s">
        <v>1870</v>
      </c>
      <c r="D256" t="s">
        <v>1870</v>
      </c>
      <c r="E256" s="7" t="s">
        <v>6</v>
      </c>
      <c r="F256">
        <v>0</v>
      </c>
      <c r="G256" t="s">
        <v>1870</v>
      </c>
      <c r="H256" t="s">
        <v>867</v>
      </c>
      <c r="I256" s="7" t="s">
        <v>1489</v>
      </c>
      <c r="J256" t="s">
        <v>1870</v>
      </c>
      <c r="K256" t="s">
        <v>1870</v>
      </c>
      <c r="L256" s="7" t="s">
        <v>1489</v>
      </c>
      <c r="M256" s="7" t="s">
        <v>1489</v>
      </c>
      <c r="N256" t="s">
        <v>1870</v>
      </c>
      <c r="O256" t="s">
        <v>1489</v>
      </c>
      <c r="Q256" s="3">
        <v>0</v>
      </c>
    </row>
    <row r="257" spans="1:18" x14ac:dyDescent="0.3">
      <c r="A257" s="249" t="s">
        <v>1870</v>
      </c>
      <c r="B257" s="246">
        <v>3512</v>
      </c>
      <c r="C257" t="s">
        <v>1870</v>
      </c>
      <c r="D257" t="s">
        <v>1870</v>
      </c>
      <c r="E257" s="7" t="s">
        <v>61</v>
      </c>
      <c r="F257">
        <v>0</v>
      </c>
      <c r="G257" t="s">
        <v>1870</v>
      </c>
      <c r="H257" t="s">
        <v>873</v>
      </c>
      <c r="I257" s="7" t="s">
        <v>1489</v>
      </c>
      <c r="J257" t="s">
        <v>1870</v>
      </c>
      <c r="K257" t="s">
        <v>1870</v>
      </c>
      <c r="L257" s="7" t="s">
        <v>1489</v>
      </c>
      <c r="M257" s="7" t="s">
        <v>1489</v>
      </c>
      <c r="N257" t="s">
        <v>1870</v>
      </c>
      <c r="O257" t="s">
        <v>1489</v>
      </c>
      <c r="Q257" s="3">
        <v>0</v>
      </c>
    </row>
    <row r="258" spans="1:18" x14ac:dyDescent="0.3">
      <c r="A258" s="249" t="s">
        <v>1870</v>
      </c>
      <c r="B258" s="246">
        <v>3513</v>
      </c>
      <c r="C258" t="s">
        <v>1870</v>
      </c>
      <c r="D258" t="s">
        <v>1870</v>
      </c>
      <c r="E258" s="7" t="s">
        <v>159</v>
      </c>
      <c r="F258">
        <v>0</v>
      </c>
      <c r="G258" t="s">
        <v>1870</v>
      </c>
      <c r="H258" t="s">
        <v>876</v>
      </c>
      <c r="I258" t="s">
        <v>1489</v>
      </c>
      <c r="J258" t="s">
        <v>1870</v>
      </c>
      <c r="K258" t="s">
        <v>1870</v>
      </c>
      <c r="L258" t="s">
        <v>1489</v>
      </c>
      <c r="M258" t="s">
        <v>1489</v>
      </c>
      <c r="N258" t="s">
        <v>1870</v>
      </c>
      <c r="O258" t="s">
        <v>1489</v>
      </c>
      <c r="Q258" s="3">
        <v>0</v>
      </c>
    </row>
    <row r="259" spans="1:18" x14ac:dyDescent="0.3">
      <c r="A259" s="249" t="s">
        <v>1870</v>
      </c>
      <c r="B259" s="246">
        <v>3513</v>
      </c>
      <c r="C259" t="s">
        <v>1870</v>
      </c>
      <c r="D259" t="s">
        <v>1870</v>
      </c>
      <c r="E259" s="7" t="s">
        <v>48</v>
      </c>
      <c r="F259">
        <v>0</v>
      </c>
      <c r="G259" t="s">
        <v>1870</v>
      </c>
      <c r="H259" t="s">
        <v>880</v>
      </c>
      <c r="I259" s="7" t="s">
        <v>1489</v>
      </c>
      <c r="J259" t="s">
        <v>1870</v>
      </c>
      <c r="K259" t="s">
        <v>1870</v>
      </c>
      <c r="L259" s="7" t="s">
        <v>1489</v>
      </c>
      <c r="M259" s="7" t="s">
        <v>1489</v>
      </c>
      <c r="N259" t="s">
        <v>1870</v>
      </c>
      <c r="O259" t="s">
        <v>1489</v>
      </c>
      <c r="Q259" s="3">
        <v>0</v>
      </c>
    </row>
    <row r="260" spans="1:18" x14ac:dyDescent="0.3">
      <c r="A260" s="249" t="s">
        <v>1870</v>
      </c>
      <c r="B260" s="246">
        <v>3513</v>
      </c>
      <c r="C260" t="s">
        <v>1870</v>
      </c>
      <c r="D260" t="s">
        <v>1870</v>
      </c>
      <c r="E260" s="7" t="s">
        <v>164</v>
      </c>
      <c r="F260">
        <v>0</v>
      </c>
      <c r="G260" t="s">
        <v>1870</v>
      </c>
      <c r="H260" t="s">
        <v>882</v>
      </c>
      <c r="I260" t="s">
        <v>1489</v>
      </c>
      <c r="J260" t="s">
        <v>1870</v>
      </c>
      <c r="K260" t="s">
        <v>1870</v>
      </c>
      <c r="L260" t="s">
        <v>1489</v>
      </c>
      <c r="M260" t="s">
        <v>1489</v>
      </c>
      <c r="N260" t="s">
        <v>1870</v>
      </c>
      <c r="O260" t="s">
        <v>1489</v>
      </c>
      <c r="Q260" s="3">
        <v>0</v>
      </c>
    </row>
    <row r="261" spans="1:18" x14ac:dyDescent="0.3">
      <c r="A261" s="249" t="s">
        <v>1870</v>
      </c>
      <c r="B261" s="246">
        <v>3513</v>
      </c>
      <c r="C261" t="s">
        <v>1870</v>
      </c>
      <c r="D261" t="s">
        <v>1870</v>
      </c>
      <c r="E261" s="7" t="s">
        <v>6</v>
      </c>
      <c r="F261">
        <v>0</v>
      </c>
      <c r="G261" t="s">
        <v>1870</v>
      </c>
      <c r="H261" t="s">
        <v>884</v>
      </c>
      <c r="I261" t="s">
        <v>1489</v>
      </c>
      <c r="J261" t="s">
        <v>1870</v>
      </c>
      <c r="K261" t="s">
        <v>1870</v>
      </c>
      <c r="L261" t="s">
        <v>1489</v>
      </c>
      <c r="M261" t="s">
        <v>1489</v>
      </c>
      <c r="N261" t="s">
        <v>1870</v>
      </c>
      <c r="O261" t="s">
        <v>1489</v>
      </c>
      <c r="Q261" s="3">
        <v>0</v>
      </c>
    </row>
    <row r="262" spans="1:18" x14ac:dyDescent="0.3">
      <c r="A262" s="249" t="s">
        <v>1870</v>
      </c>
      <c r="B262" s="246">
        <v>3513</v>
      </c>
      <c r="C262" t="s">
        <v>1870</v>
      </c>
      <c r="D262" t="s">
        <v>1870</v>
      </c>
      <c r="E262" s="7" t="s">
        <v>326</v>
      </c>
      <c r="F262">
        <v>0</v>
      </c>
      <c r="G262" t="s">
        <v>1870</v>
      </c>
      <c r="H262" t="s">
        <v>886</v>
      </c>
      <c r="I262" t="s">
        <v>1489</v>
      </c>
      <c r="J262" t="s">
        <v>1870</v>
      </c>
      <c r="K262" t="s">
        <v>1870</v>
      </c>
      <c r="L262" t="s">
        <v>1489</v>
      </c>
      <c r="M262" t="s">
        <v>1489</v>
      </c>
      <c r="N262" t="s">
        <v>1870</v>
      </c>
      <c r="O262" t="s">
        <v>1489</v>
      </c>
      <c r="Q262" s="3">
        <v>0</v>
      </c>
    </row>
    <row r="263" spans="1:18" x14ac:dyDescent="0.3">
      <c r="A263" s="249" t="s">
        <v>1870</v>
      </c>
      <c r="B263" s="246">
        <v>3513</v>
      </c>
      <c r="C263" t="s">
        <v>1870</v>
      </c>
      <c r="D263" t="s">
        <v>1870</v>
      </c>
      <c r="E263" s="7" t="s">
        <v>329</v>
      </c>
      <c r="F263">
        <v>0</v>
      </c>
      <c r="G263" t="s">
        <v>1870</v>
      </c>
      <c r="H263" t="s">
        <v>888</v>
      </c>
      <c r="I263" t="s">
        <v>1489</v>
      </c>
      <c r="J263" t="s">
        <v>1870</v>
      </c>
      <c r="K263" t="s">
        <v>1870</v>
      </c>
      <c r="L263" t="s">
        <v>1489</v>
      </c>
      <c r="M263" t="s">
        <v>1489</v>
      </c>
      <c r="N263" t="s">
        <v>1870</v>
      </c>
      <c r="O263" t="s">
        <v>1489</v>
      </c>
      <c r="Q263" s="3">
        <v>0</v>
      </c>
    </row>
    <row r="264" spans="1:18" x14ac:dyDescent="0.3">
      <c r="A264" s="249" t="s">
        <v>1870</v>
      </c>
      <c r="B264" s="246">
        <v>3513</v>
      </c>
      <c r="C264" t="s">
        <v>1870</v>
      </c>
      <c r="D264" t="s">
        <v>1870</v>
      </c>
      <c r="E264" s="7" t="s">
        <v>64</v>
      </c>
      <c r="F264">
        <v>0</v>
      </c>
      <c r="G264" t="s">
        <v>1870</v>
      </c>
      <c r="H264" t="s">
        <v>890</v>
      </c>
      <c r="I264" t="s">
        <v>1489</v>
      </c>
      <c r="J264" t="s">
        <v>1870</v>
      </c>
      <c r="K264" t="s">
        <v>1870</v>
      </c>
      <c r="L264" t="s">
        <v>1489</v>
      </c>
      <c r="M264" t="s">
        <v>1489</v>
      </c>
      <c r="N264" t="s">
        <v>1870</v>
      </c>
      <c r="O264" t="s">
        <v>1489</v>
      </c>
      <c r="Q264" s="3">
        <v>0</v>
      </c>
    </row>
    <row r="265" spans="1:18" x14ac:dyDescent="0.3">
      <c r="A265" s="249" t="s">
        <v>1870</v>
      </c>
      <c r="B265" s="246">
        <v>3514</v>
      </c>
      <c r="C265" t="s">
        <v>1870</v>
      </c>
      <c r="D265" t="s">
        <v>1870</v>
      </c>
      <c r="E265" s="7" t="s">
        <v>6</v>
      </c>
      <c r="F265">
        <v>0</v>
      </c>
      <c r="G265" t="s">
        <v>1870</v>
      </c>
      <c r="H265" t="s">
        <v>907</v>
      </c>
      <c r="I265" t="s">
        <v>1489</v>
      </c>
      <c r="J265" t="s">
        <v>1870</v>
      </c>
      <c r="K265" t="s">
        <v>1870</v>
      </c>
      <c r="L265">
        <v>0</v>
      </c>
      <c r="M265" t="s">
        <v>1489</v>
      </c>
      <c r="N265" t="s">
        <v>1870</v>
      </c>
      <c r="O265" t="s">
        <v>1489</v>
      </c>
      <c r="Q265" s="3">
        <v>0</v>
      </c>
    </row>
    <row r="266" spans="1:18" x14ac:dyDescent="0.3">
      <c r="A266" s="249" t="s">
        <v>1870</v>
      </c>
      <c r="B266" s="246">
        <v>3514</v>
      </c>
      <c r="C266" t="s">
        <v>1870</v>
      </c>
      <c r="D266" t="s">
        <v>1870</v>
      </c>
      <c r="E266" s="7" t="s">
        <v>326</v>
      </c>
      <c r="F266">
        <v>0</v>
      </c>
      <c r="G266" t="s">
        <v>1870</v>
      </c>
      <c r="H266" t="s">
        <v>909</v>
      </c>
      <c r="I266" t="s">
        <v>1489</v>
      </c>
      <c r="J266" t="s">
        <v>1870</v>
      </c>
      <c r="K266" t="s">
        <v>1870</v>
      </c>
      <c r="L266" t="s">
        <v>1489</v>
      </c>
      <c r="M266" t="s">
        <v>1489</v>
      </c>
      <c r="N266" t="s">
        <v>1870</v>
      </c>
      <c r="O266" t="s">
        <v>1489</v>
      </c>
      <c r="Q266" s="3">
        <v>0</v>
      </c>
    </row>
    <row r="267" spans="1:18" x14ac:dyDescent="0.3">
      <c r="B267"/>
      <c r="E267"/>
      <c r="F267"/>
      <c r="H267"/>
      <c r="I267"/>
      <c r="L267"/>
      <c r="M267"/>
      <c r="O267"/>
      <c r="P267"/>
      <c r="Q267"/>
      <c r="R267"/>
    </row>
    <row r="268" spans="1:18" x14ac:dyDescent="0.3">
      <c r="B268"/>
      <c r="E268"/>
      <c r="F268"/>
      <c r="H268"/>
      <c r="I268"/>
      <c r="L268"/>
      <c r="M268"/>
      <c r="O268"/>
      <c r="P268"/>
      <c r="Q268"/>
      <c r="R268"/>
    </row>
    <row r="269" spans="1:18" x14ac:dyDescent="0.3">
      <c r="B269"/>
      <c r="E269"/>
      <c r="F269"/>
      <c r="H269"/>
      <c r="I269"/>
      <c r="L269"/>
      <c r="M269"/>
      <c r="O269"/>
      <c r="P269"/>
      <c r="Q269"/>
      <c r="R269"/>
    </row>
    <row r="270" spans="1:18" x14ac:dyDescent="0.3">
      <c r="B270"/>
      <c r="E270"/>
      <c r="F270"/>
      <c r="H270"/>
      <c r="I270"/>
      <c r="L270"/>
      <c r="M270"/>
      <c r="O270"/>
      <c r="P270"/>
      <c r="Q270"/>
      <c r="R270"/>
    </row>
    <row r="271" spans="1:18" x14ac:dyDescent="0.3">
      <c r="B271"/>
      <c r="E271"/>
      <c r="F271"/>
      <c r="H271"/>
      <c r="I271"/>
      <c r="L271"/>
      <c r="M271"/>
      <c r="O271"/>
      <c r="P271"/>
      <c r="Q271"/>
      <c r="R271"/>
    </row>
    <row r="272" spans="1:18" x14ac:dyDescent="0.3">
      <c r="B272"/>
      <c r="E272"/>
      <c r="F272"/>
      <c r="H272"/>
      <c r="I272"/>
      <c r="L272"/>
      <c r="M272"/>
      <c r="O272"/>
      <c r="P272"/>
      <c r="Q272"/>
      <c r="R272"/>
    </row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spans="2:18" x14ac:dyDescent="0.3">
      <c r="B609"/>
      <c r="E609"/>
      <c r="F609"/>
      <c r="H609"/>
      <c r="I609"/>
      <c r="L609"/>
      <c r="M609"/>
      <c r="O609"/>
      <c r="P609"/>
      <c r="Q609"/>
      <c r="R609"/>
    </row>
    <row r="610" spans="2:18" x14ac:dyDescent="0.3">
      <c r="B610"/>
      <c r="E610"/>
      <c r="F610"/>
      <c r="H610"/>
      <c r="I610"/>
      <c r="L610"/>
      <c r="M610"/>
      <c r="O610"/>
      <c r="P610"/>
      <c r="Q610"/>
      <c r="R610"/>
    </row>
    <row r="611" spans="2:18" x14ac:dyDescent="0.3">
      <c r="B611"/>
      <c r="E611"/>
      <c r="F611"/>
      <c r="H611"/>
      <c r="I611"/>
      <c r="L611"/>
      <c r="M611"/>
      <c r="O611"/>
      <c r="P611"/>
      <c r="Q611"/>
      <c r="R611"/>
    </row>
    <row r="612" spans="2:18" x14ac:dyDescent="0.3">
      <c r="B612"/>
      <c r="E612"/>
      <c r="F612"/>
      <c r="H612"/>
      <c r="I612"/>
      <c r="L612"/>
      <c r="M612"/>
      <c r="O612"/>
      <c r="P612"/>
      <c r="Q612"/>
      <c r="R612"/>
    </row>
    <row r="613" spans="2:18" x14ac:dyDescent="0.3">
      <c r="B613"/>
      <c r="E613"/>
      <c r="F613"/>
      <c r="H613"/>
      <c r="I613"/>
      <c r="L613"/>
      <c r="M613"/>
      <c r="O613"/>
      <c r="P613"/>
      <c r="Q613"/>
      <c r="R613"/>
    </row>
    <row r="614" spans="2:18" x14ac:dyDescent="0.3">
      <c r="B614"/>
      <c r="E614"/>
      <c r="F614"/>
      <c r="H614"/>
      <c r="I614"/>
      <c r="L614"/>
      <c r="M614"/>
      <c r="O614"/>
      <c r="P614"/>
      <c r="Q614"/>
      <c r="R614"/>
    </row>
    <row r="615" spans="2:18" x14ac:dyDescent="0.3">
      <c r="B615"/>
      <c r="E615"/>
      <c r="F615"/>
      <c r="H615"/>
      <c r="I615"/>
      <c r="L615"/>
      <c r="M615"/>
      <c r="O615"/>
      <c r="P615"/>
      <c r="Q615"/>
      <c r="R615"/>
    </row>
    <row r="616" spans="2:18" x14ac:dyDescent="0.3">
      <c r="P616"/>
      <c r="Q616"/>
      <c r="R616"/>
    </row>
    <row r="617" spans="2:18" x14ac:dyDescent="0.3">
      <c r="P617"/>
      <c r="Q617"/>
      <c r="R617"/>
    </row>
    <row r="618" spans="2:18" x14ac:dyDescent="0.3">
      <c r="P618"/>
      <c r="Q618"/>
      <c r="R618"/>
    </row>
    <row r="619" spans="2:18" x14ac:dyDescent="0.3">
      <c r="P619"/>
      <c r="Q619"/>
      <c r="R619"/>
    </row>
    <row r="620" spans="2:18" x14ac:dyDescent="0.3">
      <c r="P620"/>
      <c r="Q620"/>
      <c r="R620"/>
    </row>
    <row r="621" spans="2:18" x14ac:dyDescent="0.3">
      <c r="P621"/>
      <c r="Q621"/>
      <c r="R621"/>
    </row>
    <row r="622" spans="2:18" x14ac:dyDescent="0.3">
      <c r="P622"/>
      <c r="Q622"/>
      <c r="R622"/>
    </row>
    <row r="623" spans="2:18" x14ac:dyDescent="0.3">
      <c r="P623"/>
      <c r="Q623"/>
      <c r="R623"/>
    </row>
    <row r="624" spans="2:18" x14ac:dyDescent="0.3">
      <c r="P624"/>
      <c r="Q624"/>
      <c r="R624"/>
    </row>
    <row r="625" spans="16:18" x14ac:dyDescent="0.3">
      <c r="P625"/>
      <c r="Q625"/>
      <c r="R625"/>
    </row>
    <row r="626" spans="16:18" x14ac:dyDescent="0.3">
      <c r="P626"/>
      <c r="Q626"/>
      <c r="R626"/>
    </row>
    <row r="627" spans="16:18" x14ac:dyDescent="0.3">
      <c r="P627"/>
      <c r="Q627"/>
      <c r="R627"/>
    </row>
    <row r="628" spans="16:18" x14ac:dyDescent="0.3">
      <c r="P628"/>
      <c r="Q628"/>
      <c r="R628"/>
    </row>
    <row r="629" spans="16:18" x14ac:dyDescent="0.3">
      <c r="P629"/>
      <c r="Q629"/>
      <c r="R629"/>
    </row>
    <row r="630" spans="16:18" x14ac:dyDescent="0.3">
      <c r="P630"/>
      <c r="Q630"/>
      <c r="R630"/>
    </row>
    <row r="631" spans="16:18" x14ac:dyDescent="0.3">
      <c r="P631"/>
      <c r="Q631"/>
      <c r="R631"/>
    </row>
    <row r="632" spans="16:18" x14ac:dyDescent="0.3">
      <c r="P632"/>
      <c r="Q632"/>
      <c r="R632"/>
    </row>
    <row r="633" spans="16:18" x14ac:dyDescent="0.3">
      <c r="P633"/>
      <c r="Q633"/>
      <c r="R633"/>
    </row>
    <row r="634" spans="16:18" x14ac:dyDescent="0.3">
      <c r="P634"/>
      <c r="Q634"/>
      <c r="R634"/>
    </row>
    <row r="635" spans="16:18" x14ac:dyDescent="0.3">
      <c r="P635"/>
      <c r="Q635"/>
      <c r="R635"/>
    </row>
    <row r="636" spans="16:18" x14ac:dyDescent="0.3">
      <c r="P636"/>
      <c r="Q636"/>
      <c r="R636"/>
    </row>
    <row r="637" spans="16:18" x14ac:dyDescent="0.3">
      <c r="P637"/>
      <c r="Q637"/>
      <c r="R637"/>
    </row>
    <row r="638" spans="16:18" x14ac:dyDescent="0.3">
      <c r="P638"/>
      <c r="Q638"/>
      <c r="R638"/>
    </row>
    <row r="639" spans="16:18" x14ac:dyDescent="0.3">
      <c r="P639"/>
      <c r="Q639"/>
      <c r="R639"/>
    </row>
    <row r="640" spans="16:18" x14ac:dyDescent="0.3">
      <c r="P640"/>
      <c r="Q640"/>
      <c r="R640"/>
    </row>
    <row r="641" spans="16:18" x14ac:dyDescent="0.3">
      <c r="P641"/>
      <c r="Q641"/>
      <c r="R641"/>
    </row>
    <row r="642" spans="16:18" x14ac:dyDescent="0.3">
      <c r="P642"/>
      <c r="Q642"/>
      <c r="R642"/>
    </row>
    <row r="643" spans="16:18" x14ac:dyDescent="0.3">
      <c r="P643"/>
      <c r="Q643"/>
      <c r="R643"/>
    </row>
    <row r="644" spans="16:18" x14ac:dyDescent="0.3">
      <c r="P644"/>
      <c r="Q644"/>
      <c r="R644"/>
    </row>
    <row r="645" spans="16:18" x14ac:dyDescent="0.3">
      <c r="P645"/>
      <c r="Q645"/>
      <c r="R645"/>
    </row>
    <row r="646" spans="16:18" x14ac:dyDescent="0.3">
      <c r="P646"/>
      <c r="Q646"/>
      <c r="R646"/>
    </row>
    <row r="647" spans="16:18" x14ac:dyDescent="0.3">
      <c r="P647"/>
      <c r="Q647"/>
      <c r="R647"/>
    </row>
    <row r="648" spans="16:18" x14ac:dyDescent="0.3">
      <c r="P648"/>
      <c r="Q648"/>
      <c r="R648"/>
    </row>
    <row r="649" spans="16:18" x14ac:dyDescent="0.3">
      <c r="P649"/>
      <c r="Q649"/>
      <c r="R649"/>
    </row>
    <row r="650" spans="16:18" x14ac:dyDescent="0.3">
      <c r="P650"/>
      <c r="Q650"/>
      <c r="R650"/>
    </row>
    <row r="651" spans="16:18" x14ac:dyDescent="0.3">
      <c r="P651"/>
      <c r="Q651"/>
      <c r="R651"/>
    </row>
    <row r="652" spans="16:18" x14ac:dyDescent="0.3">
      <c r="P652"/>
      <c r="Q652"/>
      <c r="R652"/>
    </row>
    <row r="653" spans="16:18" x14ac:dyDescent="0.3">
      <c r="P653"/>
      <c r="Q653"/>
      <c r="R653"/>
    </row>
    <row r="654" spans="16:18" x14ac:dyDescent="0.3">
      <c r="P654"/>
      <c r="Q654"/>
      <c r="R654"/>
    </row>
    <row r="655" spans="16:18" x14ac:dyDescent="0.3">
      <c r="P655"/>
      <c r="Q655"/>
      <c r="R655"/>
    </row>
    <row r="656" spans="16:18" x14ac:dyDescent="0.3">
      <c r="P656"/>
      <c r="Q656"/>
      <c r="R656"/>
    </row>
    <row r="657" spans="16:18" x14ac:dyDescent="0.3">
      <c r="P657"/>
      <c r="Q657"/>
      <c r="R657"/>
    </row>
    <row r="658" spans="16:18" x14ac:dyDescent="0.3">
      <c r="P658"/>
      <c r="Q658"/>
      <c r="R658"/>
    </row>
    <row r="659" spans="16:18" x14ac:dyDescent="0.3">
      <c r="P659"/>
      <c r="Q659"/>
      <c r="R659"/>
    </row>
    <row r="660" spans="16:18" x14ac:dyDescent="0.3">
      <c r="P660"/>
      <c r="Q660"/>
      <c r="R660"/>
    </row>
    <row r="661" spans="16:18" x14ac:dyDescent="0.3">
      <c r="P661"/>
      <c r="Q661"/>
      <c r="R661"/>
    </row>
    <row r="662" spans="16:18" x14ac:dyDescent="0.3">
      <c r="P662"/>
      <c r="Q662"/>
      <c r="R662"/>
    </row>
    <row r="663" spans="16:18" x14ac:dyDescent="0.3">
      <c r="P663"/>
      <c r="Q663"/>
      <c r="R663"/>
    </row>
    <row r="664" spans="16:18" x14ac:dyDescent="0.3">
      <c r="P664"/>
      <c r="Q664"/>
      <c r="R664"/>
    </row>
    <row r="665" spans="16:18" x14ac:dyDescent="0.3">
      <c r="P665"/>
      <c r="Q665"/>
      <c r="R665"/>
    </row>
    <row r="666" spans="16:18" x14ac:dyDescent="0.3">
      <c r="P666"/>
      <c r="Q666"/>
      <c r="R666"/>
    </row>
    <row r="667" spans="16:18" x14ac:dyDescent="0.3">
      <c r="P667"/>
      <c r="Q667"/>
      <c r="R667"/>
    </row>
    <row r="668" spans="16:18" x14ac:dyDescent="0.3">
      <c r="P668"/>
      <c r="Q668"/>
      <c r="R668"/>
    </row>
    <row r="669" spans="16:18" x14ac:dyDescent="0.3">
      <c r="P669"/>
      <c r="Q669"/>
      <c r="R669"/>
    </row>
    <row r="670" spans="16:18" x14ac:dyDescent="0.3">
      <c r="P670"/>
      <c r="Q670"/>
      <c r="R670"/>
    </row>
    <row r="671" spans="16:18" x14ac:dyDescent="0.3">
      <c r="P671"/>
      <c r="Q671"/>
      <c r="R671"/>
    </row>
    <row r="672" spans="16:18" x14ac:dyDescent="0.3">
      <c r="P672"/>
      <c r="Q672"/>
      <c r="R672"/>
    </row>
    <row r="673" spans="16:18" x14ac:dyDescent="0.3">
      <c r="P673"/>
      <c r="Q673"/>
      <c r="R673"/>
    </row>
    <row r="674" spans="16:18" x14ac:dyDescent="0.3">
      <c r="P674"/>
      <c r="Q674"/>
      <c r="R674"/>
    </row>
    <row r="675" spans="16:18" x14ac:dyDescent="0.3">
      <c r="P675"/>
      <c r="Q675"/>
      <c r="R675"/>
    </row>
    <row r="676" spans="16:18" x14ac:dyDescent="0.3">
      <c r="P676"/>
      <c r="Q676"/>
      <c r="R676"/>
    </row>
    <row r="677" spans="16:18" x14ac:dyDescent="0.3">
      <c r="P677"/>
      <c r="Q677"/>
      <c r="R677"/>
    </row>
    <row r="678" spans="16:18" x14ac:dyDescent="0.3">
      <c r="P678"/>
      <c r="Q678"/>
      <c r="R678"/>
    </row>
    <row r="679" spans="16:18" x14ac:dyDescent="0.3">
      <c r="P679"/>
      <c r="Q679"/>
      <c r="R679"/>
    </row>
    <row r="680" spans="16:18" x14ac:dyDescent="0.3">
      <c r="P680"/>
      <c r="Q680"/>
      <c r="R680"/>
    </row>
    <row r="681" spans="16:18" x14ac:dyDescent="0.3">
      <c r="P681"/>
      <c r="Q681"/>
      <c r="R681"/>
    </row>
    <row r="682" spans="16:18" x14ac:dyDescent="0.3">
      <c r="P682"/>
      <c r="Q682"/>
      <c r="R682"/>
    </row>
    <row r="683" spans="16:18" x14ac:dyDescent="0.3">
      <c r="P683"/>
      <c r="Q683"/>
      <c r="R683"/>
    </row>
    <row r="684" spans="16:18" x14ac:dyDescent="0.3">
      <c r="P684"/>
      <c r="Q684"/>
      <c r="R684"/>
    </row>
    <row r="685" spans="16:18" x14ac:dyDescent="0.3">
      <c r="P685"/>
      <c r="Q685"/>
      <c r="R685"/>
    </row>
    <row r="686" spans="16:18" x14ac:dyDescent="0.3">
      <c r="P686"/>
      <c r="Q686"/>
      <c r="R686"/>
    </row>
    <row r="687" spans="16:18" x14ac:dyDescent="0.3">
      <c r="P687"/>
      <c r="Q687"/>
      <c r="R687"/>
    </row>
    <row r="688" spans="16:18" x14ac:dyDescent="0.3">
      <c r="P688"/>
      <c r="Q688"/>
      <c r="R688"/>
    </row>
    <row r="689" spans="16:18" x14ac:dyDescent="0.3">
      <c r="P689"/>
      <c r="Q689"/>
      <c r="R689"/>
    </row>
    <row r="690" spans="16:18" x14ac:dyDescent="0.3">
      <c r="P690"/>
      <c r="Q690"/>
      <c r="R690"/>
    </row>
    <row r="691" spans="16:18" x14ac:dyDescent="0.3">
      <c r="P691"/>
      <c r="Q691"/>
      <c r="R691"/>
    </row>
    <row r="692" spans="16:18" x14ac:dyDescent="0.3">
      <c r="P692"/>
      <c r="Q692"/>
      <c r="R692"/>
    </row>
    <row r="693" spans="16:18" x14ac:dyDescent="0.3">
      <c r="P693"/>
      <c r="Q693"/>
      <c r="R693"/>
    </row>
    <row r="694" spans="16:18" x14ac:dyDescent="0.3">
      <c r="P694"/>
      <c r="Q694"/>
      <c r="R694"/>
    </row>
    <row r="695" spans="16:18" x14ac:dyDescent="0.3">
      <c r="P695"/>
      <c r="Q695"/>
      <c r="R695"/>
    </row>
    <row r="696" spans="16:18" x14ac:dyDescent="0.3">
      <c r="P696"/>
      <c r="Q696"/>
      <c r="R696"/>
    </row>
    <row r="697" spans="16:18" x14ac:dyDescent="0.3">
      <c r="P697"/>
      <c r="Q697"/>
      <c r="R697"/>
    </row>
    <row r="698" spans="16:18" x14ac:dyDescent="0.3">
      <c r="P698"/>
      <c r="Q698"/>
      <c r="R698"/>
    </row>
    <row r="699" spans="16:18" x14ac:dyDescent="0.3">
      <c r="P699"/>
      <c r="Q699"/>
      <c r="R699"/>
    </row>
    <row r="700" spans="16:18" x14ac:dyDescent="0.3">
      <c r="P700"/>
      <c r="Q700"/>
      <c r="R700"/>
    </row>
    <row r="701" spans="16:18" x14ac:dyDescent="0.3">
      <c r="P701"/>
      <c r="Q701"/>
      <c r="R701"/>
    </row>
    <row r="702" spans="16:18" x14ac:dyDescent="0.3">
      <c r="P702"/>
      <c r="Q702"/>
      <c r="R702"/>
    </row>
    <row r="703" spans="16:18" x14ac:dyDescent="0.3">
      <c r="P703"/>
      <c r="Q703"/>
      <c r="R703"/>
    </row>
    <row r="704" spans="16:18" x14ac:dyDescent="0.3">
      <c r="P704"/>
      <c r="Q704"/>
      <c r="R704"/>
    </row>
    <row r="705" spans="16:18" x14ac:dyDescent="0.3">
      <c r="P705"/>
      <c r="Q705"/>
      <c r="R705"/>
    </row>
    <row r="706" spans="16:18" x14ac:dyDescent="0.3">
      <c r="P706"/>
      <c r="Q706"/>
      <c r="R706"/>
    </row>
    <row r="707" spans="16:18" x14ac:dyDescent="0.3">
      <c r="P707"/>
      <c r="Q707"/>
      <c r="R707"/>
    </row>
    <row r="708" spans="16:18" x14ac:dyDescent="0.3">
      <c r="P708"/>
      <c r="Q708"/>
      <c r="R708"/>
    </row>
    <row r="709" spans="16:18" x14ac:dyDescent="0.3">
      <c r="P709"/>
      <c r="Q709"/>
      <c r="R709"/>
    </row>
    <row r="710" spans="16:18" x14ac:dyDescent="0.3">
      <c r="P710"/>
      <c r="Q710"/>
      <c r="R710"/>
    </row>
    <row r="711" spans="16:18" x14ac:dyDescent="0.3">
      <c r="P711"/>
      <c r="Q711"/>
      <c r="R711"/>
    </row>
    <row r="712" spans="16:18" x14ac:dyDescent="0.3">
      <c r="P712"/>
      <c r="Q712"/>
      <c r="R712"/>
    </row>
    <row r="713" spans="16:18" x14ac:dyDescent="0.3">
      <c r="P713"/>
      <c r="Q713"/>
      <c r="R713"/>
    </row>
    <row r="714" spans="16:18" x14ac:dyDescent="0.3">
      <c r="P714"/>
      <c r="Q714"/>
      <c r="R714"/>
    </row>
    <row r="715" spans="16:18" x14ac:dyDescent="0.3">
      <c r="P715"/>
      <c r="Q715"/>
      <c r="R715"/>
    </row>
    <row r="716" spans="16:18" x14ac:dyDescent="0.3">
      <c r="P716"/>
      <c r="Q716"/>
      <c r="R716"/>
    </row>
    <row r="717" spans="16:18" x14ac:dyDescent="0.3">
      <c r="P717"/>
      <c r="Q717"/>
      <c r="R717"/>
    </row>
    <row r="718" spans="16:18" x14ac:dyDescent="0.3">
      <c r="P718"/>
      <c r="Q718"/>
      <c r="R718"/>
    </row>
    <row r="719" spans="16:18" x14ac:dyDescent="0.3">
      <c r="P719"/>
      <c r="Q719"/>
      <c r="R719"/>
    </row>
    <row r="720" spans="16:18" x14ac:dyDescent="0.3">
      <c r="P720"/>
      <c r="Q720"/>
      <c r="R720"/>
    </row>
    <row r="721" spans="16:18" x14ac:dyDescent="0.3">
      <c r="P721"/>
      <c r="Q721"/>
      <c r="R721"/>
    </row>
    <row r="722" spans="16:18" x14ac:dyDescent="0.3">
      <c r="P722"/>
      <c r="Q722"/>
      <c r="R722"/>
    </row>
    <row r="723" spans="16:18" x14ac:dyDescent="0.3">
      <c r="P723"/>
      <c r="Q723"/>
      <c r="R723"/>
    </row>
    <row r="724" spans="16:18" x14ac:dyDescent="0.3">
      <c r="P724"/>
      <c r="Q724"/>
      <c r="R724"/>
    </row>
    <row r="725" spans="16:18" x14ac:dyDescent="0.3">
      <c r="P725"/>
      <c r="Q725"/>
      <c r="R725"/>
    </row>
    <row r="726" spans="16:18" x14ac:dyDescent="0.3">
      <c r="P726"/>
      <c r="Q726"/>
      <c r="R726"/>
    </row>
    <row r="727" spans="16:18" x14ac:dyDescent="0.3">
      <c r="P727"/>
      <c r="Q727"/>
      <c r="R727"/>
    </row>
    <row r="728" spans="16:18" x14ac:dyDescent="0.3">
      <c r="P728"/>
      <c r="Q728"/>
      <c r="R728"/>
    </row>
    <row r="729" spans="16:18" x14ac:dyDescent="0.3">
      <c r="P729"/>
      <c r="Q729"/>
      <c r="R729"/>
    </row>
    <row r="730" spans="16:18" x14ac:dyDescent="0.3">
      <c r="P730"/>
      <c r="Q730"/>
      <c r="R730"/>
    </row>
    <row r="731" spans="16:18" x14ac:dyDescent="0.3">
      <c r="P731"/>
      <c r="Q731"/>
      <c r="R731"/>
    </row>
    <row r="732" spans="16:18" x14ac:dyDescent="0.3">
      <c r="P732"/>
      <c r="Q732"/>
      <c r="R732"/>
    </row>
    <row r="733" spans="16:18" x14ac:dyDescent="0.3">
      <c r="P733"/>
      <c r="Q733"/>
      <c r="R733"/>
    </row>
    <row r="734" spans="16:18" x14ac:dyDescent="0.3">
      <c r="P734"/>
      <c r="Q734"/>
      <c r="R734"/>
    </row>
    <row r="735" spans="16:18" x14ac:dyDescent="0.3">
      <c r="P735"/>
      <c r="Q735"/>
      <c r="R735"/>
    </row>
    <row r="736" spans="16:18" x14ac:dyDescent="0.3">
      <c r="P736"/>
      <c r="Q736"/>
      <c r="R736"/>
    </row>
    <row r="737" spans="16:18" x14ac:dyDescent="0.3">
      <c r="P737"/>
      <c r="Q737"/>
      <c r="R737"/>
    </row>
    <row r="738" spans="16:18" x14ac:dyDescent="0.3">
      <c r="P738"/>
      <c r="Q738"/>
      <c r="R738"/>
    </row>
    <row r="739" spans="16:18" x14ac:dyDescent="0.3">
      <c r="P739"/>
      <c r="Q739"/>
      <c r="R739"/>
    </row>
    <row r="740" spans="16:18" x14ac:dyDescent="0.3">
      <c r="P740"/>
      <c r="Q740"/>
      <c r="R740"/>
    </row>
    <row r="741" spans="16:18" x14ac:dyDescent="0.3">
      <c r="P741"/>
      <c r="Q741"/>
      <c r="R741"/>
    </row>
    <row r="742" spans="16:18" x14ac:dyDescent="0.3">
      <c r="P742"/>
      <c r="Q742"/>
      <c r="R742"/>
    </row>
    <row r="743" spans="16:18" x14ac:dyDescent="0.3">
      <c r="P743"/>
      <c r="Q743"/>
      <c r="R743"/>
    </row>
    <row r="744" spans="16:18" x14ac:dyDescent="0.3">
      <c r="P744"/>
      <c r="Q744"/>
      <c r="R744"/>
    </row>
    <row r="745" spans="16:18" x14ac:dyDescent="0.3">
      <c r="P745"/>
      <c r="Q745"/>
      <c r="R745"/>
    </row>
    <row r="746" spans="16:18" x14ac:dyDescent="0.3">
      <c r="P746"/>
      <c r="Q746"/>
      <c r="R746"/>
    </row>
    <row r="747" spans="16:18" x14ac:dyDescent="0.3">
      <c r="P747"/>
      <c r="Q747"/>
      <c r="R747"/>
    </row>
    <row r="748" spans="16:18" x14ac:dyDescent="0.3">
      <c r="P748"/>
      <c r="Q748"/>
      <c r="R748"/>
    </row>
    <row r="749" spans="16:18" x14ac:dyDescent="0.3">
      <c r="P749"/>
      <c r="Q749"/>
      <c r="R749"/>
    </row>
    <row r="750" spans="16:18" x14ac:dyDescent="0.3">
      <c r="P750"/>
      <c r="Q750"/>
      <c r="R750"/>
    </row>
    <row r="751" spans="16:18" x14ac:dyDescent="0.3">
      <c r="P751"/>
      <c r="Q751"/>
      <c r="R751"/>
    </row>
    <row r="752" spans="16:18" x14ac:dyDescent="0.3">
      <c r="P752"/>
      <c r="Q752"/>
      <c r="R752"/>
    </row>
    <row r="753" spans="16:18" x14ac:dyDescent="0.3">
      <c r="P753"/>
      <c r="Q753"/>
      <c r="R753"/>
    </row>
    <row r="754" spans="16:18" x14ac:dyDescent="0.3">
      <c r="P754"/>
      <c r="Q754"/>
      <c r="R754"/>
    </row>
    <row r="755" spans="16:18" x14ac:dyDescent="0.3">
      <c r="P755"/>
      <c r="Q755"/>
      <c r="R755"/>
    </row>
    <row r="756" spans="16:18" x14ac:dyDescent="0.3">
      <c r="P756"/>
      <c r="Q756"/>
      <c r="R756"/>
    </row>
    <row r="757" spans="16:18" x14ac:dyDescent="0.3">
      <c r="P757"/>
      <c r="Q757"/>
      <c r="R757"/>
    </row>
    <row r="758" spans="16:18" x14ac:dyDescent="0.3">
      <c r="P758"/>
      <c r="Q758"/>
      <c r="R758"/>
    </row>
    <row r="759" spans="16:18" x14ac:dyDescent="0.3">
      <c r="P759"/>
      <c r="Q759"/>
      <c r="R759"/>
    </row>
    <row r="760" spans="16:18" x14ac:dyDescent="0.3">
      <c r="P760"/>
      <c r="Q760"/>
      <c r="R760"/>
    </row>
    <row r="761" spans="16:18" x14ac:dyDescent="0.3">
      <c r="P761"/>
      <c r="Q761"/>
      <c r="R761"/>
    </row>
    <row r="762" spans="16:18" x14ac:dyDescent="0.3">
      <c r="P762"/>
      <c r="Q762"/>
      <c r="R762"/>
    </row>
    <row r="763" spans="16:18" x14ac:dyDescent="0.3">
      <c r="P763"/>
      <c r="Q763"/>
      <c r="R763"/>
    </row>
    <row r="764" spans="16:18" x14ac:dyDescent="0.3">
      <c r="P764"/>
      <c r="Q764"/>
      <c r="R764"/>
    </row>
    <row r="765" spans="16:18" x14ac:dyDescent="0.3">
      <c r="P765"/>
      <c r="Q765"/>
      <c r="R765"/>
    </row>
    <row r="766" spans="16:18" x14ac:dyDescent="0.3">
      <c r="P766"/>
      <c r="Q766"/>
      <c r="R766"/>
    </row>
    <row r="767" spans="16:18" x14ac:dyDescent="0.3">
      <c r="P767"/>
      <c r="Q767"/>
      <c r="R767"/>
    </row>
    <row r="768" spans="16:18" x14ac:dyDescent="0.3">
      <c r="P768"/>
      <c r="Q768"/>
      <c r="R768"/>
    </row>
    <row r="769" spans="16:18" x14ac:dyDescent="0.3">
      <c r="P769"/>
      <c r="Q769"/>
      <c r="R769"/>
    </row>
    <row r="770" spans="16:18" x14ac:dyDescent="0.3">
      <c r="P770"/>
      <c r="Q770"/>
      <c r="R770"/>
    </row>
    <row r="771" spans="16:18" x14ac:dyDescent="0.3">
      <c r="P771"/>
      <c r="Q771"/>
      <c r="R771"/>
    </row>
    <row r="772" spans="16:18" x14ac:dyDescent="0.3">
      <c r="P772"/>
      <c r="Q772"/>
      <c r="R772"/>
    </row>
    <row r="773" spans="16:18" x14ac:dyDescent="0.3">
      <c r="P773"/>
      <c r="Q773"/>
      <c r="R773"/>
    </row>
    <row r="774" spans="16:18" x14ac:dyDescent="0.3">
      <c r="P774"/>
      <c r="Q774"/>
      <c r="R774"/>
    </row>
    <row r="775" spans="16:18" x14ac:dyDescent="0.3">
      <c r="P775"/>
      <c r="Q775"/>
      <c r="R775"/>
    </row>
    <row r="776" spans="16:18" x14ac:dyDescent="0.3">
      <c r="P776"/>
      <c r="Q776"/>
      <c r="R776"/>
    </row>
    <row r="777" spans="16:18" x14ac:dyDescent="0.3">
      <c r="P777"/>
      <c r="Q777"/>
      <c r="R777"/>
    </row>
    <row r="778" spans="16:18" x14ac:dyDescent="0.3">
      <c r="P778"/>
      <c r="Q778"/>
      <c r="R778"/>
    </row>
    <row r="779" spans="16:18" x14ac:dyDescent="0.3">
      <c r="P779"/>
      <c r="Q779"/>
      <c r="R779"/>
    </row>
    <row r="780" spans="16:18" x14ac:dyDescent="0.3">
      <c r="P780"/>
      <c r="Q780"/>
      <c r="R780"/>
    </row>
    <row r="781" spans="16:18" x14ac:dyDescent="0.3">
      <c r="P781"/>
      <c r="Q781"/>
      <c r="R781"/>
    </row>
    <row r="782" spans="16:18" x14ac:dyDescent="0.3">
      <c r="P782"/>
      <c r="Q782"/>
      <c r="R782"/>
    </row>
    <row r="783" spans="16:18" x14ac:dyDescent="0.3">
      <c r="P783"/>
      <c r="Q783"/>
      <c r="R783"/>
    </row>
    <row r="784" spans="16:18" x14ac:dyDescent="0.3">
      <c r="P784"/>
      <c r="Q784"/>
      <c r="R784"/>
    </row>
    <row r="785" spans="16:18" x14ac:dyDescent="0.3">
      <c r="P785"/>
      <c r="Q785"/>
      <c r="R785"/>
    </row>
    <row r="786" spans="16:18" x14ac:dyDescent="0.3">
      <c r="P786"/>
      <c r="Q786"/>
      <c r="R786"/>
    </row>
    <row r="787" spans="16:18" x14ac:dyDescent="0.3">
      <c r="P787"/>
      <c r="Q787"/>
      <c r="R787"/>
    </row>
    <row r="788" spans="16:18" x14ac:dyDescent="0.3">
      <c r="P788"/>
      <c r="Q788"/>
      <c r="R788"/>
    </row>
    <row r="789" spans="16:18" x14ac:dyDescent="0.3">
      <c r="P789"/>
      <c r="Q789"/>
      <c r="R789"/>
    </row>
    <row r="790" spans="16:18" x14ac:dyDescent="0.3">
      <c r="P790"/>
      <c r="Q790"/>
      <c r="R790"/>
    </row>
    <row r="791" spans="16:18" x14ac:dyDescent="0.3">
      <c r="P791"/>
      <c r="Q791"/>
      <c r="R791"/>
    </row>
    <row r="792" spans="16:18" x14ac:dyDescent="0.3">
      <c r="P792"/>
      <c r="Q792"/>
      <c r="R792"/>
    </row>
    <row r="793" spans="16:18" x14ac:dyDescent="0.3">
      <c r="P793"/>
      <c r="Q793"/>
      <c r="R793"/>
    </row>
    <row r="794" spans="16:18" x14ac:dyDescent="0.3">
      <c r="P794"/>
      <c r="Q794"/>
      <c r="R794"/>
    </row>
    <row r="795" spans="16:18" x14ac:dyDescent="0.3">
      <c r="P795"/>
      <c r="Q795"/>
      <c r="R795"/>
    </row>
    <row r="796" spans="16:18" x14ac:dyDescent="0.3">
      <c r="P796"/>
      <c r="Q796"/>
      <c r="R796"/>
    </row>
    <row r="797" spans="16:18" x14ac:dyDescent="0.3">
      <c r="P797"/>
      <c r="Q797"/>
      <c r="R797"/>
    </row>
    <row r="798" spans="16:18" x14ac:dyDescent="0.3">
      <c r="P798"/>
      <c r="Q798"/>
      <c r="R798"/>
    </row>
    <row r="799" spans="16:18" x14ac:dyDescent="0.3">
      <c r="P799"/>
      <c r="Q799"/>
      <c r="R799"/>
    </row>
    <row r="800" spans="16:18" x14ac:dyDescent="0.3">
      <c r="P800"/>
      <c r="Q800"/>
      <c r="R800"/>
    </row>
    <row r="801" spans="16:18" x14ac:dyDescent="0.3">
      <c r="P801"/>
      <c r="Q801"/>
      <c r="R801"/>
    </row>
    <row r="802" spans="16:18" x14ac:dyDescent="0.3">
      <c r="P802"/>
      <c r="Q802"/>
      <c r="R802"/>
    </row>
    <row r="803" spans="16:18" x14ac:dyDescent="0.3">
      <c r="P803"/>
      <c r="Q803"/>
      <c r="R803"/>
    </row>
    <row r="804" spans="16:18" x14ac:dyDescent="0.3">
      <c r="P804"/>
      <c r="Q804"/>
      <c r="R804"/>
    </row>
    <row r="805" spans="16:18" x14ac:dyDescent="0.3">
      <c r="P805"/>
      <c r="Q805"/>
      <c r="R805"/>
    </row>
    <row r="806" spans="16:18" x14ac:dyDescent="0.3">
      <c r="P806"/>
      <c r="Q806"/>
      <c r="R806"/>
    </row>
    <row r="807" spans="16:18" x14ac:dyDescent="0.3">
      <c r="P807"/>
      <c r="Q807"/>
      <c r="R807"/>
    </row>
    <row r="808" spans="16:18" x14ac:dyDescent="0.3">
      <c r="P808"/>
      <c r="Q808"/>
      <c r="R808"/>
    </row>
    <row r="809" spans="16:18" x14ac:dyDescent="0.3">
      <c r="P809"/>
      <c r="Q809"/>
      <c r="R809"/>
    </row>
    <row r="810" spans="16:18" x14ac:dyDescent="0.3">
      <c r="P810"/>
      <c r="Q810"/>
      <c r="R810"/>
    </row>
    <row r="811" spans="16:18" x14ac:dyDescent="0.3">
      <c r="P811"/>
      <c r="Q811"/>
      <c r="R811"/>
    </row>
    <row r="812" spans="16:18" x14ac:dyDescent="0.3">
      <c r="P812"/>
      <c r="Q812"/>
      <c r="R812"/>
    </row>
    <row r="813" spans="16:18" x14ac:dyDescent="0.3">
      <c r="P813"/>
      <c r="Q813"/>
      <c r="R813"/>
    </row>
    <row r="814" spans="16:18" x14ac:dyDescent="0.3">
      <c r="P814"/>
      <c r="Q814"/>
      <c r="R814"/>
    </row>
    <row r="815" spans="16:18" x14ac:dyDescent="0.3">
      <c r="P815"/>
      <c r="Q815"/>
      <c r="R815"/>
    </row>
    <row r="816" spans="16:18" x14ac:dyDescent="0.3">
      <c r="P816"/>
      <c r="Q816"/>
      <c r="R816"/>
    </row>
    <row r="817" spans="16:18" x14ac:dyDescent="0.3">
      <c r="P817"/>
      <c r="Q817"/>
      <c r="R817"/>
    </row>
    <row r="818" spans="16:18" x14ac:dyDescent="0.3">
      <c r="P818"/>
      <c r="Q818"/>
      <c r="R818"/>
    </row>
    <row r="819" spans="16:18" x14ac:dyDescent="0.3">
      <c r="P819"/>
      <c r="Q819"/>
      <c r="R819"/>
    </row>
    <row r="820" spans="16:18" x14ac:dyDescent="0.3">
      <c r="P820"/>
      <c r="Q820"/>
      <c r="R820"/>
    </row>
    <row r="821" spans="16:18" x14ac:dyDescent="0.3">
      <c r="P821"/>
      <c r="Q821"/>
      <c r="R821"/>
    </row>
    <row r="822" spans="16:18" x14ac:dyDescent="0.3">
      <c r="P822"/>
      <c r="Q822"/>
      <c r="R822"/>
    </row>
    <row r="823" spans="16:18" x14ac:dyDescent="0.3">
      <c r="P823"/>
      <c r="Q823"/>
      <c r="R823"/>
    </row>
    <row r="824" spans="16:18" x14ac:dyDescent="0.3">
      <c r="P824"/>
      <c r="Q824"/>
      <c r="R824"/>
    </row>
    <row r="825" spans="16:18" x14ac:dyDescent="0.3">
      <c r="P825"/>
      <c r="Q825"/>
      <c r="R825"/>
    </row>
    <row r="826" spans="16:18" x14ac:dyDescent="0.3">
      <c r="P826"/>
      <c r="Q826"/>
      <c r="R826"/>
    </row>
    <row r="827" spans="16:18" x14ac:dyDescent="0.3">
      <c r="P827"/>
      <c r="Q827"/>
      <c r="R827"/>
    </row>
    <row r="828" spans="16:18" x14ac:dyDescent="0.3">
      <c r="P828"/>
      <c r="Q828"/>
      <c r="R828"/>
    </row>
    <row r="829" spans="16:18" x14ac:dyDescent="0.3">
      <c r="P829"/>
      <c r="Q829"/>
      <c r="R829"/>
    </row>
    <row r="830" spans="16:18" x14ac:dyDescent="0.3">
      <c r="P830"/>
      <c r="Q830"/>
      <c r="R830"/>
    </row>
    <row r="831" spans="16:18" x14ac:dyDescent="0.3">
      <c r="P831"/>
      <c r="Q831"/>
      <c r="R831"/>
    </row>
    <row r="832" spans="16:18" x14ac:dyDescent="0.3">
      <c r="P832"/>
      <c r="Q832"/>
      <c r="R832"/>
    </row>
    <row r="833" spans="16:18" x14ac:dyDescent="0.3">
      <c r="P833"/>
      <c r="Q833"/>
      <c r="R833"/>
    </row>
    <row r="834" spans="16:18" x14ac:dyDescent="0.3">
      <c r="P834"/>
      <c r="Q834"/>
      <c r="R834"/>
    </row>
    <row r="835" spans="16:18" x14ac:dyDescent="0.3">
      <c r="P835"/>
      <c r="Q835"/>
      <c r="R835"/>
    </row>
    <row r="836" spans="16:18" x14ac:dyDescent="0.3">
      <c r="P836"/>
      <c r="Q836"/>
      <c r="R836"/>
    </row>
    <row r="837" spans="16:18" x14ac:dyDescent="0.3">
      <c r="P837"/>
      <c r="Q837"/>
      <c r="R837"/>
    </row>
    <row r="838" spans="16:18" x14ac:dyDescent="0.3">
      <c r="P838"/>
      <c r="Q838"/>
      <c r="R838"/>
    </row>
    <row r="839" spans="16:18" x14ac:dyDescent="0.3">
      <c r="P839"/>
      <c r="Q839"/>
      <c r="R839"/>
    </row>
    <row r="840" spans="16:18" x14ac:dyDescent="0.3">
      <c r="P840"/>
      <c r="Q840"/>
      <c r="R840"/>
    </row>
    <row r="841" spans="16:18" x14ac:dyDescent="0.3">
      <c r="P841"/>
      <c r="Q841"/>
      <c r="R841"/>
    </row>
    <row r="842" spans="16:18" x14ac:dyDescent="0.3">
      <c r="P842"/>
      <c r="Q842"/>
      <c r="R842"/>
    </row>
    <row r="843" spans="16:18" x14ac:dyDescent="0.3">
      <c r="P843"/>
      <c r="Q843"/>
      <c r="R843"/>
    </row>
    <row r="844" spans="16:18" x14ac:dyDescent="0.3">
      <c r="P844"/>
      <c r="Q844"/>
      <c r="R844"/>
    </row>
    <row r="845" spans="16:18" x14ac:dyDescent="0.3">
      <c r="P845"/>
      <c r="Q845"/>
      <c r="R845"/>
    </row>
    <row r="846" spans="16:18" x14ac:dyDescent="0.3">
      <c r="P846"/>
      <c r="Q846"/>
      <c r="R846"/>
    </row>
    <row r="847" spans="16:18" x14ac:dyDescent="0.3">
      <c r="P847"/>
      <c r="Q847"/>
      <c r="R847"/>
    </row>
    <row r="848" spans="16:18" x14ac:dyDescent="0.3">
      <c r="P848"/>
      <c r="Q848"/>
      <c r="R848"/>
    </row>
    <row r="849" spans="16:18" x14ac:dyDescent="0.3">
      <c r="P849"/>
      <c r="Q849"/>
      <c r="R849"/>
    </row>
    <row r="850" spans="16:18" x14ac:dyDescent="0.3">
      <c r="P850"/>
      <c r="Q850"/>
      <c r="R850"/>
    </row>
    <row r="851" spans="16:18" x14ac:dyDescent="0.3">
      <c r="P851"/>
      <c r="Q851"/>
      <c r="R851"/>
    </row>
    <row r="852" spans="16:18" x14ac:dyDescent="0.3">
      <c r="P852"/>
      <c r="Q852"/>
      <c r="R852"/>
    </row>
    <row r="853" spans="16:18" x14ac:dyDescent="0.3">
      <c r="P853"/>
      <c r="Q853"/>
      <c r="R853"/>
    </row>
    <row r="854" spans="16:18" x14ac:dyDescent="0.3">
      <c r="P854"/>
      <c r="Q854"/>
      <c r="R854"/>
    </row>
    <row r="855" spans="16:18" x14ac:dyDescent="0.3">
      <c r="P855"/>
      <c r="Q855"/>
      <c r="R855"/>
    </row>
    <row r="856" spans="16:18" x14ac:dyDescent="0.3">
      <c r="P856"/>
      <c r="Q856"/>
      <c r="R856"/>
    </row>
    <row r="857" spans="16:18" x14ac:dyDescent="0.3">
      <c r="P857"/>
      <c r="Q857"/>
      <c r="R857"/>
    </row>
    <row r="858" spans="16:18" x14ac:dyDescent="0.3">
      <c r="P858"/>
      <c r="Q858"/>
      <c r="R858"/>
    </row>
    <row r="859" spans="16:18" x14ac:dyDescent="0.3">
      <c r="P859"/>
      <c r="Q859"/>
      <c r="R859"/>
    </row>
    <row r="860" spans="16:18" x14ac:dyDescent="0.3">
      <c r="P860"/>
      <c r="Q860"/>
      <c r="R860"/>
    </row>
    <row r="861" spans="16:18" x14ac:dyDescent="0.3">
      <c r="P861"/>
      <c r="Q861"/>
      <c r="R861"/>
    </row>
    <row r="862" spans="16:18" x14ac:dyDescent="0.3">
      <c r="P862"/>
      <c r="Q862"/>
      <c r="R862"/>
    </row>
    <row r="863" spans="16:18" x14ac:dyDescent="0.3">
      <c r="P863"/>
      <c r="Q863"/>
      <c r="R863"/>
    </row>
    <row r="864" spans="16:18" x14ac:dyDescent="0.3">
      <c r="P864"/>
      <c r="Q864"/>
      <c r="R864"/>
    </row>
    <row r="865" spans="16:18" x14ac:dyDescent="0.3">
      <c r="P865"/>
      <c r="Q865"/>
      <c r="R865"/>
    </row>
    <row r="866" spans="16:18" x14ac:dyDescent="0.3">
      <c r="P866"/>
      <c r="Q866"/>
      <c r="R866"/>
    </row>
    <row r="867" spans="16:18" x14ac:dyDescent="0.3">
      <c r="P867"/>
      <c r="Q867"/>
      <c r="R867"/>
    </row>
    <row r="868" spans="16:18" x14ac:dyDescent="0.3">
      <c r="P868"/>
      <c r="Q868"/>
      <c r="R868"/>
    </row>
    <row r="869" spans="16:18" x14ac:dyDescent="0.3">
      <c r="P869"/>
      <c r="Q869"/>
      <c r="R869"/>
    </row>
    <row r="870" spans="16:18" x14ac:dyDescent="0.3">
      <c r="P870"/>
      <c r="Q870"/>
      <c r="R870"/>
    </row>
    <row r="871" spans="16:18" x14ac:dyDescent="0.3">
      <c r="P871"/>
      <c r="Q871"/>
      <c r="R871"/>
    </row>
    <row r="872" spans="16:18" x14ac:dyDescent="0.3">
      <c r="P872"/>
      <c r="Q872"/>
      <c r="R872"/>
    </row>
    <row r="873" spans="16:18" x14ac:dyDescent="0.3">
      <c r="P873"/>
      <c r="Q873"/>
      <c r="R873"/>
    </row>
    <row r="874" spans="16:18" x14ac:dyDescent="0.3">
      <c r="P874"/>
      <c r="Q874"/>
      <c r="R874"/>
    </row>
    <row r="875" spans="16:18" x14ac:dyDescent="0.3">
      <c r="P875"/>
      <c r="Q875"/>
      <c r="R875"/>
    </row>
    <row r="876" spans="16:18" x14ac:dyDescent="0.3">
      <c r="P876"/>
      <c r="Q876"/>
      <c r="R876"/>
    </row>
    <row r="877" spans="16:18" x14ac:dyDescent="0.3">
      <c r="P877"/>
      <c r="Q877"/>
      <c r="R877"/>
    </row>
    <row r="878" spans="16:18" x14ac:dyDescent="0.3">
      <c r="P878"/>
      <c r="Q878"/>
      <c r="R878"/>
    </row>
    <row r="879" spans="16:18" x14ac:dyDescent="0.3">
      <c r="P879"/>
      <c r="Q879"/>
      <c r="R879"/>
    </row>
    <row r="880" spans="16:18" x14ac:dyDescent="0.3">
      <c r="P880"/>
      <c r="Q880"/>
      <c r="R880"/>
    </row>
    <row r="881" spans="16:18" x14ac:dyDescent="0.3">
      <c r="P881"/>
      <c r="Q881"/>
      <c r="R881"/>
    </row>
    <row r="882" spans="16:18" x14ac:dyDescent="0.3">
      <c r="P882"/>
      <c r="Q882"/>
      <c r="R882"/>
    </row>
    <row r="883" spans="16:18" x14ac:dyDescent="0.3">
      <c r="P883"/>
      <c r="Q883"/>
      <c r="R883"/>
    </row>
    <row r="884" spans="16:18" x14ac:dyDescent="0.3">
      <c r="P884"/>
      <c r="Q884"/>
      <c r="R88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ABA2-04D9-4002-A50F-B9FFB03B442A}">
  <dimension ref="A2:S884"/>
  <sheetViews>
    <sheetView topLeftCell="A93" workbookViewId="0">
      <selection activeCell="H187" sqref="H187"/>
    </sheetView>
  </sheetViews>
  <sheetFormatPr baseColWidth="10" defaultRowHeight="14.4" x14ac:dyDescent="0.3"/>
  <cols>
    <col min="1" max="1" width="1.109375" customWidth="1"/>
    <col min="2" max="2" width="10.21875" style="246" customWidth="1"/>
    <col min="3" max="4" width="2.21875" customWidth="1"/>
    <col min="5" max="6" width="10.21875" style="246" customWidth="1"/>
    <col min="7" max="7" width="1.77734375" customWidth="1"/>
    <col min="8" max="8" width="36.77734375" style="248" customWidth="1"/>
    <col min="9" max="9" width="10.21875" style="246" customWidth="1"/>
    <col min="10" max="11" width="2.44140625" customWidth="1"/>
    <col min="12" max="13" width="10.21875" style="246" customWidth="1"/>
    <col min="14" max="14" width="3.21875" customWidth="1"/>
    <col min="15" max="15" width="176.88671875" style="247" bestFit="1" customWidth="1"/>
    <col min="16" max="18" width="9.33203125" style="3" bestFit="1" customWidth="1"/>
  </cols>
  <sheetData>
    <row r="2" spans="1:19" x14ac:dyDescent="0.3">
      <c r="S2" s="3"/>
    </row>
    <row r="3" spans="1:19" x14ac:dyDescent="0.3">
      <c r="A3" s="249" t="s">
        <v>2156</v>
      </c>
      <c r="B3" s="246" t="s">
        <v>2140</v>
      </c>
      <c r="C3" s="249" t="s">
        <v>2143</v>
      </c>
      <c r="D3" s="249" t="s">
        <v>2141</v>
      </c>
      <c r="E3" s="246" t="s">
        <v>2142</v>
      </c>
      <c r="F3" s="246" t="s">
        <v>2144</v>
      </c>
      <c r="G3" s="249" t="s">
        <v>2145</v>
      </c>
      <c r="H3" s="248" t="s">
        <v>2146</v>
      </c>
      <c r="I3" s="246" t="s">
        <v>2147</v>
      </c>
      <c r="J3" s="249" t="s">
        <v>2148</v>
      </c>
      <c r="K3" s="249" t="s">
        <v>2149</v>
      </c>
      <c r="L3" s="246" t="s">
        <v>2150</v>
      </c>
      <c r="M3" s="246" t="s">
        <v>2151</v>
      </c>
      <c r="N3" s="249" t="s">
        <v>2152</v>
      </c>
      <c r="O3" s="247" t="s">
        <v>2153</v>
      </c>
      <c r="P3" t="s">
        <v>2157</v>
      </c>
      <c r="Q3" s="3" t="s">
        <v>2158</v>
      </c>
      <c r="R3" s="3" t="s">
        <v>2159</v>
      </c>
    </row>
    <row r="4" spans="1:19" x14ac:dyDescent="0.3">
      <c r="A4" s="249" t="s">
        <v>1870</v>
      </c>
      <c r="B4" s="246">
        <v>0</v>
      </c>
      <c r="C4" s="249" t="s">
        <v>1870</v>
      </c>
      <c r="D4" s="249" t="s">
        <v>1870</v>
      </c>
      <c r="E4" s="246">
        <v>0</v>
      </c>
      <c r="F4" s="246">
        <v>0</v>
      </c>
      <c r="G4" s="249" t="s">
        <v>1870</v>
      </c>
      <c r="H4" s="248">
        <v>0</v>
      </c>
      <c r="I4" s="246" t="s">
        <v>1365</v>
      </c>
      <c r="J4" t="s">
        <v>1870</v>
      </c>
      <c r="K4" t="s">
        <v>1870</v>
      </c>
      <c r="L4" s="246" t="s">
        <v>1386</v>
      </c>
      <c r="M4" s="246" t="s">
        <v>2131</v>
      </c>
      <c r="N4" t="s">
        <v>1870</v>
      </c>
      <c r="O4" s="247" t="s">
        <v>1387</v>
      </c>
      <c r="Q4" s="3">
        <v>0</v>
      </c>
    </row>
    <row r="5" spans="1:19" x14ac:dyDescent="0.3">
      <c r="A5" s="249" t="s">
        <v>1870</v>
      </c>
      <c r="B5" s="246">
        <v>0</v>
      </c>
      <c r="C5" s="249" t="s">
        <v>1870</v>
      </c>
      <c r="D5" s="249" t="s">
        <v>1870</v>
      </c>
      <c r="E5" s="246">
        <v>0</v>
      </c>
      <c r="F5" s="246">
        <v>0</v>
      </c>
      <c r="G5" s="249" t="s">
        <v>1870</v>
      </c>
      <c r="H5" s="248">
        <v>0</v>
      </c>
      <c r="I5" s="246" t="s">
        <v>1693</v>
      </c>
      <c r="J5" t="s">
        <v>1870</v>
      </c>
      <c r="K5" t="s">
        <v>1870</v>
      </c>
      <c r="L5" s="246" t="s">
        <v>1696</v>
      </c>
      <c r="M5" t="s">
        <v>2131</v>
      </c>
      <c r="N5" t="s">
        <v>1870</v>
      </c>
      <c r="O5" s="247" t="s">
        <v>1980</v>
      </c>
      <c r="Q5" s="3">
        <v>0</v>
      </c>
    </row>
    <row r="6" spans="1:19" x14ac:dyDescent="0.3">
      <c r="A6" s="249" t="s">
        <v>1870</v>
      </c>
      <c r="B6" s="246">
        <v>0</v>
      </c>
      <c r="C6" s="249" t="s">
        <v>1870</v>
      </c>
      <c r="D6" s="249" t="s">
        <v>1870</v>
      </c>
      <c r="E6" s="246">
        <v>0</v>
      </c>
      <c r="F6" s="246">
        <v>0</v>
      </c>
      <c r="G6" s="249" t="s">
        <v>1870</v>
      </c>
      <c r="H6" s="248">
        <v>0</v>
      </c>
      <c r="I6" s="246" t="s">
        <v>1693</v>
      </c>
      <c r="J6" t="s">
        <v>1870</v>
      </c>
      <c r="K6" t="s">
        <v>1870</v>
      </c>
      <c r="L6" s="246" t="s">
        <v>1580</v>
      </c>
      <c r="M6" s="246" t="s">
        <v>2132</v>
      </c>
      <c r="N6" t="s">
        <v>1870</v>
      </c>
      <c r="O6" s="247" t="s">
        <v>1775</v>
      </c>
      <c r="Q6" s="3">
        <v>0</v>
      </c>
    </row>
    <row r="7" spans="1:19" x14ac:dyDescent="0.3">
      <c r="A7" s="249" t="s">
        <v>1870</v>
      </c>
      <c r="B7" s="246">
        <v>0</v>
      </c>
      <c r="C7" s="249" t="s">
        <v>1870</v>
      </c>
      <c r="D7" s="249" t="s">
        <v>1870</v>
      </c>
      <c r="E7" s="246">
        <v>0</v>
      </c>
      <c r="F7" s="246">
        <v>0</v>
      </c>
      <c r="G7" s="249" t="s">
        <v>1870</v>
      </c>
      <c r="H7" s="248">
        <v>0</v>
      </c>
      <c r="I7" s="246" t="s">
        <v>1408</v>
      </c>
      <c r="J7" t="s">
        <v>1870</v>
      </c>
      <c r="K7" t="s">
        <v>1870</v>
      </c>
      <c r="L7" s="246" t="s">
        <v>1696</v>
      </c>
      <c r="M7" s="246" t="s">
        <v>2131</v>
      </c>
      <c r="N7" t="s">
        <v>1870</v>
      </c>
      <c r="O7" s="247" t="s">
        <v>1982</v>
      </c>
      <c r="Q7" s="3">
        <v>0</v>
      </c>
    </row>
    <row r="8" spans="1:19" x14ac:dyDescent="0.3">
      <c r="A8" s="249" t="s">
        <v>1870</v>
      </c>
      <c r="B8" s="246">
        <v>0</v>
      </c>
      <c r="C8" s="249" t="s">
        <v>1870</v>
      </c>
      <c r="D8" s="249" t="s">
        <v>1870</v>
      </c>
      <c r="E8" s="246">
        <v>0</v>
      </c>
      <c r="F8" s="246">
        <v>0</v>
      </c>
      <c r="G8" s="249" t="s">
        <v>1870</v>
      </c>
      <c r="H8" s="248">
        <v>0</v>
      </c>
      <c r="I8" s="246" t="s">
        <v>1409</v>
      </c>
      <c r="J8" t="s">
        <v>1870</v>
      </c>
      <c r="K8" t="s">
        <v>1870</v>
      </c>
      <c r="L8" s="246" t="s">
        <v>1410</v>
      </c>
      <c r="M8" t="s">
        <v>2131</v>
      </c>
      <c r="N8" t="s">
        <v>1870</v>
      </c>
      <c r="O8" s="247" t="s">
        <v>1411</v>
      </c>
      <c r="Q8" s="3">
        <v>0</v>
      </c>
    </row>
    <row r="9" spans="1:19" x14ac:dyDescent="0.3">
      <c r="A9" s="249" t="s">
        <v>1870</v>
      </c>
      <c r="B9" s="246">
        <v>0</v>
      </c>
      <c r="C9" s="249" t="s">
        <v>1870</v>
      </c>
      <c r="D9" s="249" t="s">
        <v>1870</v>
      </c>
      <c r="E9" s="246">
        <v>0</v>
      </c>
      <c r="F9" s="246">
        <v>0</v>
      </c>
      <c r="G9" s="249" t="s">
        <v>1870</v>
      </c>
      <c r="H9" s="248">
        <v>0</v>
      </c>
      <c r="I9" s="246" t="s">
        <v>1409</v>
      </c>
      <c r="J9" t="s">
        <v>1870</v>
      </c>
      <c r="K9" t="s">
        <v>1870</v>
      </c>
      <c r="L9" s="246" t="s">
        <v>1410</v>
      </c>
      <c r="M9" s="246" t="s">
        <v>2138</v>
      </c>
      <c r="N9" t="s">
        <v>1870</v>
      </c>
      <c r="O9" s="247" t="s">
        <v>1424</v>
      </c>
      <c r="Q9" s="3">
        <v>0</v>
      </c>
    </row>
    <row r="10" spans="1:19" x14ac:dyDescent="0.3">
      <c r="A10" s="249" t="s">
        <v>1870</v>
      </c>
      <c r="B10" s="246">
        <v>0</v>
      </c>
      <c r="C10" s="249" t="s">
        <v>1870</v>
      </c>
      <c r="D10" s="249" t="s">
        <v>1870</v>
      </c>
      <c r="E10" s="246">
        <v>0</v>
      </c>
      <c r="F10" s="246">
        <v>0</v>
      </c>
      <c r="G10" s="249" t="s">
        <v>1870</v>
      </c>
      <c r="H10" s="248">
        <v>0</v>
      </c>
      <c r="I10" s="246" t="s">
        <v>1409</v>
      </c>
      <c r="J10" t="s">
        <v>1870</v>
      </c>
      <c r="K10" t="s">
        <v>1870</v>
      </c>
      <c r="L10" s="246" t="s">
        <v>1382</v>
      </c>
      <c r="M10" s="246" t="s">
        <v>2131</v>
      </c>
      <c r="N10" t="s">
        <v>1870</v>
      </c>
      <c r="O10" s="247" t="s">
        <v>1383</v>
      </c>
      <c r="Q10" s="3">
        <v>0</v>
      </c>
    </row>
    <row r="11" spans="1:19" x14ac:dyDescent="0.3">
      <c r="A11" s="249" t="s">
        <v>1870</v>
      </c>
      <c r="B11" s="246">
        <v>0</v>
      </c>
      <c r="C11" s="249" t="s">
        <v>1870</v>
      </c>
      <c r="D11" s="249" t="s">
        <v>1870</v>
      </c>
      <c r="E11" s="246">
        <v>0</v>
      </c>
      <c r="F11" s="246">
        <v>0</v>
      </c>
      <c r="G11" s="249" t="s">
        <v>1870</v>
      </c>
      <c r="H11" s="248">
        <v>0</v>
      </c>
      <c r="I11" s="246" t="s">
        <v>1409</v>
      </c>
      <c r="J11" t="s">
        <v>1870</v>
      </c>
      <c r="K11" t="s">
        <v>1870</v>
      </c>
      <c r="L11" s="246" t="s">
        <v>1367</v>
      </c>
      <c r="M11" t="s">
        <v>2131</v>
      </c>
      <c r="N11" t="s">
        <v>1870</v>
      </c>
      <c r="O11" s="247" t="s">
        <v>1378</v>
      </c>
      <c r="Q11" s="3">
        <v>0</v>
      </c>
    </row>
    <row r="12" spans="1:19" x14ac:dyDescent="0.3">
      <c r="A12" s="249" t="s">
        <v>1870</v>
      </c>
      <c r="B12" s="246">
        <v>0</v>
      </c>
      <c r="C12" s="249" t="s">
        <v>1870</v>
      </c>
      <c r="D12" s="249" t="s">
        <v>1870</v>
      </c>
      <c r="E12" s="246">
        <v>0</v>
      </c>
      <c r="F12" s="246">
        <v>0</v>
      </c>
      <c r="G12" s="249" t="s">
        <v>1870</v>
      </c>
      <c r="H12" s="248">
        <v>0</v>
      </c>
      <c r="I12" s="246" t="s">
        <v>1409</v>
      </c>
      <c r="J12" t="s">
        <v>1870</v>
      </c>
      <c r="K12" t="s">
        <v>1870</v>
      </c>
      <c r="L12" s="246" t="s">
        <v>1386</v>
      </c>
      <c r="M12" t="s">
        <v>2131</v>
      </c>
      <c r="N12" t="s">
        <v>1870</v>
      </c>
      <c r="O12" s="247" t="s">
        <v>1387</v>
      </c>
      <c r="Q12" s="3">
        <v>0</v>
      </c>
    </row>
    <row r="13" spans="1:19" x14ac:dyDescent="0.3">
      <c r="A13" s="249" t="s">
        <v>1870</v>
      </c>
      <c r="B13" s="246">
        <v>0</v>
      </c>
      <c r="C13" s="249" t="s">
        <v>1870</v>
      </c>
      <c r="D13" s="249" t="s">
        <v>1870</v>
      </c>
      <c r="E13" s="246">
        <v>0</v>
      </c>
      <c r="F13" s="246">
        <v>0</v>
      </c>
      <c r="G13" s="249" t="s">
        <v>1870</v>
      </c>
      <c r="H13" s="248">
        <v>0</v>
      </c>
      <c r="I13" s="246" t="s">
        <v>1409</v>
      </c>
      <c r="J13" t="s">
        <v>1870</v>
      </c>
      <c r="K13" t="s">
        <v>1870</v>
      </c>
      <c r="L13" s="246" t="s">
        <v>1375</v>
      </c>
      <c r="M13" t="s">
        <v>2131</v>
      </c>
      <c r="N13" t="s">
        <v>1870</v>
      </c>
      <c r="O13" s="247" t="s">
        <v>1379</v>
      </c>
      <c r="Q13" s="3">
        <v>0</v>
      </c>
    </row>
    <row r="14" spans="1:19" x14ac:dyDescent="0.3">
      <c r="A14" s="249" t="s">
        <v>1870</v>
      </c>
      <c r="B14" s="246">
        <v>0</v>
      </c>
      <c r="C14" s="249" t="s">
        <v>1870</v>
      </c>
      <c r="D14" s="249" t="s">
        <v>1870</v>
      </c>
      <c r="E14" s="246">
        <v>0</v>
      </c>
      <c r="F14" s="246">
        <v>0</v>
      </c>
      <c r="G14" s="249" t="s">
        <v>1870</v>
      </c>
      <c r="H14" s="248">
        <v>0</v>
      </c>
      <c r="I14" s="246" t="s">
        <v>1409</v>
      </c>
      <c r="J14" t="s">
        <v>1870</v>
      </c>
      <c r="K14" t="s">
        <v>1870</v>
      </c>
      <c r="L14" s="246" t="s">
        <v>1413</v>
      </c>
      <c r="M14" t="s">
        <v>2131</v>
      </c>
      <c r="N14" t="s">
        <v>1870</v>
      </c>
      <c r="O14" s="247" t="s">
        <v>1414</v>
      </c>
      <c r="Q14" s="3">
        <v>0</v>
      </c>
    </row>
    <row r="15" spans="1:19" x14ac:dyDescent="0.3">
      <c r="A15" s="249" t="s">
        <v>1870</v>
      </c>
      <c r="B15" s="246">
        <v>0</v>
      </c>
      <c r="C15" s="249" t="s">
        <v>1870</v>
      </c>
      <c r="D15" s="249" t="s">
        <v>1870</v>
      </c>
      <c r="E15" s="246">
        <v>0</v>
      </c>
      <c r="F15" s="246">
        <v>0</v>
      </c>
      <c r="G15" s="249" t="s">
        <v>1870</v>
      </c>
      <c r="H15" s="248">
        <v>0</v>
      </c>
      <c r="I15" s="246" t="s">
        <v>1409</v>
      </c>
      <c r="J15" t="s">
        <v>1870</v>
      </c>
      <c r="K15" t="s">
        <v>1870</v>
      </c>
      <c r="L15" s="246" t="s">
        <v>1393</v>
      </c>
      <c r="M15" t="s">
        <v>2131</v>
      </c>
      <c r="N15" t="s">
        <v>1870</v>
      </c>
      <c r="O15" s="247" t="s">
        <v>2073</v>
      </c>
      <c r="Q15" s="3">
        <v>0</v>
      </c>
    </row>
    <row r="16" spans="1:19" x14ac:dyDescent="0.3">
      <c r="A16" s="249" t="s">
        <v>1870</v>
      </c>
      <c r="B16" s="246">
        <v>0</v>
      </c>
      <c r="C16" s="249" t="s">
        <v>1870</v>
      </c>
      <c r="D16" s="249" t="s">
        <v>1870</v>
      </c>
      <c r="E16" s="246">
        <v>0</v>
      </c>
      <c r="F16" s="246">
        <v>0</v>
      </c>
      <c r="G16" s="249" t="s">
        <v>1870</v>
      </c>
      <c r="H16" s="248">
        <v>0</v>
      </c>
      <c r="I16" s="246" t="s">
        <v>1409</v>
      </c>
      <c r="J16" t="s">
        <v>1870</v>
      </c>
      <c r="K16" t="s">
        <v>1870</v>
      </c>
      <c r="L16" s="246" t="s">
        <v>1697</v>
      </c>
      <c r="M16" t="s">
        <v>2131</v>
      </c>
      <c r="N16" t="s">
        <v>1870</v>
      </c>
      <c r="O16" s="247" t="s">
        <v>66</v>
      </c>
      <c r="Q16" s="3">
        <v>0</v>
      </c>
    </row>
    <row r="17" spans="1:18" x14ac:dyDescent="0.3">
      <c r="A17" s="249" t="s">
        <v>1870</v>
      </c>
      <c r="B17" s="246">
        <v>0</v>
      </c>
      <c r="C17" s="249" t="s">
        <v>1870</v>
      </c>
      <c r="D17" s="249" t="s">
        <v>1870</v>
      </c>
      <c r="E17" s="246">
        <v>0</v>
      </c>
      <c r="F17" s="246">
        <v>0</v>
      </c>
      <c r="G17" s="249" t="s">
        <v>1870</v>
      </c>
      <c r="H17" s="248">
        <v>0</v>
      </c>
      <c r="I17" s="246" t="s">
        <v>1539</v>
      </c>
      <c r="J17" t="s">
        <v>1870</v>
      </c>
      <c r="K17" t="s">
        <v>1870</v>
      </c>
      <c r="L17" s="246" t="s">
        <v>1696</v>
      </c>
      <c r="M17" t="s">
        <v>2131</v>
      </c>
      <c r="N17" t="s">
        <v>1870</v>
      </c>
      <c r="O17" s="247" t="s">
        <v>1981</v>
      </c>
      <c r="Q17" s="3">
        <v>0</v>
      </c>
    </row>
    <row r="18" spans="1:18" x14ac:dyDescent="0.3">
      <c r="A18" s="249" t="s">
        <v>1870</v>
      </c>
      <c r="B18" s="246">
        <v>0</v>
      </c>
      <c r="C18" s="249" t="s">
        <v>1870</v>
      </c>
      <c r="D18" s="249" t="s">
        <v>1870</v>
      </c>
      <c r="E18" s="246">
        <v>0</v>
      </c>
      <c r="F18" s="246">
        <v>0</v>
      </c>
      <c r="G18" s="249" t="s">
        <v>1870</v>
      </c>
      <c r="H18" s="248">
        <v>0</v>
      </c>
      <c r="I18" s="246" t="s">
        <v>1806</v>
      </c>
      <c r="J18" t="s">
        <v>1870</v>
      </c>
      <c r="K18" t="s">
        <v>1870</v>
      </c>
      <c r="L18" s="246" t="s">
        <v>1500</v>
      </c>
      <c r="M18" s="246" t="s">
        <v>2133</v>
      </c>
      <c r="N18" t="s">
        <v>1870</v>
      </c>
      <c r="O18" s="247" t="s">
        <v>2281</v>
      </c>
      <c r="Q18" s="3">
        <v>0</v>
      </c>
    </row>
    <row r="19" spans="1:18" x14ac:dyDescent="0.3">
      <c r="A19" s="249" t="s">
        <v>1870</v>
      </c>
      <c r="B19" s="246">
        <v>0</v>
      </c>
      <c r="C19" s="249" t="s">
        <v>1870</v>
      </c>
      <c r="D19" s="249" t="s">
        <v>1870</v>
      </c>
      <c r="E19" s="246">
        <v>0</v>
      </c>
      <c r="F19" s="246">
        <v>0</v>
      </c>
      <c r="G19" s="249" t="s">
        <v>1870</v>
      </c>
      <c r="H19" s="248">
        <v>0</v>
      </c>
      <c r="I19" s="246" t="s">
        <v>1568</v>
      </c>
      <c r="J19" t="s">
        <v>1870</v>
      </c>
      <c r="K19" t="s">
        <v>1870</v>
      </c>
      <c r="L19" s="246" t="s">
        <v>765</v>
      </c>
      <c r="M19" s="246" t="s">
        <v>2131</v>
      </c>
      <c r="N19" t="s">
        <v>1870</v>
      </c>
      <c r="O19" s="247" t="s">
        <v>2039</v>
      </c>
      <c r="Q19" s="3">
        <v>0</v>
      </c>
    </row>
    <row r="20" spans="1:18" x14ac:dyDescent="0.3">
      <c r="A20" s="249" t="s">
        <v>1870</v>
      </c>
      <c r="B20" s="246">
        <v>0</v>
      </c>
      <c r="C20" s="249" t="s">
        <v>1870</v>
      </c>
      <c r="D20" s="249" t="s">
        <v>1870</v>
      </c>
      <c r="E20" s="246">
        <v>0</v>
      </c>
      <c r="F20" s="246">
        <v>0</v>
      </c>
      <c r="G20" s="249" t="s">
        <v>1870</v>
      </c>
      <c r="H20" s="248">
        <v>0</v>
      </c>
      <c r="I20" s="246" t="s">
        <v>1689</v>
      </c>
      <c r="J20" t="s">
        <v>1870</v>
      </c>
      <c r="K20" t="s">
        <v>1870</v>
      </c>
      <c r="L20" t="s">
        <v>765</v>
      </c>
      <c r="M20" t="s">
        <v>2131</v>
      </c>
      <c r="N20" t="s">
        <v>1870</v>
      </c>
      <c r="O20" s="247" t="s">
        <v>2039</v>
      </c>
      <c r="Q20" s="3">
        <v>0</v>
      </c>
    </row>
    <row r="21" spans="1:18" x14ac:dyDescent="0.3">
      <c r="A21" s="249" t="s">
        <v>1870</v>
      </c>
      <c r="B21" s="246">
        <v>0</v>
      </c>
      <c r="C21" s="249" t="s">
        <v>1870</v>
      </c>
      <c r="D21" s="249" t="s">
        <v>1870</v>
      </c>
      <c r="E21" s="246">
        <v>0</v>
      </c>
      <c r="F21" s="246">
        <v>0</v>
      </c>
      <c r="G21" s="249" t="s">
        <v>1870</v>
      </c>
      <c r="H21" s="248">
        <v>0</v>
      </c>
      <c r="I21" s="246" t="s">
        <v>1689</v>
      </c>
      <c r="J21" t="s">
        <v>1870</v>
      </c>
      <c r="K21" t="s">
        <v>1870</v>
      </c>
      <c r="L21" s="246" t="s">
        <v>1686</v>
      </c>
      <c r="M21" t="s">
        <v>2131</v>
      </c>
      <c r="N21" t="s">
        <v>1870</v>
      </c>
      <c r="O21" s="247" t="s">
        <v>1687</v>
      </c>
      <c r="Q21" s="3">
        <v>0</v>
      </c>
    </row>
    <row r="22" spans="1:18" x14ac:dyDescent="0.3">
      <c r="A22" s="249" t="s">
        <v>1870</v>
      </c>
      <c r="B22" s="246">
        <v>0</v>
      </c>
      <c r="C22" s="249" t="s">
        <v>1870</v>
      </c>
      <c r="D22" s="249" t="s">
        <v>1870</v>
      </c>
      <c r="E22" s="246">
        <v>0</v>
      </c>
      <c r="F22" s="246">
        <v>0</v>
      </c>
      <c r="G22" s="249" t="s">
        <v>1870</v>
      </c>
      <c r="H22" s="248">
        <v>0</v>
      </c>
      <c r="I22" s="246" t="s">
        <v>1619</v>
      </c>
      <c r="J22" t="s">
        <v>1870</v>
      </c>
      <c r="K22" t="s">
        <v>1870</v>
      </c>
      <c r="L22" s="246" t="s">
        <v>1681</v>
      </c>
      <c r="M22" t="s">
        <v>2131</v>
      </c>
      <c r="N22" t="s">
        <v>1870</v>
      </c>
      <c r="O22" s="247" t="s">
        <v>1682</v>
      </c>
      <c r="Q22" s="3">
        <v>0</v>
      </c>
    </row>
    <row r="23" spans="1:18" x14ac:dyDescent="0.3">
      <c r="A23" s="249" t="s">
        <v>1870</v>
      </c>
      <c r="B23" s="246">
        <v>0</v>
      </c>
      <c r="C23" s="249" t="s">
        <v>1870</v>
      </c>
      <c r="D23" s="249" t="s">
        <v>1870</v>
      </c>
      <c r="E23" s="246">
        <v>0</v>
      </c>
      <c r="F23" s="246">
        <v>0</v>
      </c>
      <c r="G23" s="249" t="s">
        <v>1870</v>
      </c>
      <c r="H23" s="248">
        <v>0</v>
      </c>
      <c r="I23" s="246" t="s">
        <v>1619</v>
      </c>
      <c r="J23" t="s">
        <v>1870</v>
      </c>
      <c r="K23" t="s">
        <v>1870</v>
      </c>
      <c r="L23" s="246" t="s">
        <v>765</v>
      </c>
      <c r="M23" t="s">
        <v>2131</v>
      </c>
      <c r="N23" t="s">
        <v>1870</v>
      </c>
      <c r="O23" s="247" t="s">
        <v>2039</v>
      </c>
      <c r="Q23" s="3">
        <v>0</v>
      </c>
    </row>
    <row r="24" spans="1:18" x14ac:dyDescent="0.3">
      <c r="A24" s="249" t="s">
        <v>1870</v>
      </c>
      <c r="B24" s="246">
        <v>0</v>
      </c>
      <c r="C24" s="249" t="s">
        <v>1870</v>
      </c>
      <c r="D24" s="249" t="s">
        <v>1870</v>
      </c>
      <c r="E24" s="246">
        <v>0</v>
      </c>
      <c r="F24" s="246">
        <v>0</v>
      </c>
      <c r="G24" s="249" t="s">
        <v>1870</v>
      </c>
      <c r="H24" s="248">
        <v>0</v>
      </c>
      <c r="I24" s="246" t="s">
        <v>1581</v>
      </c>
      <c r="J24" t="s">
        <v>1870</v>
      </c>
      <c r="K24" t="s">
        <v>1870</v>
      </c>
      <c r="L24" s="246" t="s">
        <v>1696</v>
      </c>
      <c r="M24" t="s">
        <v>2131</v>
      </c>
      <c r="N24" t="s">
        <v>1870</v>
      </c>
      <c r="O24" s="247" t="s">
        <v>2022</v>
      </c>
    </row>
    <row r="25" spans="1:18" x14ac:dyDescent="0.3">
      <c r="A25" s="249" t="s">
        <v>1870</v>
      </c>
      <c r="B25" s="246">
        <v>0</v>
      </c>
      <c r="C25" s="249" t="s">
        <v>1870</v>
      </c>
      <c r="D25" s="249" t="s">
        <v>1870</v>
      </c>
      <c r="E25" s="246">
        <v>0</v>
      </c>
      <c r="F25" s="246">
        <v>0</v>
      </c>
      <c r="G25" s="249" t="s">
        <v>1870</v>
      </c>
      <c r="H25" s="248">
        <v>0</v>
      </c>
      <c r="I25" s="246" t="s">
        <v>1598</v>
      </c>
      <c r="J25" t="s">
        <v>1870</v>
      </c>
      <c r="K25" t="s">
        <v>1870</v>
      </c>
      <c r="L25" s="246" t="s">
        <v>1398</v>
      </c>
      <c r="M25" s="246" t="s">
        <v>1212</v>
      </c>
      <c r="N25" t="s">
        <v>1870</v>
      </c>
      <c r="O25" s="247" t="s">
        <v>2061</v>
      </c>
    </row>
    <row r="26" spans="1:18" x14ac:dyDescent="0.3">
      <c r="A26" s="249" t="s">
        <v>1870</v>
      </c>
      <c r="B26" s="246">
        <v>0</v>
      </c>
      <c r="C26" s="249" t="s">
        <v>1870</v>
      </c>
      <c r="D26" s="249" t="s">
        <v>1870</v>
      </c>
      <c r="E26" s="246">
        <v>0</v>
      </c>
      <c r="F26" s="246">
        <v>0</v>
      </c>
      <c r="G26" s="249" t="s">
        <v>1870</v>
      </c>
      <c r="H26" s="248">
        <v>0</v>
      </c>
      <c r="I26" s="246" t="s">
        <v>1598</v>
      </c>
      <c r="J26" t="s">
        <v>1870</v>
      </c>
      <c r="K26" t="s">
        <v>1870</v>
      </c>
      <c r="L26" s="246" t="s">
        <v>1702</v>
      </c>
      <c r="M26" t="s">
        <v>1212</v>
      </c>
      <c r="N26" t="s">
        <v>1870</v>
      </c>
      <c r="O26" s="247" t="s">
        <v>1781</v>
      </c>
    </row>
    <row r="27" spans="1:18" x14ac:dyDescent="0.3">
      <c r="A27" s="249" t="s">
        <v>1870</v>
      </c>
      <c r="B27" s="246">
        <v>0</v>
      </c>
      <c r="C27" s="249" t="s">
        <v>1870</v>
      </c>
      <c r="D27" s="249" t="s">
        <v>1870</v>
      </c>
      <c r="E27" s="246">
        <v>0</v>
      </c>
      <c r="F27" s="246">
        <v>0</v>
      </c>
      <c r="G27" s="249" t="s">
        <v>1870</v>
      </c>
      <c r="H27" s="248">
        <v>0</v>
      </c>
      <c r="I27" s="246" t="s">
        <v>2160</v>
      </c>
      <c r="J27" t="s">
        <v>1870</v>
      </c>
      <c r="K27" t="s">
        <v>1870</v>
      </c>
      <c r="L27" s="246" t="s">
        <v>2160</v>
      </c>
      <c r="M27" s="246" t="s">
        <v>2160</v>
      </c>
      <c r="N27" t="s">
        <v>1870</v>
      </c>
      <c r="O27" s="247" t="s">
        <v>2160</v>
      </c>
      <c r="P27" s="3">
        <v>81781.47</v>
      </c>
      <c r="Q27" s="3">
        <v>0</v>
      </c>
      <c r="R27" s="3">
        <v>81781.47</v>
      </c>
    </row>
    <row r="28" spans="1:18" x14ac:dyDescent="0.3">
      <c r="A28" s="249" t="s">
        <v>1870</v>
      </c>
      <c r="B28" s="246">
        <v>100</v>
      </c>
      <c r="C28" t="s">
        <v>1870</v>
      </c>
      <c r="D28" t="s">
        <v>1870</v>
      </c>
      <c r="E28" s="246" t="s">
        <v>11</v>
      </c>
      <c r="F28">
        <v>0</v>
      </c>
      <c r="G28" t="s">
        <v>1870</v>
      </c>
      <c r="H28" s="248" t="s">
        <v>10</v>
      </c>
      <c r="I28" s="246" t="s">
        <v>1365</v>
      </c>
      <c r="J28" t="s">
        <v>1870</v>
      </c>
      <c r="K28" t="s">
        <v>1870</v>
      </c>
      <c r="L28" s="246" t="s">
        <v>1366</v>
      </c>
      <c r="M28" s="246" t="s">
        <v>2131</v>
      </c>
      <c r="N28" t="s">
        <v>1870</v>
      </c>
      <c r="O28" s="247" t="s">
        <v>1377</v>
      </c>
      <c r="P28" s="3">
        <v>9075</v>
      </c>
      <c r="Q28" s="3">
        <v>12000</v>
      </c>
      <c r="R28" s="3">
        <v>9075</v>
      </c>
    </row>
    <row r="29" spans="1:18" x14ac:dyDescent="0.3">
      <c r="A29" s="249" t="s">
        <v>1870</v>
      </c>
      <c r="B29" s="246">
        <v>100</v>
      </c>
      <c r="C29" t="s">
        <v>1870</v>
      </c>
      <c r="D29" t="s">
        <v>1870</v>
      </c>
      <c r="E29" s="246" t="s">
        <v>3</v>
      </c>
      <c r="F29">
        <v>0</v>
      </c>
      <c r="G29" t="s">
        <v>1870</v>
      </c>
      <c r="H29" s="248" t="s">
        <v>13</v>
      </c>
      <c r="I29" t="s">
        <v>1365</v>
      </c>
      <c r="J29" t="s">
        <v>1870</v>
      </c>
      <c r="K29" t="s">
        <v>1870</v>
      </c>
      <c r="L29" t="s">
        <v>1366</v>
      </c>
      <c r="M29" s="246" t="s">
        <v>2132</v>
      </c>
      <c r="N29" t="s">
        <v>1870</v>
      </c>
      <c r="O29" s="247" t="s">
        <v>1374</v>
      </c>
      <c r="P29" s="3">
        <v>9428.9500000000007</v>
      </c>
      <c r="Q29" s="3">
        <v>9500</v>
      </c>
      <c r="R29" s="3">
        <v>9428.9500000000007</v>
      </c>
    </row>
    <row r="30" spans="1:18" x14ac:dyDescent="0.3">
      <c r="A30" s="249" t="s">
        <v>1870</v>
      </c>
      <c r="B30" s="246">
        <v>100</v>
      </c>
      <c r="C30" t="s">
        <v>1870</v>
      </c>
      <c r="D30" t="s">
        <v>1870</v>
      </c>
      <c r="E30" s="246" t="s">
        <v>16</v>
      </c>
      <c r="F30">
        <v>0</v>
      </c>
      <c r="G30" t="s">
        <v>1870</v>
      </c>
      <c r="H30" s="248" t="s">
        <v>15</v>
      </c>
      <c r="I30" t="s">
        <v>1365</v>
      </c>
      <c r="J30" t="s">
        <v>1870</v>
      </c>
      <c r="K30" t="s">
        <v>1870</v>
      </c>
      <c r="L30" s="246" t="s">
        <v>1367</v>
      </c>
      <c r="M30" s="246" t="s">
        <v>2131</v>
      </c>
      <c r="N30" t="s">
        <v>1870</v>
      </c>
      <c r="O30" s="247" t="s">
        <v>1378</v>
      </c>
      <c r="P30" s="3">
        <v>804.3</v>
      </c>
      <c r="Q30" s="3">
        <v>1300</v>
      </c>
      <c r="R30" s="3">
        <v>804.3</v>
      </c>
    </row>
    <row r="31" spans="1:18" x14ac:dyDescent="0.3">
      <c r="A31" s="249" t="s">
        <v>1870</v>
      </c>
      <c r="B31" s="246">
        <v>100</v>
      </c>
      <c r="C31" t="s">
        <v>1870</v>
      </c>
      <c r="D31" t="s">
        <v>1870</v>
      </c>
      <c r="E31" s="246" t="s">
        <v>16</v>
      </c>
      <c r="F31">
        <v>0</v>
      </c>
      <c r="G31" t="s">
        <v>1870</v>
      </c>
      <c r="H31" s="248" t="s">
        <v>15</v>
      </c>
      <c r="I31" t="s">
        <v>1365</v>
      </c>
      <c r="J31" t="s">
        <v>1870</v>
      </c>
      <c r="K31" t="s">
        <v>1870</v>
      </c>
      <c r="L31" s="246" t="s">
        <v>1413</v>
      </c>
      <c r="M31" t="s">
        <v>2131</v>
      </c>
      <c r="N31" t="s">
        <v>1870</v>
      </c>
      <c r="O31" s="247" t="s">
        <v>1414</v>
      </c>
      <c r="Q31" s="3">
        <v>0</v>
      </c>
    </row>
    <row r="32" spans="1:18" x14ac:dyDescent="0.3">
      <c r="A32" s="249" t="s">
        <v>1870</v>
      </c>
      <c r="B32" s="246">
        <v>100</v>
      </c>
      <c r="C32" t="s">
        <v>1870</v>
      </c>
      <c r="D32" t="s">
        <v>1870</v>
      </c>
      <c r="E32" s="246" t="s">
        <v>19</v>
      </c>
      <c r="F32">
        <v>0</v>
      </c>
      <c r="G32" t="s">
        <v>1870</v>
      </c>
      <c r="H32" s="248" t="s">
        <v>18</v>
      </c>
      <c r="I32" t="s">
        <v>1365</v>
      </c>
      <c r="J32" t="s">
        <v>1870</v>
      </c>
      <c r="K32" t="s">
        <v>1870</v>
      </c>
      <c r="L32" s="246" t="s">
        <v>1375</v>
      </c>
      <c r="M32" t="s">
        <v>2131</v>
      </c>
      <c r="N32" t="s">
        <v>1870</v>
      </c>
      <c r="O32" s="247" t="s">
        <v>1379</v>
      </c>
      <c r="P32" s="3">
        <v>139.85</v>
      </c>
      <c r="Q32" s="3">
        <v>240</v>
      </c>
      <c r="R32" s="3">
        <v>139.85</v>
      </c>
    </row>
    <row r="33" spans="1:18" x14ac:dyDescent="0.3">
      <c r="A33" s="249" t="s">
        <v>1870</v>
      </c>
      <c r="B33" s="246">
        <v>100</v>
      </c>
      <c r="C33" t="s">
        <v>1870</v>
      </c>
      <c r="D33" t="s">
        <v>1870</v>
      </c>
      <c r="E33" s="246" t="s">
        <v>22</v>
      </c>
      <c r="F33">
        <v>0</v>
      </c>
      <c r="G33" t="s">
        <v>1870</v>
      </c>
      <c r="H33" s="248" t="s">
        <v>21</v>
      </c>
      <c r="I33" t="s">
        <v>1365</v>
      </c>
      <c r="J33" t="s">
        <v>1870</v>
      </c>
      <c r="K33" t="s">
        <v>1870</v>
      </c>
      <c r="L33" s="246" t="s">
        <v>1382</v>
      </c>
      <c r="M33" t="s">
        <v>2131</v>
      </c>
      <c r="N33" t="s">
        <v>1870</v>
      </c>
      <c r="O33" s="247" t="s">
        <v>1383</v>
      </c>
      <c r="P33" s="3">
        <v>0</v>
      </c>
      <c r="Q33" s="3">
        <v>0</v>
      </c>
      <c r="R33" s="3">
        <v>0</v>
      </c>
    </row>
    <row r="34" spans="1:18" x14ac:dyDescent="0.3">
      <c r="A34" s="249" t="s">
        <v>1870</v>
      </c>
      <c r="B34" s="246">
        <v>100</v>
      </c>
      <c r="C34" t="s">
        <v>1870</v>
      </c>
      <c r="D34" t="s">
        <v>1870</v>
      </c>
      <c r="E34" s="246" t="s">
        <v>22</v>
      </c>
      <c r="F34">
        <v>0</v>
      </c>
      <c r="G34" t="s">
        <v>1870</v>
      </c>
      <c r="H34" s="248" t="s">
        <v>21</v>
      </c>
      <c r="I34" t="s">
        <v>1365</v>
      </c>
      <c r="J34" t="s">
        <v>1870</v>
      </c>
      <c r="K34" t="s">
        <v>1870</v>
      </c>
      <c r="L34" s="246" t="s">
        <v>1380</v>
      </c>
      <c r="M34" t="s">
        <v>2131</v>
      </c>
      <c r="N34" t="s">
        <v>1870</v>
      </c>
      <c r="O34" s="247" t="s">
        <v>1381</v>
      </c>
      <c r="P34" s="3">
        <v>3385.45</v>
      </c>
      <c r="Q34" s="3">
        <v>2000</v>
      </c>
      <c r="R34" s="3">
        <v>3385.45</v>
      </c>
    </row>
    <row r="35" spans="1:18" x14ac:dyDescent="0.3">
      <c r="A35" s="249" t="s">
        <v>1870</v>
      </c>
      <c r="B35" s="246">
        <v>100</v>
      </c>
      <c r="C35" t="s">
        <v>1870</v>
      </c>
      <c r="D35" t="s">
        <v>1870</v>
      </c>
      <c r="E35" s="246" t="s">
        <v>22</v>
      </c>
      <c r="F35">
        <v>0</v>
      </c>
      <c r="G35" t="s">
        <v>1870</v>
      </c>
      <c r="H35" s="248" t="s">
        <v>21</v>
      </c>
      <c r="I35" t="s">
        <v>1365</v>
      </c>
      <c r="J35" t="s">
        <v>1870</v>
      </c>
      <c r="K35" t="s">
        <v>1870</v>
      </c>
      <c r="L35" s="246" t="s">
        <v>1393</v>
      </c>
      <c r="M35" t="s">
        <v>2131</v>
      </c>
      <c r="N35" t="s">
        <v>1870</v>
      </c>
      <c r="O35" s="247" t="s">
        <v>2073</v>
      </c>
      <c r="P35" s="3">
        <v>0</v>
      </c>
      <c r="Q35" s="3">
        <v>0</v>
      </c>
      <c r="R35" s="3">
        <v>0</v>
      </c>
    </row>
    <row r="36" spans="1:18" x14ac:dyDescent="0.3">
      <c r="A36" s="249" t="s">
        <v>1870</v>
      </c>
      <c r="B36" s="246">
        <v>100</v>
      </c>
      <c r="C36" t="s">
        <v>1870</v>
      </c>
      <c r="D36" t="s">
        <v>1870</v>
      </c>
      <c r="E36" s="246" t="s">
        <v>25</v>
      </c>
      <c r="F36">
        <v>0</v>
      </c>
      <c r="G36" t="s">
        <v>1870</v>
      </c>
      <c r="H36" s="248" t="s">
        <v>24</v>
      </c>
      <c r="I36" t="s">
        <v>1365</v>
      </c>
      <c r="J36" t="s">
        <v>1870</v>
      </c>
      <c r="K36" t="s">
        <v>1870</v>
      </c>
      <c r="L36" s="246" t="s">
        <v>1376</v>
      </c>
      <c r="M36" t="s">
        <v>2131</v>
      </c>
      <c r="N36" t="s">
        <v>1870</v>
      </c>
      <c r="O36" s="247" t="s">
        <v>1384</v>
      </c>
      <c r="P36" s="3">
        <v>0</v>
      </c>
      <c r="Q36" s="3">
        <v>0</v>
      </c>
      <c r="R36" s="3">
        <v>0</v>
      </c>
    </row>
    <row r="37" spans="1:18" x14ac:dyDescent="0.3">
      <c r="A37" s="249" t="s">
        <v>1870</v>
      </c>
      <c r="B37" s="246">
        <v>100</v>
      </c>
      <c r="C37" t="s">
        <v>1870</v>
      </c>
      <c r="D37" t="s">
        <v>1870</v>
      </c>
      <c r="E37" s="7" t="s">
        <v>28</v>
      </c>
      <c r="F37" s="7">
        <v>1</v>
      </c>
      <c r="G37" t="s">
        <v>1870</v>
      </c>
      <c r="H37" t="s">
        <v>27</v>
      </c>
      <c r="I37" s="7" t="s">
        <v>1489</v>
      </c>
      <c r="J37" t="s">
        <v>1870</v>
      </c>
      <c r="K37" t="s">
        <v>1870</v>
      </c>
      <c r="L37" s="7" t="s">
        <v>1489</v>
      </c>
      <c r="M37" s="7" t="s">
        <v>1489</v>
      </c>
      <c r="N37" t="s">
        <v>1870</v>
      </c>
      <c r="O37">
        <v>0</v>
      </c>
      <c r="Q37" s="3">
        <v>0</v>
      </c>
      <c r="R37" s="3">
        <v>0</v>
      </c>
    </row>
    <row r="38" spans="1:18" x14ac:dyDescent="0.3">
      <c r="A38" s="249" t="s">
        <v>1870</v>
      </c>
      <c r="B38" s="246">
        <v>101</v>
      </c>
      <c r="C38" t="s">
        <v>1870</v>
      </c>
      <c r="D38" t="s">
        <v>1870</v>
      </c>
      <c r="E38" s="7" t="s">
        <v>11</v>
      </c>
      <c r="F38" s="7">
        <v>0</v>
      </c>
      <c r="G38" t="s">
        <v>1870</v>
      </c>
      <c r="H38" t="s">
        <v>31</v>
      </c>
      <c r="I38" t="s">
        <v>1489</v>
      </c>
      <c r="J38" t="s">
        <v>1870</v>
      </c>
      <c r="K38" t="s">
        <v>1870</v>
      </c>
      <c r="L38" t="s">
        <v>1489</v>
      </c>
      <c r="M38" t="s">
        <v>1489</v>
      </c>
      <c r="N38" t="s">
        <v>1870</v>
      </c>
      <c r="O38">
        <v>0</v>
      </c>
      <c r="Q38" s="3">
        <v>0</v>
      </c>
      <c r="R38" s="3">
        <v>0</v>
      </c>
    </row>
    <row r="39" spans="1:18" x14ac:dyDescent="0.3">
      <c r="A39" s="249" t="s">
        <v>1870</v>
      </c>
      <c r="B39" s="246">
        <v>101</v>
      </c>
      <c r="C39" t="s">
        <v>1870</v>
      </c>
      <c r="D39" t="s">
        <v>1870</v>
      </c>
      <c r="E39" s="246" t="s">
        <v>3</v>
      </c>
      <c r="F39">
        <v>0</v>
      </c>
      <c r="G39" t="s">
        <v>1870</v>
      </c>
      <c r="H39" s="248" t="s">
        <v>33</v>
      </c>
      <c r="I39" s="246" t="s">
        <v>1385</v>
      </c>
      <c r="J39" t="s">
        <v>1870</v>
      </c>
      <c r="K39" t="s">
        <v>1870</v>
      </c>
      <c r="L39" s="246" t="s">
        <v>1366</v>
      </c>
      <c r="M39" s="7" t="s">
        <v>2131</v>
      </c>
      <c r="N39" t="s">
        <v>1870</v>
      </c>
      <c r="O39" s="247" t="s">
        <v>1373</v>
      </c>
      <c r="P39" s="3">
        <v>210642.3</v>
      </c>
      <c r="Q39" s="3">
        <v>225000</v>
      </c>
      <c r="R39" s="3">
        <v>210642.3</v>
      </c>
    </row>
    <row r="40" spans="1:18" x14ac:dyDescent="0.3">
      <c r="A40" s="249" t="s">
        <v>1870</v>
      </c>
      <c r="B40" s="246">
        <v>101</v>
      </c>
      <c r="C40" t="s">
        <v>1870</v>
      </c>
      <c r="D40" t="s">
        <v>1870</v>
      </c>
      <c r="E40" s="246" t="s">
        <v>16</v>
      </c>
      <c r="F40">
        <v>0</v>
      </c>
      <c r="G40" t="s">
        <v>1870</v>
      </c>
      <c r="H40" s="248" t="s">
        <v>35</v>
      </c>
      <c r="I40" t="s">
        <v>1385</v>
      </c>
      <c r="J40" t="s">
        <v>1870</v>
      </c>
      <c r="K40" t="s">
        <v>1870</v>
      </c>
      <c r="L40" s="246" t="s">
        <v>1367</v>
      </c>
      <c r="M40" t="s">
        <v>2131</v>
      </c>
      <c r="N40" t="s">
        <v>1870</v>
      </c>
      <c r="O40" s="247" t="s">
        <v>1378</v>
      </c>
      <c r="P40" s="3">
        <v>15656.5</v>
      </c>
      <c r="Q40" s="3">
        <v>15000</v>
      </c>
      <c r="R40" s="3">
        <v>15656.5</v>
      </c>
    </row>
    <row r="41" spans="1:18" x14ac:dyDescent="0.3">
      <c r="A41" s="249" t="s">
        <v>1870</v>
      </c>
      <c r="B41" s="246">
        <v>101</v>
      </c>
      <c r="C41" t="s">
        <v>1870</v>
      </c>
      <c r="D41" t="s">
        <v>1870</v>
      </c>
      <c r="E41" s="246" t="s">
        <v>16</v>
      </c>
      <c r="F41">
        <v>0</v>
      </c>
      <c r="G41" t="s">
        <v>1870</v>
      </c>
      <c r="H41" s="248" t="s">
        <v>35</v>
      </c>
      <c r="I41" t="s">
        <v>1385</v>
      </c>
      <c r="J41" t="s">
        <v>1870</v>
      </c>
      <c r="K41" t="s">
        <v>1870</v>
      </c>
      <c r="L41" s="246" t="s">
        <v>1413</v>
      </c>
      <c r="M41" t="s">
        <v>2131</v>
      </c>
      <c r="N41" t="s">
        <v>1870</v>
      </c>
      <c r="O41" s="247" t="s">
        <v>1414</v>
      </c>
      <c r="P41" s="3">
        <v>0</v>
      </c>
      <c r="Q41" s="3">
        <v>0</v>
      </c>
      <c r="R41" s="3">
        <v>0</v>
      </c>
    </row>
    <row r="42" spans="1:18" x14ac:dyDescent="0.3">
      <c r="A42" s="249" t="s">
        <v>1870</v>
      </c>
      <c r="B42" s="246">
        <v>101</v>
      </c>
      <c r="C42" t="s">
        <v>1870</v>
      </c>
      <c r="D42" t="s">
        <v>1870</v>
      </c>
      <c r="E42" s="246" t="s">
        <v>38</v>
      </c>
      <c r="F42">
        <v>0</v>
      </c>
      <c r="G42" t="s">
        <v>1870</v>
      </c>
      <c r="H42" s="248" t="s">
        <v>37</v>
      </c>
      <c r="I42" t="s">
        <v>1385</v>
      </c>
      <c r="J42" t="s">
        <v>1870</v>
      </c>
      <c r="K42" t="s">
        <v>1870</v>
      </c>
      <c r="L42" s="246" t="s">
        <v>1386</v>
      </c>
      <c r="M42" t="s">
        <v>2131</v>
      </c>
      <c r="N42" t="s">
        <v>1870</v>
      </c>
      <c r="O42" s="247" t="s">
        <v>1387</v>
      </c>
      <c r="P42" s="3">
        <v>16477.2</v>
      </c>
      <c r="Q42" s="3">
        <v>15000</v>
      </c>
      <c r="R42" s="3">
        <v>16477.2</v>
      </c>
    </row>
    <row r="43" spans="1:18" x14ac:dyDescent="0.3">
      <c r="A43" s="249" t="s">
        <v>1870</v>
      </c>
      <c r="B43" s="246">
        <v>101</v>
      </c>
      <c r="C43" t="s">
        <v>1870</v>
      </c>
      <c r="D43" t="s">
        <v>1870</v>
      </c>
      <c r="E43" s="246" t="s">
        <v>19</v>
      </c>
      <c r="F43">
        <v>0</v>
      </c>
      <c r="G43" t="s">
        <v>1870</v>
      </c>
      <c r="H43" s="248" t="s">
        <v>40</v>
      </c>
      <c r="I43" t="s">
        <v>1385</v>
      </c>
      <c r="J43" t="s">
        <v>1870</v>
      </c>
      <c r="K43" t="s">
        <v>1870</v>
      </c>
      <c r="L43" s="246" t="s">
        <v>1375</v>
      </c>
      <c r="M43" t="s">
        <v>2131</v>
      </c>
      <c r="N43" t="s">
        <v>1870</v>
      </c>
      <c r="O43" s="247" t="s">
        <v>1379</v>
      </c>
      <c r="P43" s="3">
        <v>2334.65</v>
      </c>
      <c r="Q43" s="3">
        <v>1350</v>
      </c>
      <c r="R43" s="3">
        <v>2334.65</v>
      </c>
    </row>
    <row r="44" spans="1:18" x14ac:dyDescent="0.3">
      <c r="A44" s="249" t="s">
        <v>1870</v>
      </c>
      <c r="B44" s="246">
        <v>101</v>
      </c>
      <c r="C44" t="s">
        <v>1870</v>
      </c>
      <c r="D44" t="s">
        <v>1870</v>
      </c>
      <c r="E44" s="246" t="s">
        <v>22</v>
      </c>
      <c r="F44">
        <v>0</v>
      </c>
      <c r="G44" t="s">
        <v>1870</v>
      </c>
      <c r="H44" s="248" t="s">
        <v>42</v>
      </c>
      <c r="I44" t="s">
        <v>1385</v>
      </c>
      <c r="J44" t="s">
        <v>1870</v>
      </c>
      <c r="K44" t="s">
        <v>1870</v>
      </c>
      <c r="L44" s="246" t="s">
        <v>1382</v>
      </c>
      <c r="M44" t="s">
        <v>2131</v>
      </c>
      <c r="N44" t="s">
        <v>1870</v>
      </c>
      <c r="O44" s="247" t="s">
        <v>1383</v>
      </c>
      <c r="P44" s="3">
        <v>8043.6</v>
      </c>
      <c r="Q44" s="3">
        <v>8000</v>
      </c>
      <c r="R44" s="3">
        <v>8043.6</v>
      </c>
    </row>
    <row r="45" spans="1:18" x14ac:dyDescent="0.3">
      <c r="A45" s="249" t="s">
        <v>1870</v>
      </c>
      <c r="B45" s="246">
        <v>101</v>
      </c>
      <c r="C45" t="s">
        <v>1870</v>
      </c>
      <c r="D45" t="s">
        <v>1870</v>
      </c>
      <c r="E45" s="246" t="s">
        <v>22</v>
      </c>
      <c r="F45">
        <v>0</v>
      </c>
      <c r="G45" t="s">
        <v>1870</v>
      </c>
      <c r="H45" s="248" t="s">
        <v>42</v>
      </c>
      <c r="I45" t="s">
        <v>1385</v>
      </c>
      <c r="J45" t="s">
        <v>1870</v>
      </c>
      <c r="K45" t="s">
        <v>1870</v>
      </c>
      <c r="L45" s="246" t="s">
        <v>1393</v>
      </c>
      <c r="M45" t="s">
        <v>2131</v>
      </c>
      <c r="N45" t="s">
        <v>1870</v>
      </c>
      <c r="O45" s="247" t="s">
        <v>2073</v>
      </c>
      <c r="P45" s="3">
        <v>0</v>
      </c>
      <c r="Q45" s="3">
        <v>0</v>
      </c>
      <c r="R45" s="3">
        <v>0</v>
      </c>
    </row>
    <row r="46" spans="1:18" x14ac:dyDescent="0.3">
      <c r="A46" s="249" t="s">
        <v>1870</v>
      </c>
      <c r="B46" s="246">
        <v>101</v>
      </c>
      <c r="C46" t="s">
        <v>1870</v>
      </c>
      <c r="D46" t="s">
        <v>1870</v>
      </c>
      <c r="E46" s="246" t="s">
        <v>45</v>
      </c>
      <c r="F46">
        <v>0</v>
      </c>
      <c r="G46" t="s">
        <v>1870</v>
      </c>
      <c r="H46" s="248" t="s">
        <v>44</v>
      </c>
      <c r="I46" t="s">
        <v>1385</v>
      </c>
      <c r="J46" t="s">
        <v>1870</v>
      </c>
      <c r="K46" t="s">
        <v>1870</v>
      </c>
      <c r="L46" s="246" t="s">
        <v>1368</v>
      </c>
      <c r="M46" t="s">
        <v>2131</v>
      </c>
      <c r="N46" t="s">
        <v>1870</v>
      </c>
      <c r="O46" s="247" t="s">
        <v>1392</v>
      </c>
      <c r="Q46" s="3">
        <v>0</v>
      </c>
      <c r="R46" s="3">
        <v>0</v>
      </c>
    </row>
    <row r="47" spans="1:18" x14ac:dyDescent="0.3">
      <c r="A47" s="249" t="s">
        <v>1870</v>
      </c>
      <c r="B47" s="246">
        <v>101</v>
      </c>
      <c r="C47" t="s">
        <v>1870</v>
      </c>
      <c r="D47" t="s">
        <v>1870</v>
      </c>
      <c r="E47" s="246" t="s">
        <v>45</v>
      </c>
      <c r="F47">
        <v>0</v>
      </c>
      <c r="G47" t="s">
        <v>1870</v>
      </c>
      <c r="H47" s="248" t="s">
        <v>44</v>
      </c>
      <c r="I47" t="s">
        <v>1385</v>
      </c>
      <c r="J47" t="s">
        <v>1870</v>
      </c>
      <c r="K47" t="s">
        <v>1870</v>
      </c>
      <c r="L47" s="246" t="s">
        <v>1380</v>
      </c>
      <c r="M47" t="s">
        <v>2131</v>
      </c>
      <c r="N47" t="s">
        <v>1870</v>
      </c>
      <c r="O47" s="247" t="s">
        <v>1381</v>
      </c>
      <c r="Q47" s="3">
        <v>0</v>
      </c>
      <c r="R47" s="3">
        <v>0</v>
      </c>
    </row>
    <row r="48" spans="1:18" x14ac:dyDescent="0.3">
      <c r="A48" s="249" t="s">
        <v>1870</v>
      </c>
      <c r="B48" s="246">
        <v>101</v>
      </c>
      <c r="C48" t="s">
        <v>1870</v>
      </c>
      <c r="D48" t="s">
        <v>1870</v>
      </c>
      <c r="E48" s="246" t="s">
        <v>45</v>
      </c>
      <c r="F48">
        <v>0</v>
      </c>
      <c r="G48" t="s">
        <v>1870</v>
      </c>
      <c r="H48" s="248" t="s">
        <v>44</v>
      </c>
      <c r="I48" t="s">
        <v>1385</v>
      </c>
      <c r="J48" t="s">
        <v>1870</v>
      </c>
      <c r="K48" t="s">
        <v>1870</v>
      </c>
      <c r="L48" s="246" t="s">
        <v>1390</v>
      </c>
      <c r="M48" t="s">
        <v>2131</v>
      </c>
      <c r="N48" t="s">
        <v>1870</v>
      </c>
      <c r="O48" s="247" t="s">
        <v>1391</v>
      </c>
      <c r="P48" s="3">
        <v>78132.03</v>
      </c>
      <c r="Q48" s="3">
        <v>74000</v>
      </c>
      <c r="R48" s="3">
        <v>78132.03</v>
      </c>
    </row>
    <row r="49" spans="1:18" x14ac:dyDescent="0.3">
      <c r="A49" s="249" t="s">
        <v>1870</v>
      </c>
      <c r="B49" s="246">
        <v>101</v>
      </c>
      <c r="C49" t="s">
        <v>1870</v>
      </c>
      <c r="D49" t="s">
        <v>1870</v>
      </c>
      <c r="E49" s="246" t="s">
        <v>45</v>
      </c>
      <c r="F49">
        <v>0</v>
      </c>
      <c r="G49" t="s">
        <v>1870</v>
      </c>
      <c r="H49" s="248" t="s">
        <v>44</v>
      </c>
      <c r="I49" t="s">
        <v>1385</v>
      </c>
      <c r="J49" t="s">
        <v>1870</v>
      </c>
      <c r="K49" t="s">
        <v>1870</v>
      </c>
      <c r="L49" s="246" t="s">
        <v>1390</v>
      </c>
      <c r="M49" s="246" t="s">
        <v>2135</v>
      </c>
      <c r="N49" t="s">
        <v>1870</v>
      </c>
      <c r="O49" s="247" t="s">
        <v>1402</v>
      </c>
      <c r="Q49" s="3">
        <v>0</v>
      </c>
      <c r="R49" s="3">
        <v>0</v>
      </c>
    </row>
    <row r="50" spans="1:18" x14ac:dyDescent="0.3">
      <c r="A50" s="249" t="s">
        <v>1870</v>
      </c>
      <c r="B50" s="246">
        <v>101</v>
      </c>
      <c r="C50" t="s">
        <v>1870</v>
      </c>
      <c r="D50" t="s">
        <v>1870</v>
      </c>
      <c r="E50" s="246" t="s">
        <v>48</v>
      </c>
      <c r="F50">
        <v>0</v>
      </c>
      <c r="G50" t="s">
        <v>1870</v>
      </c>
      <c r="H50" s="248" t="s">
        <v>47</v>
      </c>
      <c r="I50" t="s">
        <v>1385</v>
      </c>
      <c r="J50" t="s">
        <v>1870</v>
      </c>
      <c r="K50" t="s">
        <v>1870</v>
      </c>
      <c r="L50" s="246" t="s">
        <v>1397</v>
      </c>
      <c r="M50" s="246" t="s">
        <v>2131</v>
      </c>
      <c r="N50" t="s">
        <v>1870</v>
      </c>
      <c r="O50" s="247" t="s">
        <v>1400</v>
      </c>
      <c r="P50" s="3">
        <v>106290.15</v>
      </c>
      <c r="Q50" s="3">
        <v>110000</v>
      </c>
      <c r="R50" s="3">
        <v>106290.15</v>
      </c>
    </row>
    <row r="51" spans="1:18" x14ac:dyDescent="0.3">
      <c r="A51" s="249" t="s">
        <v>1870</v>
      </c>
      <c r="B51" s="246">
        <v>101</v>
      </c>
      <c r="C51" t="s">
        <v>1870</v>
      </c>
      <c r="D51" t="s">
        <v>1870</v>
      </c>
      <c r="E51" s="246" t="s">
        <v>48</v>
      </c>
      <c r="F51">
        <v>0</v>
      </c>
      <c r="G51" t="s">
        <v>1870</v>
      </c>
      <c r="H51" s="248" t="s">
        <v>47</v>
      </c>
      <c r="I51" t="s">
        <v>1385</v>
      </c>
      <c r="J51" t="s">
        <v>1870</v>
      </c>
      <c r="K51" t="s">
        <v>1870</v>
      </c>
      <c r="L51" s="246" t="s">
        <v>1398</v>
      </c>
      <c r="M51" t="s">
        <v>2131</v>
      </c>
      <c r="N51" t="s">
        <v>1870</v>
      </c>
      <c r="O51" s="247" t="s">
        <v>2043</v>
      </c>
      <c r="Q51" s="3">
        <v>0</v>
      </c>
      <c r="R51" s="3">
        <v>0</v>
      </c>
    </row>
    <row r="52" spans="1:18" x14ac:dyDescent="0.3">
      <c r="A52" s="249" t="s">
        <v>1870</v>
      </c>
      <c r="B52" s="246">
        <v>101</v>
      </c>
      <c r="C52" t="s">
        <v>1870</v>
      </c>
      <c r="D52" t="s">
        <v>1870</v>
      </c>
      <c r="E52" s="246" t="s">
        <v>48</v>
      </c>
      <c r="F52" s="7">
        <v>1</v>
      </c>
      <c r="G52" t="s">
        <v>1870</v>
      </c>
      <c r="H52" t="s">
        <v>50</v>
      </c>
      <c r="I52" s="7" t="s">
        <v>1489</v>
      </c>
      <c r="J52" t="s">
        <v>1870</v>
      </c>
      <c r="K52" t="s">
        <v>1870</v>
      </c>
      <c r="L52" s="7" t="s">
        <v>1489</v>
      </c>
      <c r="M52" s="7" t="s">
        <v>1489</v>
      </c>
      <c r="N52" t="s">
        <v>1870</v>
      </c>
      <c r="O52" t="s">
        <v>1489</v>
      </c>
      <c r="P52" s="3">
        <v>0</v>
      </c>
      <c r="Q52" s="3">
        <v>0</v>
      </c>
      <c r="R52" s="3">
        <v>0</v>
      </c>
    </row>
    <row r="53" spans="1:18" x14ac:dyDescent="0.3">
      <c r="A53" s="249" t="s">
        <v>1870</v>
      </c>
      <c r="B53" s="246">
        <v>101</v>
      </c>
      <c r="C53" t="s">
        <v>1870</v>
      </c>
      <c r="D53" t="s">
        <v>1870</v>
      </c>
      <c r="E53" s="7" t="s">
        <v>53</v>
      </c>
      <c r="F53" s="7">
        <v>0</v>
      </c>
      <c r="G53" t="s">
        <v>1870</v>
      </c>
      <c r="H53" t="s">
        <v>52</v>
      </c>
      <c r="I53" t="s">
        <v>1489</v>
      </c>
      <c r="J53" t="s">
        <v>1870</v>
      </c>
      <c r="K53" t="s">
        <v>1870</v>
      </c>
      <c r="L53" t="s">
        <v>1489</v>
      </c>
      <c r="M53" t="s">
        <v>1489</v>
      </c>
      <c r="N53" t="s">
        <v>1870</v>
      </c>
      <c r="O53" t="s">
        <v>1489</v>
      </c>
      <c r="P53" s="3">
        <v>0</v>
      </c>
      <c r="Q53" s="3">
        <v>0</v>
      </c>
      <c r="R53" s="3">
        <v>0</v>
      </c>
    </row>
    <row r="54" spans="1:18" x14ac:dyDescent="0.3">
      <c r="A54" s="249" t="s">
        <v>1870</v>
      </c>
      <c r="B54" s="246">
        <v>101</v>
      </c>
      <c r="C54" t="s">
        <v>1870</v>
      </c>
      <c r="D54" t="s">
        <v>1870</v>
      </c>
      <c r="E54" s="7" t="s">
        <v>28</v>
      </c>
      <c r="F54" s="7">
        <v>1</v>
      </c>
      <c r="G54" t="s">
        <v>1870</v>
      </c>
      <c r="H54" t="s">
        <v>55</v>
      </c>
      <c r="I54" t="s">
        <v>1489</v>
      </c>
      <c r="J54" t="s">
        <v>1870</v>
      </c>
      <c r="K54" t="s">
        <v>1870</v>
      </c>
      <c r="L54" t="s">
        <v>1489</v>
      </c>
      <c r="M54" t="s">
        <v>1489</v>
      </c>
      <c r="N54" t="s">
        <v>1870</v>
      </c>
      <c r="O54" t="s">
        <v>1489</v>
      </c>
      <c r="P54" s="3">
        <v>0</v>
      </c>
      <c r="Q54" s="3">
        <v>0</v>
      </c>
      <c r="R54" s="3">
        <v>0</v>
      </c>
    </row>
    <row r="55" spans="1:18" x14ac:dyDescent="0.3">
      <c r="A55" s="249" t="s">
        <v>1870</v>
      </c>
      <c r="B55" s="246">
        <v>101</v>
      </c>
      <c r="C55" t="s">
        <v>1870</v>
      </c>
      <c r="D55" t="s">
        <v>1870</v>
      </c>
      <c r="E55" s="246" t="s">
        <v>58</v>
      </c>
      <c r="F55" s="7">
        <v>0</v>
      </c>
      <c r="G55" t="s">
        <v>1870</v>
      </c>
      <c r="H55" s="248" t="s">
        <v>57</v>
      </c>
      <c r="I55" s="246" t="s">
        <v>2128</v>
      </c>
      <c r="J55" t="s">
        <v>1870</v>
      </c>
      <c r="K55" t="s">
        <v>1870</v>
      </c>
      <c r="L55" s="246" t="s">
        <v>2126</v>
      </c>
      <c r="M55" s="7" t="s">
        <v>2131</v>
      </c>
      <c r="N55" t="s">
        <v>1870</v>
      </c>
      <c r="O55" s="247" t="s">
        <v>2127</v>
      </c>
      <c r="P55" s="3">
        <v>0</v>
      </c>
      <c r="Q55" s="3">
        <v>0</v>
      </c>
      <c r="R55" s="3">
        <v>0</v>
      </c>
    </row>
    <row r="56" spans="1:18" x14ac:dyDescent="0.3">
      <c r="A56" s="249" t="s">
        <v>1870</v>
      </c>
      <c r="B56" s="246">
        <v>101</v>
      </c>
      <c r="C56" t="s">
        <v>1870</v>
      </c>
      <c r="D56" t="s">
        <v>1870</v>
      </c>
      <c r="E56" s="7" t="s">
        <v>61</v>
      </c>
      <c r="F56">
        <v>0</v>
      </c>
      <c r="G56" t="s">
        <v>1870</v>
      </c>
      <c r="H56" t="s">
        <v>60</v>
      </c>
      <c r="I56" s="7" t="s">
        <v>1489</v>
      </c>
      <c r="J56" t="s">
        <v>1870</v>
      </c>
      <c r="K56" t="s">
        <v>1870</v>
      </c>
      <c r="L56" s="7" t="s">
        <v>1489</v>
      </c>
      <c r="M56" s="7" t="s">
        <v>1489</v>
      </c>
      <c r="N56" t="s">
        <v>1870</v>
      </c>
      <c r="O56" t="s">
        <v>1489</v>
      </c>
      <c r="P56" s="3">
        <v>0</v>
      </c>
      <c r="Q56" s="3">
        <v>0</v>
      </c>
      <c r="R56" s="3">
        <v>0</v>
      </c>
    </row>
    <row r="57" spans="1:18" x14ac:dyDescent="0.3">
      <c r="A57" s="249" t="s">
        <v>1870</v>
      </c>
      <c r="B57" s="246">
        <v>101</v>
      </c>
      <c r="C57" t="s">
        <v>1870</v>
      </c>
      <c r="D57" t="s">
        <v>1870</v>
      </c>
      <c r="E57" s="7" t="s">
        <v>64</v>
      </c>
      <c r="F57">
        <v>0</v>
      </c>
      <c r="G57" t="s">
        <v>1870</v>
      </c>
      <c r="H57" t="s">
        <v>63</v>
      </c>
      <c r="I57" t="s">
        <v>1489</v>
      </c>
      <c r="J57" t="s">
        <v>1870</v>
      </c>
      <c r="K57" t="s">
        <v>1870</v>
      </c>
      <c r="L57" t="s">
        <v>1489</v>
      </c>
      <c r="M57" t="s">
        <v>1489</v>
      </c>
      <c r="N57" t="s">
        <v>1870</v>
      </c>
      <c r="O57" t="s">
        <v>1489</v>
      </c>
      <c r="P57" s="3">
        <v>0</v>
      </c>
      <c r="Q57" s="3">
        <v>0</v>
      </c>
      <c r="R57" s="3">
        <v>0</v>
      </c>
    </row>
    <row r="58" spans="1:18" x14ac:dyDescent="0.3">
      <c r="A58" s="249" t="s">
        <v>1870</v>
      </c>
      <c r="B58" s="246">
        <v>101</v>
      </c>
      <c r="C58" t="s">
        <v>1870</v>
      </c>
      <c r="D58" t="s">
        <v>1870</v>
      </c>
      <c r="E58" s="7" t="s">
        <v>67</v>
      </c>
      <c r="F58">
        <v>0</v>
      </c>
      <c r="G58" t="s">
        <v>1870</v>
      </c>
      <c r="H58" t="s">
        <v>66</v>
      </c>
      <c r="I58" t="s">
        <v>1489</v>
      </c>
      <c r="J58" t="s">
        <v>1870</v>
      </c>
      <c r="K58" t="s">
        <v>1870</v>
      </c>
      <c r="L58" t="s">
        <v>1489</v>
      </c>
      <c r="M58" t="s">
        <v>1489</v>
      </c>
      <c r="N58" t="s">
        <v>1870</v>
      </c>
      <c r="O58" t="s">
        <v>1489</v>
      </c>
      <c r="P58" s="3">
        <v>0</v>
      </c>
      <c r="Q58" s="3">
        <v>0</v>
      </c>
      <c r="R58" s="3">
        <v>0</v>
      </c>
    </row>
    <row r="59" spans="1:18" x14ac:dyDescent="0.3">
      <c r="A59" s="249" t="s">
        <v>1870</v>
      </c>
      <c r="B59" s="246">
        <v>110</v>
      </c>
      <c r="C59" t="s">
        <v>1870</v>
      </c>
      <c r="D59" t="s">
        <v>1870</v>
      </c>
      <c r="E59" s="246">
        <v>306</v>
      </c>
      <c r="F59">
        <v>0</v>
      </c>
      <c r="G59" t="s">
        <v>1870</v>
      </c>
      <c r="H59" s="248" t="s">
        <v>78</v>
      </c>
      <c r="I59" s="246" t="s">
        <v>1408</v>
      </c>
      <c r="J59" t="s">
        <v>1870</v>
      </c>
      <c r="K59" t="s">
        <v>1870</v>
      </c>
      <c r="L59" s="246" t="s">
        <v>1540</v>
      </c>
      <c r="M59" s="7" t="s">
        <v>2131</v>
      </c>
      <c r="N59" t="s">
        <v>1870</v>
      </c>
      <c r="O59" s="247" t="s">
        <v>1543</v>
      </c>
      <c r="Q59" s="3">
        <v>0</v>
      </c>
    </row>
    <row r="60" spans="1:18" x14ac:dyDescent="0.3">
      <c r="A60" s="249" t="s">
        <v>1870</v>
      </c>
      <c r="B60" s="246">
        <v>110</v>
      </c>
      <c r="C60" t="s">
        <v>1870</v>
      </c>
      <c r="D60" t="s">
        <v>1870</v>
      </c>
      <c r="E60" s="246" t="s">
        <v>3</v>
      </c>
      <c r="F60">
        <v>0</v>
      </c>
      <c r="G60" t="s">
        <v>1870</v>
      </c>
      <c r="H60" s="248" t="s">
        <v>70</v>
      </c>
      <c r="I60" t="s">
        <v>1408</v>
      </c>
      <c r="J60" t="s">
        <v>1870</v>
      </c>
      <c r="K60" t="s">
        <v>1870</v>
      </c>
      <c r="L60" s="246" t="s">
        <v>1410</v>
      </c>
      <c r="M60" t="s">
        <v>2131</v>
      </c>
      <c r="N60" t="s">
        <v>1870</v>
      </c>
      <c r="O60" s="247" t="s">
        <v>1411</v>
      </c>
      <c r="P60" s="3">
        <v>217539.65</v>
      </c>
      <c r="Q60" s="3">
        <v>225000</v>
      </c>
      <c r="R60" s="3">
        <v>217539.65</v>
      </c>
    </row>
    <row r="61" spans="1:18" x14ac:dyDescent="0.3">
      <c r="A61" s="249" t="s">
        <v>1870</v>
      </c>
      <c r="B61" s="246">
        <v>110</v>
      </c>
      <c r="C61" t="s">
        <v>1870</v>
      </c>
      <c r="D61" t="s">
        <v>1870</v>
      </c>
      <c r="E61" s="246" t="s">
        <v>3</v>
      </c>
      <c r="F61">
        <v>0</v>
      </c>
      <c r="G61" t="s">
        <v>1870</v>
      </c>
      <c r="H61" s="248" t="s">
        <v>70</v>
      </c>
      <c r="I61" t="s">
        <v>1408</v>
      </c>
      <c r="J61" t="s">
        <v>1870</v>
      </c>
      <c r="K61" t="s">
        <v>1870</v>
      </c>
      <c r="L61" s="246" t="s">
        <v>1410</v>
      </c>
      <c r="M61" s="246" t="s">
        <v>2138</v>
      </c>
      <c r="N61" t="s">
        <v>1870</v>
      </c>
      <c r="O61" s="247" t="s">
        <v>1424</v>
      </c>
      <c r="Q61" s="3">
        <v>0</v>
      </c>
      <c r="R61" s="3">
        <v>0</v>
      </c>
    </row>
    <row r="62" spans="1:18" x14ac:dyDescent="0.3">
      <c r="A62" s="249" t="s">
        <v>1870</v>
      </c>
      <c r="B62" s="246">
        <v>110</v>
      </c>
      <c r="C62" t="s">
        <v>1870</v>
      </c>
      <c r="D62" t="s">
        <v>1870</v>
      </c>
      <c r="E62" s="246" t="s">
        <v>16</v>
      </c>
      <c r="F62">
        <v>0</v>
      </c>
      <c r="G62" t="s">
        <v>1870</v>
      </c>
      <c r="H62" s="248" t="s">
        <v>72</v>
      </c>
      <c r="I62" t="s">
        <v>1408</v>
      </c>
      <c r="J62" t="s">
        <v>1870</v>
      </c>
      <c r="K62" t="s">
        <v>1870</v>
      </c>
      <c r="L62" s="246" t="s">
        <v>1367</v>
      </c>
      <c r="M62" s="246" t="s">
        <v>2131</v>
      </c>
      <c r="N62" t="s">
        <v>1870</v>
      </c>
      <c r="O62" s="247" t="s">
        <v>1378</v>
      </c>
      <c r="P62" s="3">
        <v>20522.349999999999</v>
      </c>
      <c r="Q62" s="3">
        <v>18000</v>
      </c>
      <c r="R62" s="3">
        <v>20522.349999999999</v>
      </c>
    </row>
    <row r="63" spans="1:18" x14ac:dyDescent="0.3">
      <c r="A63" s="249" t="s">
        <v>1870</v>
      </c>
      <c r="B63" s="246">
        <v>110</v>
      </c>
      <c r="C63" t="s">
        <v>1870</v>
      </c>
      <c r="D63" t="s">
        <v>1870</v>
      </c>
      <c r="E63" s="246" t="s">
        <v>16</v>
      </c>
      <c r="F63">
        <v>0</v>
      </c>
      <c r="G63" t="s">
        <v>1870</v>
      </c>
      <c r="H63" s="248" t="s">
        <v>72</v>
      </c>
      <c r="I63" t="s">
        <v>1408</v>
      </c>
      <c r="J63" t="s">
        <v>1870</v>
      </c>
      <c r="K63" t="s">
        <v>1870</v>
      </c>
      <c r="L63" s="246" t="s">
        <v>1413</v>
      </c>
      <c r="M63" t="s">
        <v>2131</v>
      </c>
      <c r="N63" t="s">
        <v>1870</v>
      </c>
      <c r="O63" s="247" t="s">
        <v>1414</v>
      </c>
      <c r="Q63" s="3">
        <v>0</v>
      </c>
    </row>
    <row r="64" spans="1:18" x14ac:dyDescent="0.3">
      <c r="A64" s="249" t="s">
        <v>1870</v>
      </c>
      <c r="B64" s="246">
        <v>110</v>
      </c>
      <c r="C64" t="s">
        <v>1870</v>
      </c>
      <c r="D64" t="s">
        <v>1870</v>
      </c>
      <c r="E64" s="246" t="s">
        <v>38</v>
      </c>
      <c r="F64">
        <v>0</v>
      </c>
      <c r="G64" t="s">
        <v>1870</v>
      </c>
      <c r="H64" s="248" t="s">
        <v>74</v>
      </c>
      <c r="I64" t="s">
        <v>1408</v>
      </c>
      <c r="J64" t="s">
        <v>1870</v>
      </c>
      <c r="K64" t="s">
        <v>1870</v>
      </c>
      <c r="L64" s="246" t="s">
        <v>1386</v>
      </c>
      <c r="M64" t="s">
        <v>2131</v>
      </c>
      <c r="N64" t="s">
        <v>1870</v>
      </c>
      <c r="O64" s="247" t="s">
        <v>1387</v>
      </c>
      <c r="P64" s="3">
        <v>21458</v>
      </c>
      <c r="Q64" s="3">
        <v>24000</v>
      </c>
      <c r="R64" s="3">
        <v>21458</v>
      </c>
    </row>
    <row r="65" spans="1:18" x14ac:dyDescent="0.3">
      <c r="A65" s="249" t="s">
        <v>1870</v>
      </c>
      <c r="B65" s="246">
        <v>110</v>
      </c>
      <c r="C65" t="s">
        <v>1870</v>
      </c>
      <c r="D65" t="s">
        <v>1870</v>
      </c>
      <c r="E65" s="246" t="s">
        <v>19</v>
      </c>
      <c r="F65">
        <v>0</v>
      </c>
      <c r="G65" t="s">
        <v>1870</v>
      </c>
      <c r="H65" s="248" t="s">
        <v>76</v>
      </c>
      <c r="I65" t="s">
        <v>1408</v>
      </c>
      <c r="J65" t="s">
        <v>1870</v>
      </c>
      <c r="K65" t="s">
        <v>1870</v>
      </c>
      <c r="L65" s="246" t="s">
        <v>1375</v>
      </c>
      <c r="M65" t="s">
        <v>2131</v>
      </c>
      <c r="N65" t="s">
        <v>1870</v>
      </c>
      <c r="O65" s="247" t="s">
        <v>1379</v>
      </c>
      <c r="P65" s="3">
        <v>5062.3500000000004</v>
      </c>
      <c r="Q65" s="3">
        <v>4600</v>
      </c>
      <c r="R65" s="3">
        <v>5062.3500000000004</v>
      </c>
    </row>
    <row r="66" spans="1:18" x14ac:dyDescent="0.3">
      <c r="A66" s="249" t="s">
        <v>1870</v>
      </c>
      <c r="B66" s="246">
        <v>110</v>
      </c>
      <c r="C66" t="s">
        <v>1870</v>
      </c>
      <c r="D66" t="s">
        <v>1870</v>
      </c>
      <c r="E66" s="246" t="s">
        <v>22</v>
      </c>
      <c r="F66">
        <v>0</v>
      </c>
      <c r="G66" t="s">
        <v>1870</v>
      </c>
      <c r="H66" s="248" t="s">
        <v>78</v>
      </c>
      <c r="I66" t="s">
        <v>1408</v>
      </c>
      <c r="J66" t="s">
        <v>1870</v>
      </c>
      <c r="K66" t="s">
        <v>1870</v>
      </c>
      <c r="L66" s="246" t="s">
        <v>1382</v>
      </c>
      <c r="M66" t="s">
        <v>2131</v>
      </c>
      <c r="N66" t="s">
        <v>1870</v>
      </c>
      <c r="O66" s="247" t="s">
        <v>1383</v>
      </c>
      <c r="P66" s="3">
        <v>1828.8</v>
      </c>
      <c r="Q66" s="3">
        <v>2500</v>
      </c>
      <c r="R66" s="3">
        <v>1828.8</v>
      </c>
    </row>
    <row r="67" spans="1:18" x14ac:dyDescent="0.3">
      <c r="A67" s="249" t="s">
        <v>1870</v>
      </c>
      <c r="B67" s="246">
        <v>110</v>
      </c>
      <c r="C67" t="s">
        <v>1870</v>
      </c>
      <c r="D67" t="s">
        <v>1870</v>
      </c>
      <c r="E67" s="246" t="s">
        <v>22</v>
      </c>
      <c r="F67">
        <v>0</v>
      </c>
      <c r="G67" t="s">
        <v>1870</v>
      </c>
      <c r="H67" s="248" t="s">
        <v>78</v>
      </c>
      <c r="I67" t="s">
        <v>1408</v>
      </c>
      <c r="J67" t="s">
        <v>1870</v>
      </c>
      <c r="K67" t="s">
        <v>1870</v>
      </c>
      <c r="L67" s="246" t="s">
        <v>1380</v>
      </c>
      <c r="M67" t="s">
        <v>2131</v>
      </c>
      <c r="N67" t="s">
        <v>1870</v>
      </c>
      <c r="O67" s="247" t="s">
        <v>1381</v>
      </c>
      <c r="P67" s="3">
        <v>0</v>
      </c>
      <c r="Q67" s="3">
        <v>0</v>
      </c>
      <c r="R67" s="3">
        <v>0</v>
      </c>
    </row>
    <row r="68" spans="1:18" x14ac:dyDescent="0.3">
      <c r="A68" s="249" t="s">
        <v>1870</v>
      </c>
      <c r="B68" s="246">
        <v>110</v>
      </c>
      <c r="C68" t="s">
        <v>1870</v>
      </c>
      <c r="D68" t="s">
        <v>1870</v>
      </c>
      <c r="E68" s="246" t="s">
        <v>22</v>
      </c>
      <c r="F68">
        <v>0</v>
      </c>
      <c r="G68" t="s">
        <v>1870</v>
      </c>
      <c r="H68" s="248" t="s">
        <v>78</v>
      </c>
      <c r="I68" t="s">
        <v>1408</v>
      </c>
      <c r="J68" t="s">
        <v>1870</v>
      </c>
      <c r="K68" t="s">
        <v>1870</v>
      </c>
      <c r="L68" s="246" t="s">
        <v>1393</v>
      </c>
      <c r="M68" t="s">
        <v>2131</v>
      </c>
      <c r="N68" t="s">
        <v>1870</v>
      </c>
      <c r="O68" s="247" t="s">
        <v>2073</v>
      </c>
      <c r="P68" s="3">
        <v>0</v>
      </c>
      <c r="Q68" s="3">
        <v>0</v>
      </c>
      <c r="R68" s="3">
        <v>0</v>
      </c>
    </row>
    <row r="69" spans="1:18" x14ac:dyDescent="0.3">
      <c r="A69" s="249" t="s">
        <v>1870</v>
      </c>
      <c r="B69" s="246">
        <v>110</v>
      </c>
      <c r="C69" t="s">
        <v>1870</v>
      </c>
      <c r="D69" t="s">
        <v>1870</v>
      </c>
      <c r="E69" s="246" t="s">
        <v>81</v>
      </c>
      <c r="F69">
        <v>0</v>
      </c>
      <c r="G69" t="s">
        <v>1870</v>
      </c>
      <c r="H69" s="248" t="s">
        <v>80</v>
      </c>
      <c r="I69" t="s">
        <v>1408</v>
      </c>
      <c r="J69" t="s">
        <v>1870</v>
      </c>
      <c r="K69" t="s">
        <v>1870</v>
      </c>
      <c r="L69" s="246">
        <v>3130</v>
      </c>
      <c r="M69" s="246" t="s">
        <v>2135</v>
      </c>
      <c r="N69" t="s">
        <v>1870</v>
      </c>
      <c r="O69" s="247" t="s">
        <v>1402</v>
      </c>
      <c r="Q69" s="3">
        <v>0</v>
      </c>
    </row>
    <row r="70" spans="1:18" x14ac:dyDescent="0.3">
      <c r="A70" s="249" t="s">
        <v>1870</v>
      </c>
      <c r="B70" s="246">
        <v>110</v>
      </c>
      <c r="C70" t="s">
        <v>1870</v>
      </c>
      <c r="D70" t="s">
        <v>1870</v>
      </c>
      <c r="E70" s="246" t="s">
        <v>81</v>
      </c>
      <c r="F70">
        <v>0</v>
      </c>
      <c r="G70" t="s">
        <v>1870</v>
      </c>
      <c r="H70" s="248" t="s">
        <v>80</v>
      </c>
      <c r="I70" t="s">
        <v>1408</v>
      </c>
      <c r="J70" t="s">
        <v>1870</v>
      </c>
      <c r="K70" t="s">
        <v>1870</v>
      </c>
      <c r="L70" s="246" t="s">
        <v>1368</v>
      </c>
      <c r="M70" s="246" t="s">
        <v>2131</v>
      </c>
      <c r="N70" t="s">
        <v>1870</v>
      </c>
      <c r="O70" s="247" t="s">
        <v>1392</v>
      </c>
      <c r="P70" s="3">
        <v>2564.9</v>
      </c>
      <c r="Q70" s="3">
        <v>2500</v>
      </c>
      <c r="R70" s="3">
        <v>2564.9</v>
      </c>
    </row>
    <row r="71" spans="1:18" x14ac:dyDescent="0.3">
      <c r="A71" s="249" t="s">
        <v>1870</v>
      </c>
      <c r="B71" s="246">
        <v>110</v>
      </c>
      <c r="C71" t="s">
        <v>1870</v>
      </c>
      <c r="D71" t="s">
        <v>1870</v>
      </c>
      <c r="E71" s="7" t="s">
        <v>84</v>
      </c>
      <c r="F71">
        <v>0</v>
      </c>
      <c r="G71" t="s">
        <v>1870</v>
      </c>
      <c r="H71" t="s">
        <v>83</v>
      </c>
      <c r="I71" s="7" t="s">
        <v>1489</v>
      </c>
      <c r="J71" t="s">
        <v>1870</v>
      </c>
      <c r="K71" t="s">
        <v>1870</v>
      </c>
      <c r="L71" s="7" t="s">
        <v>1489</v>
      </c>
      <c r="M71" s="7" t="s">
        <v>1489</v>
      </c>
      <c r="N71" t="s">
        <v>1870</v>
      </c>
      <c r="O71" t="s">
        <v>1489</v>
      </c>
      <c r="P71" s="3">
        <v>0</v>
      </c>
      <c r="Q71" s="3">
        <v>0</v>
      </c>
      <c r="R71" s="3">
        <v>0</v>
      </c>
    </row>
    <row r="72" spans="1:18" x14ac:dyDescent="0.3">
      <c r="A72" s="249" t="s">
        <v>1870</v>
      </c>
      <c r="B72" s="246">
        <v>110</v>
      </c>
      <c r="C72" t="s">
        <v>1870</v>
      </c>
      <c r="D72" t="s">
        <v>1870</v>
      </c>
      <c r="E72" s="246" t="s">
        <v>48</v>
      </c>
      <c r="F72">
        <v>0</v>
      </c>
      <c r="G72" t="s">
        <v>1870</v>
      </c>
      <c r="H72" s="248" t="s">
        <v>86</v>
      </c>
      <c r="I72" s="246" t="s">
        <v>1409</v>
      </c>
      <c r="J72" t="s">
        <v>1870</v>
      </c>
      <c r="K72" t="s">
        <v>1870</v>
      </c>
      <c r="L72" s="246">
        <v>3130</v>
      </c>
      <c r="M72" s="246" t="s">
        <v>2132</v>
      </c>
      <c r="N72" t="s">
        <v>1870</v>
      </c>
      <c r="O72" s="247" t="s">
        <v>1406</v>
      </c>
      <c r="P72" s="3">
        <v>11733.78</v>
      </c>
      <c r="Q72" s="3">
        <v>15000</v>
      </c>
      <c r="R72" s="3">
        <v>11733.78</v>
      </c>
    </row>
    <row r="73" spans="1:18" x14ac:dyDescent="0.3">
      <c r="A73" s="249" t="s">
        <v>1870</v>
      </c>
      <c r="B73" s="246">
        <v>110</v>
      </c>
      <c r="C73" t="s">
        <v>1870</v>
      </c>
      <c r="D73" t="s">
        <v>1870</v>
      </c>
      <c r="E73" s="246" t="s">
        <v>48</v>
      </c>
      <c r="F73">
        <v>0</v>
      </c>
      <c r="G73" t="s">
        <v>1870</v>
      </c>
      <c r="H73" s="248" t="s">
        <v>86</v>
      </c>
      <c r="I73" s="246" t="s">
        <v>1415</v>
      </c>
      <c r="J73" t="s">
        <v>1870</v>
      </c>
      <c r="K73" t="s">
        <v>1870</v>
      </c>
      <c r="L73" s="246" t="s">
        <v>1434</v>
      </c>
      <c r="M73" s="246" t="s">
        <v>2131</v>
      </c>
      <c r="N73" t="s">
        <v>1870</v>
      </c>
      <c r="O73" s="247" t="s">
        <v>2075</v>
      </c>
      <c r="P73" s="3">
        <v>0</v>
      </c>
      <c r="Q73" s="3">
        <v>0</v>
      </c>
      <c r="R73" s="3">
        <v>0</v>
      </c>
    </row>
    <row r="74" spans="1:18" x14ac:dyDescent="0.3">
      <c r="A74" s="249" t="s">
        <v>1870</v>
      </c>
      <c r="B74" s="246">
        <v>110</v>
      </c>
      <c r="C74" t="s">
        <v>1870</v>
      </c>
      <c r="D74" t="s">
        <v>1870</v>
      </c>
      <c r="E74" s="246" t="s">
        <v>48</v>
      </c>
      <c r="F74" s="246">
        <v>1</v>
      </c>
      <c r="G74" t="s">
        <v>1870</v>
      </c>
      <c r="H74" s="248" t="s">
        <v>88</v>
      </c>
      <c r="I74" s="246" t="s">
        <v>1409</v>
      </c>
      <c r="J74" t="s">
        <v>1870</v>
      </c>
      <c r="K74" t="s">
        <v>1870</v>
      </c>
      <c r="L74" t="s">
        <v>1390</v>
      </c>
      <c r="M74" t="s">
        <v>2133</v>
      </c>
      <c r="N74" t="s">
        <v>1870</v>
      </c>
      <c r="O74" s="247" t="s">
        <v>2066</v>
      </c>
      <c r="P74" s="3">
        <v>11975.9</v>
      </c>
      <c r="Q74" s="3">
        <v>12500</v>
      </c>
      <c r="R74" s="3">
        <v>11975.9</v>
      </c>
    </row>
    <row r="75" spans="1:18" x14ac:dyDescent="0.3">
      <c r="A75" s="249" t="s">
        <v>1870</v>
      </c>
      <c r="B75" s="246">
        <v>110</v>
      </c>
      <c r="C75" t="s">
        <v>1870</v>
      </c>
      <c r="D75" t="s">
        <v>1870</v>
      </c>
      <c r="E75" s="246" t="s">
        <v>48</v>
      </c>
      <c r="F75" s="246">
        <v>1</v>
      </c>
      <c r="G75" t="s">
        <v>1870</v>
      </c>
      <c r="H75" s="248" t="s">
        <v>88</v>
      </c>
      <c r="I75" t="s">
        <v>1533</v>
      </c>
      <c r="J75" t="s">
        <v>1870</v>
      </c>
      <c r="K75" t="s">
        <v>1870</v>
      </c>
      <c r="L75" t="s">
        <v>1390</v>
      </c>
      <c r="M75" t="s">
        <v>2133</v>
      </c>
      <c r="N75" t="s">
        <v>1870</v>
      </c>
      <c r="O75" t="s">
        <v>2067</v>
      </c>
      <c r="P75" s="3">
        <v>0</v>
      </c>
      <c r="Q75" s="3">
        <v>0</v>
      </c>
      <c r="R75" s="3">
        <v>0</v>
      </c>
    </row>
    <row r="76" spans="1:18" x14ac:dyDescent="0.3">
      <c r="A76" s="249" t="s">
        <v>1870</v>
      </c>
      <c r="B76" s="246">
        <v>110</v>
      </c>
      <c r="C76" t="s">
        <v>1870</v>
      </c>
      <c r="D76" t="s">
        <v>1870</v>
      </c>
      <c r="E76" s="246" t="s">
        <v>48</v>
      </c>
      <c r="F76" s="246">
        <v>2</v>
      </c>
      <c r="G76" t="s">
        <v>1870</v>
      </c>
      <c r="H76" s="248" t="s">
        <v>90</v>
      </c>
      <c r="I76" t="s">
        <v>1409</v>
      </c>
      <c r="J76" t="s">
        <v>1870</v>
      </c>
      <c r="K76" t="s">
        <v>1870</v>
      </c>
      <c r="L76" s="246" t="s">
        <v>1418</v>
      </c>
      <c r="M76" s="246" t="s">
        <v>2131</v>
      </c>
      <c r="N76" t="s">
        <v>1870</v>
      </c>
      <c r="O76" s="247" t="s">
        <v>2090</v>
      </c>
      <c r="P76" s="3">
        <v>1940.4</v>
      </c>
      <c r="Q76" s="3">
        <v>17710</v>
      </c>
      <c r="R76" s="3">
        <v>1940.4</v>
      </c>
    </row>
    <row r="77" spans="1:18" x14ac:dyDescent="0.3">
      <c r="A77" s="249" t="s">
        <v>1870</v>
      </c>
      <c r="B77" s="246">
        <v>110</v>
      </c>
      <c r="C77" t="s">
        <v>1870</v>
      </c>
      <c r="D77" t="s">
        <v>1870</v>
      </c>
      <c r="E77" s="246" t="s">
        <v>93</v>
      </c>
      <c r="F77" s="246">
        <v>0</v>
      </c>
      <c r="G77" t="s">
        <v>1870</v>
      </c>
      <c r="H77" s="248" t="s">
        <v>92</v>
      </c>
      <c r="I77" t="s">
        <v>1409</v>
      </c>
      <c r="J77" t="s">
        <v>1870</v>
      </c>
      <c r="K77" t="s">
        <v>1870</v>
      </c>
      <c r="L77" s="246">
        <v>3130</v>
      </c>
      <c r="M77" s="246" t="s">
        <v>2135</v>
      </c>
      <c r="N77" t="s">
        <v>1870</v>
      </c>
      <c r="O77" s="247" t="s">
        <v>1402</v>
      </c>
      <c r="P77" s="3">
        <v>25338.25</v>
      </c>
      <c r="Q77" s="3">
        <v>28000</v>
      </c>
      <c r="R77" s="3">
        <v>25338.25</v>
      </c>
    </row>
    <row r="78" spans="1:18" x14ac:dyDescent="0.3">
      <c r="A78" s="249" t="s">
        <v>1870</v>
      </c>
      <c r="B78" s="246">
        <v>110</v>
      </c>
      <c r="C78" t="s">
        <v>1870</v>
      </c>
      <c r="D78" t="s">
        <v>1870</v>
      </c>
      <c r="E78" s="246" t="s">
        <v>93</v>
      </c>
      <c r="F78" s="246">
        <v>0</v>
      </c>
      <c r="G78" t="s">
        <v>1870</v>
      </c>
      <c r="H78" s="248" t="s">
        <v>92</v>
      </c>
      <c r="I78" s="246" t="s">
        <v>1539</v>
      </c>
      <c r="J78" t="s">
        <v>1870</v>
      </c>
      <c r="K78" t="s">
        <v>1870</v>
      </c>
      <c r="L78" s="246" t="s">
        <v>1390</v>
      </c>
      <c r="M78" t="s">
        <v>2135</v>
      </c>
      <c r="N78" t="s">
        <v>1870</v>
      </c>
      <c r="O78" s="247" t="s">
        <v>1402</v>
      </c>
    </row>
    <row r="79" spans="1:18" x14ac:dyDescent="0.3">
      <c r="A79" s="249" t="s">
        <v>1870</v>
      </c>
      <c r="B79" s="246">
        <v>110</v>
      </c>
      <c r="C79" t="s">
        <v>1870</v>
      </c>
      <c r="D79" t="s">
        <v>1870</v>
      </c>
      <c r="E79" s="246" t="s">
        <v>96</v>
      </c>
      <c r="F79">
        <v>0</v>
      </c>
      <c r="G79" t="s">
        <v>1870</v>
      </c>
      <c r="H79" s="248" t="s">
        <v>95</v>
      </c>
      <c r="I79" s="246" t="s">
        <v>1408</v>
      </c>
      <c r="J79" t="s">
        <v>1870</v>
      </c>
      <c r="K79" t="s">
        <v>1870</v>
      </c>
      <c r="L79" s="246">
        <v>3321</v>
      </c>
      <c r="M79" s="246" t="s">
        <v>2139</v>
      </c>
      <c r="N79" t="s">
        <v>1870</v>
      </c>
      <c r="O79" s="247" t="s">
        <v>1608</v>
      </c>
      <c r="P79" s="3">
        <v>14863.75</v>
      </c>
      <c r="Q79" s="3">
        <v>0</v>
      </c>
      <c r="R79" s="3">
        <v>0</v>
      </c>
    </row>
    <row r="80" spans="1:18" x14ac:dyDescent="0.3">
      <c r="A80" s="249" t="s">
        <v>1870</v>
      </c>
      <c r="B80" s="246">
        <v>110</v>
      </c>
      <c r="C80" t="s">
        <v>1870</v>
      </c>
      <c r="D80" t="s">
        <v>1870</v>
      </c>
      <c r="E80" s="246" t="s">
        <v>99</v>
      </c>
      <c r="F80">
        <v>0</v>
      </c>
      <c r="G80" t="s">
        <v>1870</v>
      </c>
      <c r="H80" s="248" t="s">
        <v>98</v>
      </c>
      <c r="I80" s="246" t="s">
        <v>1420</v>
      </c>
      <c r="J80" t="s">
        <v>1870</v>
      </c>
      <c r="K80" t="s">
        <v>1870</v>
      </c>
      <c r="L80" s="246" t="s">
        <v>1552</v>
      </c>
      <c r="M80" s="246" t="s">
        <v>2131</v>
      </c>
      <c r="N80" t="s">
        <v>1870</v>
      </c>
      <c r="O80" s="247" t="s">
        <v>2025</v>
      </c>
    </row>
    <row r="81" spans="1:18" x14ac:dyDescent="0.3">
      <c r="A81" s="249" t="s">
        <v>1870</v>
      </c>
      <c r="B81" s="246">
        <v>110</v>
      </c>
      <c r="C81" t="s">
        <v>1870</v>
      </c>
      <c r="D81" t="s">
        <v>1870</v>
      </c>
      <c r="E81" s="246" t="s">
        <v>99</v>
      </c>
      <c r="F81">
        <v>0</v>
      </c>
      <c r="G81" t="s">
        <v>1870</v>
      </c>
      <c r="H81" s="248" t="s">
        <v>98</v>
      </c>
      <c r="I81" s="246" t="s">
        <v>1420</v>
      </c>
      <c r="J81" t="s">
        <v>1870</v>
      </c>
      <c r="K81" t="s">
        <v>1870</v>
      </c>
      <c r="L81" s="246" t="s">
        <v>1421</v>
      </c>
      <c r="M81" t="s">
        <v>2131</v>
      </c>
      <c r="N81" t="s">
        <v>1870</v>
      </c>
      <c r="O81" s="247" t="s">
        <v>1422</v>
      </c>
      <c r="P81" s="3">
        <v>26540</v>
      </c>
      <c r="Q81" s="3">
        <v>20000</v>
      </c>
      <c r="R81" s="3">
        <v>59232.25</v>
      </c>
    </row>
    <row r="82" spans="1:18" x14ac:dyDescent="0.3">
      <c r="A82" s="249" t="s">
        <v>1870</v>
      </c>
      <c r="B82" s="246">
        <v>110</v>
      </c>
      <c r="C82" t="s">
        <v>1870</v>
      </c>
      <c r="D82" t="s">
        <v>1870</v>
      </c>
      <c r="E82" s="246" t="s">
        <v>99</v>
      </c>
      <c r="F82">
        <v>0</v>
      </c>
      <c r="G82" t="s">
        <v>1870</v>
      </c>
      <c r="H82" s="248" t="s">
        <v>98</v>
      </c>
      <c r="I82" s="246" t="s">
        <v>1420</v>
      </c>
      <c r="J82" t="s">
        <v>1870</v>
      </c>
      <c r="K82" t="s">
        <v>1870</v>
      </c>
      <c r="L82" s="246" t="s">
        <v>1562</v>
      </c>
      <c r="M82" t="s">
        <v>2131</v>
      </c>
      <c r="N82" t="s">
        <v>1870</v>
      </c>
      <c r="O82" s="247" t="s">
        <v>2026</v>
      </c>
    </row>
    <row r="83" spans="1:18" x14ac:dyDescent="0.3">
      <c r="A83" s="249" t="s">
        <v>1870</v>
      </c>
      <c r="B83" s="246">
        <v>110</v>
      </c>
      <c r="C83" t="s">
        <v>1870</v>
      </c>
      <c r="D83" t="s">
        <v>1870</v>
      </c>
      <c r="E83" s="246" t="s">
        <v>99</v>
      </c>
      <c r="F83" s="246">
        <v>1</v>
      </c>
      <c r="G83" t="s">
        <v>1870</v>
      </c>
      <c r="H83" s="248" t="s">
        <v>101</v>
      </c>
      <c r="I83" t="s">
        <v>1420</v>
      </c>
      <c r="J83" t="s">
        <v>1870</v>
      </c>
      <c r="K83" t="s">
        <v>1870</v>
      </c>
      <c r="L83" s="246" t="s">
        <v>1552</v>
      </c>
      <c r="M83" t="s">
        <v>2131</v>
      </c>
      <c r="N83" t="s">
        <v>1870</v>
      </c>
      <c r="O83" s="247" t="s">
        <v>2025</v>
      </c>
    </row>
    <row r="84" spans="1:18" x14ac:dyDescent="0.3">
      <c r="A84" s="249" t="s">
        <v>1870</v>
      </c>
      <c r="B84" s="246">
        <v>110</v>
      </c>
      <c r="C84" t="s">
        <v>1870</v>
      </c>
      <c r="D84" t="s">
        <v>1870</v>
      </c>
      <c r="E84" s="246" t="s">
        <v>99</v>
      </c>
      <c r="F84" s="246">
        <v>1</v>
      </c>
      <c r="G84" t="s">
        <v>1870</v>
      </c>
      <c r="H84" s="248" t="s">
        <v>101</v>
      </c>
      <c r="I84" t="s">
        <v>1420</v>
      </c>
      <c r="J84" t="s">
        <v>1870</v>
      </c>
      <c r="K84" t="s">
        <v>1870</v>
      </c>
      <c r="L84" s="246" t="s">
        <v>1421</v>
      </c>
      <c r="M84" t="s">
        <v>2131</v>
      </c>
      <c r="N84" t="s">
        <v>1870</v>
      </c>
      <c r="O84" s="247" t="s">
        <v>1422</v>
      </c>
      <c r="P84" s="3">
        <v>32692.25</v>
      </c>
      <c r="Q84" s="3">
        <v>32000</v>
      </c>
      <c r="R84" s="3">
        <v>0</v>
      </c>
    </row>
    <row r="85" spans="1:18" x14ac:dyDescent="0.3">
      <c r="A85" s="249" t="s">
        <v>1870</v>
      </c>
      <c r="B85" s="246">
        <v>110</v>
      </c>
      <c r="C85" t="s">
        <v>1870</v>
      </c>
      <c r="D85" t="s">
        <v>1870</v>
      </c>
      <c r="E85" s="246" t="s">
        <v>99</v>
      </c>
      <c r="F85" s="246">
        <v>1</v>
      </c>
      <c r="G85" t="s">
        <v>1870</v>
      </c>
      <c r="H85" s="248" t="s">
        <v>101</v>
      </c>
      <c r="I85" t="s">
        <v>1420</v>
      </c>
      <c r="J85" t="s">
        <v>1870</v>
      </c>
      <c r="K85" t="s">
        <v>1870</v>
      </c>
      <c r="L85" s="246" t="s">
        <v>1562</v>
      </c>
      <c r="M85" t="s">
        <v>2131</v>
      </c>
      <c r="N85" t="s">
        <v>1870</v>
      </c>
      <c r="O85" s="247" t="s">
        <v>2026</v>
      </c>
    </row>
    <row r="86" spans="1:18" x14ac:dyDescent="0.3">
      <c r="A86" s="249" t="s">
        <v>1870</v>
      </c>
      <c r="B86" s="246">
        <v>110</v>
      </c>
      <c r="C86" t="s">
        <v>1870</v>
      </c>
      <c r="D86" t="s">
        <v>1870</v>
      </c>
      <c r="E86" s="7" t="s">
        <v>6</v>
      </c>
      <c r="F86" s="7">
        <v>0</v>
      </c>
      <c r="G86" t="s">
        <v>1870</v>
      </c>
      <c r="H86" t="s">
        <v>103</v>
      </c>
      <c r="I86" s="7" t="s">
        <v>1489</v>
      </c>
      <c r="J86" t="s">
        <v>1870</v>
      </c>
      <c r="K86" t="s">
        <v>1870</v>
      </c>
      <c r="L86" s="7" t="s">
        <v>1489</v>
      </c>
      <c r="M86" s="7" t="s">
        <v>1489</v>
      </c>
      <c r="N86" t="s">
        <v>1870</v>
      </c>
      <c r="O86">
        <v>0</v>
      </c>
      <c r="Q86" s="3">
        <v>0</v>
      </c>
    </row>
    <row r="87" spans="1:18" x14ac:dyDescent="0.3">
      <c r="A87" s="249" t="s">
        <v>1870</v>
      </c>
      <c r="B87" s="246">
        <v>110</v>
      </c>
      <c r="C87" t="s">
        <v>1870</v>
      </c>
      <c r="D87" t="s">
        <v>1870</v>
      </c>
      <c r="E87" s="7" t="s">
        <v>28</v>
      </c>
      <c r="F87" s="7">
        <v>1</v>
      </c>
      <c r="G87" t="s">
        <v>1870</v>
      </c>
      <c r="H87" t="s">
        <v>105</v>
      </c>
      <c r="I87" t="s">
        <v>1489</v>
      </c>
      <c r="J87" t="s">
        <v>1870</v>
      </c>
      <c r="K87" t="s">
        <v>1870</v>
      </c>
      <c r="L87" t="s">
        <v>1489</v>
      </c>
      <c r="M87" t="s">
        <v>1489</v>
      </c>
      <c r="N87" t="s">
        <v>1870</v>
      </c>
      <c r="O87">
        <v>0</v>
      </c>
      <c r="Q87" s="3">
        <v>0</v>
      </c>
    </row>
    <row r="88" spans="1:18" x14ac:dyDescent="0.3">
      <c r="A88" s="249" t="s">
        <v>1870</v>
      </c>
      <c r="B88" s="246">
        <v>110</v>
      </c>
      <c r="C88" t="s">
        <v>1870</v>
      </c>
      <c r="D88" t="s">
        <v>1870</v>
      </c>
      <c r="E88" s="246" t="s">
        <v>108</v>
      </c>
      <c r="F88" s="246">
        <v>0</v>
      </c>
      <c r="G88" t="s">
        <v>1870</v>
      </c>
      <c r="H88" s="248" t="s">
        <v>107</v>
      </c>
      <c r="I88" s="246" t="s">
        <v>1581</v>
      </c>
      <c r="J88" t="s">
        <v>1870</v>
      </c>
      <c r="K88" t="s">
        <v>1870</v>
      </c>
      <c r="L88" s="246" t="s">
        <v>1423</v>
      </c>
      <c r="M88" s="7" t="s">
        <v>2131</v>
      </c>
      <c r="N88" t="s">
        <v>1870</v>
      </c>
      <c r="O88" s="247" t="s">
        <v>1547</v>
      </c>
      <c r="P88" s="3">
        <v>-3055</v>
      </c>
      <c r="Q88" s="3">
        <v>-4000</v>
      </c>
      <c r="R88" s="3">
        <v>-3055</v>
      </c>
    </row>
    <row r="89" spans="1:18" x14ac:dyDescent="0.3">
      <c r="A89" s="249" t="s">
        <v>1870</v>
      </c>
      <c r="B89" s="246">
        <v>110</v>
      </c>
      <c r="C89" t="s">
        <v>1870</v>
      </c>
      <c r="D89" t="s">
        <v>1870</v>
      </c>
      <c r="E89" s="246" t="s">
        <v>58</v>
      </c>
      <c r="F89">
        <v>0</v>
      </c>
      <c r="G89" t="s">
        <v>1870</v>
      </c>
      <c r="H89" s="248" t="s">
        <v>110</v>
      </c>
      <c r="I89" s="246" t="s">
        <v>1409</v>
      </c>
      <c r="J89" t="s">
        <v>1870</v>
      </c>
      <c r="K89" t="s">
        <v>1870</v>
      </c>
      <c r="L89" s="246" t="s">
        <v>1702</v>
      </c>
      <c r="M89" t="s">
        <v>2131</v>
      </c>
      <c r="N89" t="s">
        <v>1870</v>
      </c>
      <c r="O89" s="247" t="s">
        <v>1703</v>
      </c>
      <c r="P89" s="3">
        <v>-32</v>
      </c>
      <c r="Q89" s="3">
        <v>-50</v>
      </c>
      <c r="R89" s="3">
        <v>0</v>
      </c>
    </row>
    <row r="90" spans="1:18" x14ac:dyDescent="0.3">
      <c r="A90" s="249" t="s">
        <v>1870</v>
      </c>
      <c r="B90" s="246">
        <v>110</v>
      </c>
      <c r="C90" t="s">
        <v>1870</v>
      </c>
      <c r="D90" t="s">
        <v>1870</v>
      </c>
      <c r="E90" s="246" t="s">
        <v>61</v>
      </c>
      <c r="F90">
        <v>0</v>
      </c>
      <c r="G90" t="s">
        <v>1870</v>
      </c>
      <c r="H90" s="248" t="s">
        <v>112</v>
      </c>
      <c r="I90" t="s">
        <v>1409</v>
      </c>
      <c r="J90" t="s">
        <v>1870</v>
      </c>
      <c r="K90" t="s">
        <v>1870</v>
      </c>
      <c r="L90" s="246" t="s">
        <v>1410</v>
      </c>
      <c r="M90" s="246" t="s">
        <v>2138</v>
      </c>
      <c r="N90" t="s">
        <v>1870</v>
      </c>
      <c r="O90" s="247" t="s">
        <v>1424</v>
      </c>
      <c r="P90" s="3">
        <v>-39671.300000000003</v>
      </c>
      <c r="Q90" s="3">
        <v>0</v>
      </c>
      <c r="R90" s="3">
        <v>0</v>
      </c>
    </row>
    <row r="91" spans="1:18" x14ac:dyDescent="0.3">
      <c r="A91" s="249" t="s">
        <v>1870</v>
      </c>
      <c r="B91" s="246">
        <v>110</v>
      </c>
      <c r="C91" t="s">
        <v>1870</v>
      </c>
      <c r="D91" t="s">
        <v>1870</v>
      </c>
      <c r="E91" s="246" t="s">
        <v>61</v>
      </c>
      <c r="F91">
        <v>0</v>
      </c>
      <c r="G91" t="s">
        <v>1870</v>
      </c>
      <c r="H91" s="248" t="s">
        <v>112</v>
      </c>
      <c r="I91" s="246" t="s">
        <v>1598</v>
      </c>
      <c r="J91" t="s">
        <v>1870</v>
      </c>
      <c r="K91" t="s">
        <v>1870</v>
      </c>
      <c r="L91" s="246" t="s">
        <v>1705</v>
      </c>
      <c r="M91" s="246" t="s">
        <v>2131</v>
      </c>
      <c r="N91" t="s">
        <v>1870</v>
      </c>
      <c r="O91" s="247" t="s">
        <v>2079</v>
      </c>
      <c r="Q91" s="3">
        <v>0</v>
      </c>
    </row>
    <row r="92" spans="1:18" x14ac:dyDescent="0.3">
      <c r="A92" s="249" t="s">
        <v>1870</v>
      </c>
      <c r="B92" s="246">
        <v>110</v>
      </c>
      <c r="C92" t="s">
        <v>1870</v>
      </c>
      <c r="D92" t="s">
        <v>1870</v>
      </c>
      <c r="E92" s="246" t="s">
        <v>64</v>
      </c>
      <c r="F92">
        <v>0</v>
      </c>
      <c r="G92" t="s">
        <v>1870</v>
      </c>
      <c r="H92" s="248" t="s">
        <v>114</v>
      </c>
      <c r="I92" s="246" t="s">
        <v>1710</v>
      </c>
      <c r="J92" t="s">
        <v>1870</v>
      </c>
      <c r="K92" t="s">
        <v>1870</v>
      </c>
      <c r="L92" s="246" t="s">
        <v>1711</v>
      </c>
      <c r="M92" t="s">
        <v>2131</v>
      </c>
      <c r="N92" t="s">
        <v>1870</v>
      </c>
      <c r="O92" s="247" t="s">
        <v>1712</v>
      </c>
      <c r="P92" s="3">
        <v>-14863.75</v>
      </c>
      <c r="Q92" s="3">
        <v>0</v>
      </c>
      <c r="R92" s="3">
        <v>0</v>
      </c>
    </row>
    <row r="93" spans="1:18" x14ac:dyDescent="0.3">
      <c r="A93" s="249" t="s">
        <v>1870</v>
      </c>
      <c r="B93" s="246">
        <v>110</v>
      </c>
      <c r="C93" t="s">
        <v>1870</v>
      </c>
      <c r="D93" t="s">
        <v>1870</v>
      </c>
      <c r="E93" s="7" t="s">
        <v>67</v>
      </c>
      <c r="F93">
        <v>0</v>
      </c>
      <c r="G93" t="s">
        <v>1870</v>
      </c>
      <c r="H93" t="s">
        <v>116</v>
      </c>
      <c r="I93" s="7" t="s">
        <v>1489</v>
      </c>
      <c r="J93" t="s">
        <v>1870</v>
      </c>
      <c r="K93" t="s">
        <v>1870</v>
      </c>
      <c r="L93" s="7" t="s">
        <v>1489</v>
      </c>
      <c r="M93" s="7" t="s">
        <v>1489</v>
      </c>
      <c r="N93" t="s">
        <v>1870</v>
      </c>
      <c r="O93">
        <v>0</v>
      </c>
      <c r="Q93" s="3">
        <v>0</v>
      </c>
    </row>
    <row r="94" spans="1:18" x14ac:dyDescent="0.3">
      <c r="A94" s="249" t="s">
        <v>1870</v>
      </c>
      <c r="B94" s="246">
        <v>120</v>
      </c>
      <c r="C94" t="s">
        <v>1870</v>
      </c>
      <c r="D94" t="s">
        <v>1870</v>
      </c>
      <c r="E94" s="246" t="s">
        <v>84</v>
      </c>
      <c r="F94">
        <v>0</v>
      </c>
      <c r="G94" t="s">
        <v>1870</v>
      </c>
      <c r="H94" s="248" t="s">
        <v>1435</v>
      </c>
      <c r="I94" s="246" t="s">
        <v>1385</v>
      </c>
      <c r="J94" t="s">
        <v>1870</v>
      </c>
      <c r="K94" t="s">
        <v>1870</v>
      </c>
      <c r="L94" s="246" t="s">
        <v>1429</v>
      </c>
      <c r="M94" s="7" t="s">
        <v>2131</v>
      </c>
      <c r="N94" t="s">
        <v>1870</v>
      </c>
      <c r="O94" s="247" t="s">
        <v>1436</v>
      </c>
      <c r="Q94" s="3">
        <v>0</v>
      </c>
    </row>
    <row r="95" spans="1:18" x14ac:dyDescent="0.3">
      <c r="A95" s="249" t="s">
        <v>1870</v>
      </c>
      <c r="B95" s="246">
        <v>120</v>
      </c>
      <c r="C95" t="s">
        <v>1870</v>
      </c>
      <c r="D95" t="s">
        <v>1870</v>
      </c>
      <c r="E95" s="246" t="s">
        <v>84</v>
      </c>
      <c r="F95">
        <v>0</v>
      </c>
      <c r="G95" t="s">
        <v>1870</v>
      </c>
      <c r="H95" s="248" t="s">
        <v>1435</v>
      </c>
      <c r="I95" s="246" t="s">
        <v>1408</v>
      </c>
      <c r="J95" t="s">
        <v>1870</v>
      </c>
      <c r="K95" t="s">
        <v>1870</v>
      </c>
      <c r="L95" t="s">
        <v>1429</v>
      </c>
      <c r="M95" t="s">
        <v>2131</v>
      </c>
      <c r="N95" t="s">
        <v>1870</v>
      </c>
      <c r="O95" s="247" t="s">
        <v>1436</v>
      </c>
      <c r="Q95" s="3">
        <v>0</v>
      </c>
    </row>
    <row r="96" spans="1:18" x14ac:dyDescent="0.3">
      <c r="A96" s="249" t="s">
        <v>1870</v>
      </c>
      <c r="B96" s="246">
        <v>120</v>
      </c>
      <c r="C96" t="s">
        <v>1870</v>
      </c>
      <c r="D96" t="s">
        <v>1870</v>
      </c>
      <c r="E96" s="246" t="s">
        <v>84</v>
      </c>
      <c r="F96">
        <v>0</v>
      </c>
      <c r="G96" t="s">
        <v>1870</v>
      </c>
      <c r="H96" s="248" t="s">
        <v>1435</v>
      </c>
      <c r="I96" s="246" t="s">
        <v>1409</v>
      </c>
      <c r="J96" t="s">
        <v>1870</v>
      </c>
      <c r="K96" t="s">
        <v>1870</v>
      </c>
      <c r="L96" s="246" t="s">
        <v>1426</v>
      </c>
      <c r="M96" t="s">
        <v>2131</v>
      </c>
      <c r="N96" t="s">
        <v>1870</v>
      </c>
      <c r="O96" s="247" t="s">
        <v>1830</v>
      </c>
      <c r="P96" s="3">
        <v>35774.25</v>
      </c>
      <c r="Q96" s="3">
        <v>31000</v>
      </c>
      <c r="R96" s="3">
        <v>36000</v>
      </c>
    </row>
    <row r="97" spans="1:18" x14ac:dyDescent="0.3">
      <c r="A97" s="249" t="s">
        <v>1870</v>
      </c>
      <c r="B97" s="246">
        <v>120</v>
      </c>
      <c r="C97" t="s">
        <v>1870</v>
      </c>
      <c r="D97" t="s">
        <v>1870</v>
      </c>
      <c r="E97" s="246" t="s">
        <v>84</v>
      </c>
      <c r="F97">
        <v>0</v>
      </c>
      <c r="G97" t="s">
        <v>1870</v>
      </c>
      <c r="H97" s="248" t="s">
        <v>1435</v>
      </c>
      <c r="I97" s="246" t="s">
        <v>1409</v>
      </c>
      <c r="J97" t="s">
        <v>1870</v>
      </c>
      <c r="K97" t="s">
        <v>1870</v>
      </c>
      <c r="L97" s="246" t="s">
        <v>1390</v>
      </c>
      <c r="M97" s="246" t="s">
        <v>2136</v>
      </c>
      <c r="N97" t="s">
        <v>1870</v>
      </c>
      <c r="O97" s="247" t="s">
        <v>1432</v>
      </c>
      <c r="Q97" s="3">
        <v>0</v>
      </c>
    </row>
    <row r="98" spans="1:18" x14ac:dyDescent="0.3">
      <c r="A98" s="249" t="s">
        <v>1870</v>
      </c>
      <c r="B98" s="246">
        <v>120</v>
      </c>
      <c r="C98" t="s">
        <v>1870</v>
      </c>
      <c r="D98" t="s">
        <v>1870</v>
      </c>
      <c r="E98" s="246" t="s">
        <v>84</v>
      </c>
      <c r="F98">
        <v>0</v>
      </c>
      <c r="G98" t="s">
        <v>1870</v>
      </c>
      <c r="H98" s="248" t="s">
        <v>1435</v>
      </c>
      <c r="I98" s="246" t="s">
        <v>1409</v>
      </c>
      <c r="J98" t="s">
        <v>1870</v>
      </c>
      <c r="K98" t="s">
        <v>1870</v>
      </c>
      <c r="L98" s="246" t="s">
        <v>1397</v>
      </c>
      <c r="M98" s="246" t="s">
        <v>2131</v>
      </c>
      <c r="N98" t="s">
        <v>1870</v>
      </c>
      <c r="O98" s="247" t="s">
        <v>1400</v>
      </c>
      <c r="Q98" s="3">
        <v>0</v>
      </c>
    </row>
    <row r="99" spans="1:18" x14ac:dyDescent="0.3">
      <c r="A99" s="249" t="s">
        <v>1870</v>
      </c>
      <c r="B99" s="246">
        <v>120</v>
      </c>
      <c r="C99" t="s">
        <v>1870</v>
      </c>
      <c r="D99" t="s">
        <v>1870</v>
      </c>
      <c r="E99" s="246" t="s">
        <v>25</v>
      </c>
      <c r="F99">
        <v>0</v>
      </c>
      <c r="G99" t="s">
        <v>1870</v>
      </c>
      <c r="H99" s="248" t="s">
        <v>120</v>
      </c>
      <c r="I99" t="s">
        <v>1409</v>
      </c>
      <c r="J99" t="s">
        <v>1870</v>
      </c>
      <c r="K99" t="s">
        <v>1870</v>
      </c>
      <c r="L99" s="246" t="s">
        <v>1438</v>
      </c>
      <c r="M99" t="s">
        <v>2131</v>
      </c>
      <c r="N99" t="s">
        <v>1870</v>
      </c>
      <c r="O99" s="247" t="s">
        <v>1439</v>
      </c>
      <c r="P99" s="3">
        <v>14651.9</v>
      </c>
      <c r="Q99" s="3">
        <v>10000</v>
      </c>
      <c r="R99" s="3">
        <v>16173.85</v>
      </c>
    </row>
    <row r="100" spans="1:18" x14ac:dyDescent="0.3">
      <c r="A100" s="249" t="s">
        <v>1870</v>
      </c>
      <c r="B100" s="246">
        <v>120</v>
      </c>
      <c r="C100" t="s">
        <v>1870</v>
      </c>
      <c r="D100" t="s">
        <v>1870</v>
      </c>
      <c r="E100" s="246" t="s">
        <v>123</v>
      </c>
      <c r="F100">
        <v>0</v>
      </c>
      <c r="G100" t="s">
        <v>1870</v>
      </c>
      <c r="H100" s="248" t="s">
        <v>122</v>
      </c>
      <c r="I100" t="s">
        <v>1409</v>
      </c>
      <c r="J100" t="s">
        <v>1870</v>
      </c>
      <c r="K100" t="s">
        <v>1870</v>
      </c>
      <c r="L100" s="246" t="s">
        <v>1440</v>
      </c>
      <c r="M100" t="s">
        <v>2131</v>
      </c>
      <c r="N100" t="s">
        <v>1870</v>
      </c>
      <c r="O100" s="247" t="s">
        <v>1441</v>
      </c>
      <c r="P100" s="3">
        <v>1521.95</v>
      </c>
      <c r="Q100" s="3">
        <v>1700</v>
      </c>
    </row>
    <row r="101" spans="1:18" x14ac:dyDescent="0.3">
      <c r="A101" s="249" t="s">
        <v>1870</v>
      </c>
      <c r="B101" s="246">
        <v>120</v>
      </c>
      <c r="C101" t="s">
        <v>1870</v>
      </c>
      <c r="D101" t="s">
        <v>1870</v>
      </c>
      <c r="E101" s="246" t="s">
        <v>123</v>
      </c>
      <c r="F101">
        <v>0</v>
      </c>
      <c r="G101" t="s">
        <v>1870</v>
      </c>
      <c r="H101" s="248" t="s">
        <v>122</v>
      </c>
      <c r="I101" t="s">
        <v>1409</v>
      </c>
      <c r="J101" t="s">
        <v>1870</v>
      </c>
      <c r="K101" t="s">
        <v>1870</v>
      </c>
      <c r="L101" s="246" t="s">
        <v>1968</v>
      </c>
      <c r="M101" t="s">
        <v>2131</v>
      </c>
      <c r="N101" t="s">
        <v>1870</v>
      </c>
      <c r="O101" s="247" t="s">
        <v>1969</v>
      </c>
      <c r="Q101" s="3">
        <v>0</v>
      </c>
    </row>
    <row r="102" spans="1:18" x14ac:dyDescent="0.3">
      <c r="A102" s="249" t="s">
        <v>1870</v>
      </c>
      <c r="B102" s="246">
        <v>120</v>
      </c>
      <c r="C102" t="s">
        <v>1870</v>
      </c>
      <c r="D102" t="s">
        <v>1870</v>
      </c>
      <c r="E102" s="7" t="s">
        <v>6</v>
      </c>
      <c r="F102">
        <v>0</v>
      </c>
      <c r="G102" t="s">
        <v>1870</v>
      </c>
      <c r="H102" t="s">
        <v>125</v>
      </c>
      <c r="I102" s="7" t="s">
        <v>1489</v>
      </c>
      <c r="J102" t="s">
        <v>1870</v>
      </c>
      <c r="K102" t="s">
        <v>1870</v>
      </c>
      <c r="L102" s="7" t="s">
        <v>1489</v>
      </c>
      <c r="M102" s="7" t="s">
        <v>1489</v>
      </c>
      <c r="N102" t="s">
        <v>1870</v>
      </c>
      <c r="O102">
        <v>0</v>
      </c>
      <c r="Q102" s="3">
        <v>0</v>
      </c>
    </row>
    <row r="103" spans="1:18" x14ac:dyDescent="0.3">
      <c r="A103" s="249" t="s">
        <v>1870</v>
      </c>
      <c r="B103" s="246">
        <v>120</v>
      </c>
      <c r="C103" t="s">
        <v>1870</v>
      </c>
      <c r="D103" t="s">
        <v>1870</v>
      </c>
      <c r="E103" s="7" t="s">
        <v>64</v>
      </c>
      <c r="F103">
        <v>0</v>
      </c>
      <c r="G103" t="s">
        <v>1870</v>
      </c>
      <c r="H103" t="s">
        <v>127</v>
      </c>
      <c r="I103" t="s">
        <v>1489</v>
      </c>
      <c r="J103" t="s">
        <v>1870</v>
      </c>
      <c r="K103" t="s">
        <v>1870</v>
      </c>
      <c r="L103" t="s">
        <v>1489</v>
      </c>
      <c r="M103" t="s">
        <v>1489</v>
      </c>
      <c r="N103" t="s">
        <v>1870</v>
      </c>
      <c r="O103">
        <v>0</v>
      </c>
      <c r="Q103" s="3">
        <v>0</v>
      </c>
    </row>
    <row r="104" spans="1:18" x14ac:dyDescent="0.3">
      <c r="A104" s="249" t="s">
        <v>1870</v>
      </c>
      <c r="B104" s="246">
        <v>160</v>
      </c>
      <c r="C104" t="s">
        <v>1870</v>
      </c>
      <c r="D104" t="s">
        <v>1870</v>
      </c>
      <c r="E104" s="7" t="s">
        <v>131</v>
      </c>
      <c r="F104">
        <v>0</v>
      </c>
      <c r="G104" t="s">
        <v>1870</v>
      </c>
      <c r="H104" t="s">
        <v>130</v>
      </c>
      <c r="I104" t="s">
        <v>1489</v>
      </c>
      <c r="J104" t="s">
        <v>1870</v>
      </c>
      <c r="K104" t="s">
        <v>1870</v>
      </c>
      <c r="L104" t="s">
        <v>1489</v>
      </c>
      <c r="M104" t="s">
        <v>1489</v>
      </c>
      <c r="N104" t="s">
        <v>1870</v>
      </c>
      <c r="O104">
        <v>0</v>
      </c>
      <c r="Q104" s="3">
        <v>0</v>
      </c>
    </row>
    <row r="105" spans="1:18" x14ac:dyDescent="0.3">
      <c r="A105" s="249" t="s">
        <v>1870</v>
      </c>
      <c r="B105" s="246">
        <v>160</v>
      </c>
      <c r="C105" t="s">
        <v>1870</v>
      </c>
      <c r="D105" t="s">
        <v>1870</v>
      </c>
      <c r="E105" s="246" t="s">
        <v>5</v>
      </c>
      <c r="F105">
        <v>0</v>
      </c>
      <c r="G105" t="s">
        <v>1870</v>
      </c>
      <c r="H105" s="248" t="s">
        <v>133</v>
      </c>
      <c r="I105" s="246" t="s">
        <v>1442</v>
      </c>
      <c r="J105" t="s">
        <v>1870</v>
      </c>
      <c r="K105" t="s">
        <v>1870</v>
      </c>
      <c r="L105" s="246" t="s">
        <v>1398</v>
      </c>
      <c r="M105" s="7" t="s">
        <v>2131</v>
      </c>
      <c r="N105" t="s">
        <v>1870</v>
      </c>
      <c r="O105" s="247" t="s">
        <v>2034</v>
      </c>
      <c r="P105" s="3">
        <v>18057.849999999999</v>
      </c>
      <c r="Q105" s="3">
        <v>25000</v>
      </c>
      <c r="R105" s="3">
        <v>21250</v>
      </c>
    </row>
    <row r="106" spans="1:18" x14ac:dyDescent="0.3">
      <c r="A106" s="249" t="s">
        <v>1870</v>
      </c>
      <c r="B106" s="246">
        <v>160</v>
      </c>
      <c r="C106" t="s">
        <v>1870</v>
      </c>
      <c r="D106" t="s">
        <v>1870</v>
      </c>
      <c r="E106" s="246" t="s">
        <v>5</v>
      </c>
      <c r="F106">
        <v>0</v>
      </c>
      <c r="G106" t="s">
        <v>1870</v>
      </c>
      <c r="H106" s="248" t="s">
        <v>133</v>
      </c>
      <c r="I106" s="246" t="s">
        <v>1442</v>
      </c>
      <c r="J106" t="s">
        <v>1870</v>
      </c>
      <c r="K106" t="s">
        <v>1870</v>
      </c>
      <c r="L106" s="246" t="s">
        <v>1443</v>
      </c>
      <c r="M106" t="s">
        <v>2131</v>
      </c>
      <c r="N106" t="s">
        <v>1870</v>
      </c>
      <c r="O106" s="247" t="s">
        <v>2030</v>
      </c>
      <c r="Q106" s="3">
        <v>0</v>
      </c>
    </row>
    <row r="107" spans="1:18" x14ac:dyDescent="0.3">
      <c r="A107" s="249" t="s">
        <v>1870</v>
      </c>
      <c r="B107" s="246">
        <v>160</v>
      </c>
      <c r="C107" t="s">
        <v>1870</v>
      </c>
      <c r="D107" t="s">
        <v>1870</v>
      </c>
      <c r="E107" s="7" t="s">
        <v>6</v>
      </c>
      <c r="F107">
        <v>0</v>
      </c>
      <c r="G107" t="s">
        <v>1870</v>
      </c>
      <c r="H107" t="s">
        <v>135</v>
      </c>
      <c r="I107" s="7" t="s">
        <v>1489</v>
      </c>
      <c r="J107" t="s">
        <v>1870</v>
      </c>
      <c r="K107" t="s">
        <v>1870</v>
      </c>
      <c r="L107" s="7" t="s">
        <v>1489</v>
      </c>
      <c r="M107" s="7" t="s">
        <v>1489</v>
      </c>
      <c r="N107" t="s">
        <v>1870</v>
      </c>
      <c r="O107">
        <v>0</v>
      </c>
      <c r="Q107" s="3">
        <v>0</v>
      </c>
    </row>
    <row r="108" spans="1:18" x14ac:dyDescent="0.3">
      <c r="A108" s="249" t="s">
        <v>1870</v>
      </c>
      <c r="B108" s="246">
        <v>160</v>
      </c>
      <c r="C108" t="s">
        <v>1870</v>
      </c>
      <c r="D108" t="s">
        <v>1870</v>
      </c>
      <c r="E108" s="246" t="s">
        <v>138</v>
      </c>
      <c r="F108">
        <v>0</v>
      </c>
      <c r="G108" t="s">
        <v>1870</v>
      </c>
      <c r="H108" s="248" t="s">
        <v>137</v>
      </c>
      <c r="I108" s="7" t="s">
        <v>1442</v>
      </c>
      <c r="J108" t="s">
        <v>1870</v>
      </c>
      <c r="K108" t="s">
        <v>1870</v>
      </c>
      <c r="L108" s="246" t="s">
        <v>798</v>
      </c>
      <c r="M108" s="7" t="s">
        <v>2131</v>
      </c>
      <c r="N108" t="s">
        <v>1870</v>
      </c>
      <c r="O108" s="247" t="s">
        <v>1993</v>
      </c>
      <c r="P108" s="3">
        <v>6283.65</v>
      </c>
      <c r="Q108" s="3">
        <v>4000</v>
      </c>
      <c r="R108" s="3">
        <v>3750</v>
      </c>
    </row>
    <row r="109" spans="1:18" x14ac:dyDescent="0.3">
      <c r="A109" s="249" t="s">
        <v>1870</v>
      </c>
      <c r="B109" s="246">
        <v>160</v>
      </c>
      <c r="C109" t="s">
        <v>1870</v>
      </c>
      <c r="D109" t="s">
        <v>1870</v>
      </c>
      <c r="E109" s="246" t="s">
        <v>141</v>
      </c>
      <c r="F109">
        <v>0</v>
      </c>
      <c r="G109" t="s">
        <v>1870</v>
      </c>
      <c r="H109" s="248" t="s">
        <v>140</v>
      </c>
      <c r="I109" t="s">
        <v>1442</v>
      </c>
      <c r="J109" t="s">
        <v>1870</v>
      </c>
      <c r="K109" t="s">
        <v>1870</v>
      </c>
      <c r="L109" s="246" t="s">
        <v>1487</v>
      </c>
      <c r="M109" t="s">
        <v>2131</v>
      </c>
      <c r="N109" t="s">
        <v>1870</v>
      </c>
      <c r="O109" s="247" t="s">
        <v>1496</v>
      </c>
      <c r="P109" s="3">
        <v>-24341.5</v>
      </c>
      <c r="Q109" s="3">
        <v>-29000</v>
      </c>
      <c r="R109" s="3">
        <v>-25000</v>
      </c>
    </row>
    <row r="110" spans="1:18" x14ac:dyDescent="0.3">
      <c r="A110" s="249" t="s">
        <v>1870</v>
      </c>
      <c r="B110" s="246">
        <v>160</v>
      </c>
      <c r="C110" t="s">
        <v>1870</v>
      </c>
      <c r="D110" t="s">
        <v>1870</v>
      </c>
      <c r="E110" s="7" t="s">
        <v>144</v>
      </c>
      <c r="F110">
        <v>0</v>
      </c>
      <c r="G110" t="s">
        <v>1870</v>
      </c>
      <c r="H110" t="s">
        <v>143</v>
      </c>
      <c r="I110" s="7" t="s">
        <v>1489</v>
      </c>
      <c r="J110" t="s">
        <v>1870</v>
      </c>
      <c r="K110" t="s">
        <v>1870</v>
      </c>
      <c r="L110" s="7" t="s">
        <v>1489</v>
      </c>
      <c r="M110" s="7" t="s">
        <v>1489</v>
      </c>
      <c r="N110" t="s">
        <v>1870</v>
      </c>
      <c r="O110">
        <v>0</v>
      </c>
      <c r="Q110" s="3">
        <v>0</v>
      </c>
    </row>
    <row r="111" spans="1:18" x14ac:dyDescent="0.3">
      <c r="A111" s="249" t="s">
        <v>1870</v>
      </c>
      <c r="B111" s="246">
        <v>170</v>
      </c>
      <c r="C111" t="s">
        <v>1870</v>
      </c>
      <c r="D111" t="s">
        <v>1870</v>
      </c>
      <c r="E111" s="246" t="s">
        <v>3</v>
      </c>
      <c r="F111">
        <v>0</v>
      </c>
      <c r="G111" t="s">
        <v>1870</v>
      </c>
      <c r="H111" s="248" t="s">
        <v>147</v>
      </c>
      <c r="I111" s="246" t="s">
        <v>1587</v>
      </c>
      <c r="J111" t="s">
        <v>1870</v>
      </c>
      <c r="K111" t="s">
        <v>1870</v>
      </c>
      <c r="L111" s="246" t="s">
        <v>1410</v>
      </c>
      <c r="M111" s="7" t="s">
        <v>2131</v>
      </c>
      <c r="N111" t="s">
        <v>1870</v>
      </c>
      <c r="O111" s="247" t="s">
        <v>1411</v>
      </c>
      <c r="P111" s="3">
        <v>20850.099999999999</v>
      </c>
      <c r="Q111" s="3">
        <v>19000</v>
      </c>
      <c r="R111" s="3">
        <v>0</v>
      </c>
    </row>
    <row r="112" spans="1:18" x14ac:dyDescent="0.3">
      <c r="A112" s="249" t="s">
        <v>1870</v>
      </c>
      <c r="B112" s="246">
        <v>170</v>
      </c>
      <c r="C112" t="s">
        <v>1870</v>
      </c>
      <c r="D112" t="s">
        <v>1870</v>
      </c>
      <c r="E112" s="246" t="s">
        <v>16</v>
      </c>
      <c r="F112">
        <v>0</v>
      </c>
      <c r="G112" t="s">
        <v>1870</v>
      </c>
      <c r="H112" s="248" t="s">
        <v>35</v>
      </c>
      <c r="I112" t="s">
        <v>1587</v>
      </c>
      <c r="J112" t="s">
        <v>1870</v>
      </c>
      <c r="K112" t="s">
        <v>1870</v>
      </c>
      <c r="L112" s="246" t="s">
        <v>1367</v>
      </c>
      <c r="M112" t="s">
        <v>2131</v>
      </c>
      <c r="N112" t="s">
        <v>1870</v>
      </c>
      <c r="O112" s="247" t="s">
        <v>1378</v>
      </c>
      <c r="P112" s="3">
        <v>1981.1</v>
      </c>
      <c r="Q112" s="3">
        <v>1800</v>
      </c>
    </row>
    <row r="113" spans="1:18" x14ac:dyDescent="0.3">
      <c r="A113" s="249" t="s">
        <v>1870</v>
      </c>
      <c r="B113" s="246">
        <v>170</v>
      </c>
      <c r="C113" t="s">
        <v>1870</v>
      </c>
      <c r="D113" t="s">
        <v>1870</v>
      </c>
      <c r="E113" s="246" t="s">
        <v>16</v>
      </c>
      <c r="F113">
        <v>0</v>
      </c>
      <c r="G113" t="s">
        <v>1870</v>
      </c>
      <c r="H113" s="248" t="s">
        <v>35</v>
      </c>
      <c r="I113" t="s">
        <v>1587</v>
      </c>
      <c r="J113" t="s">
        <v>1870</v>
      </c>
      <c r="K113" t="s">
        <v>1870</v>
      </c>
      <c r="L113" s="246" t="s">
        <v>1413</v>
      </c>
      <c r="M113" t="s">
        <v>2131</v>
      </c>
      <c r="N113" t="s">
        <v>1870</v>
      </c>
      <c r="O113" s="247" t="s">
        <v>1414</v>
      </c>
      <c r="Q113" s="3">
        <v>0</v>
      </c>
    </row>
    <row r="114" spans="1:18" x14ac:dyDescent="0.3">
      <c r="A114" s="249" t="s">
        <v>1870</v>
      </c>
      <c r="B114" s="246">
        <v>170</v>
      </c>
      <c r="C114" t="s">
        <v>1870</v>
      </c>
      <c r="D114" t="s">
        <v>1870</v>
      </c>
      <c r="E114" s="246" t="s">
        <v>38</v>
      </c>
      <c r="F114">
        <v>0</v>
      </c>
      <c r="G114" t="s">
        <v>1870</v>
      </c>
      <c r="H114" s="248" t="s">
        <v>150</v>
      </c>
      <c r="I114" t="s">
        <v>1587</v>
      </c>
      <c r="J114" t="s">
        <v>1870</v>
      </c>
      <c r="K114" t="s">
        <v>1870</v>
      </c>
      <c r="L114" s="246" t="s">
        <v>1386</v>
      </c>
      <c r="M114" t="s">
        <v>2131</v>
      </c>
      <c r="N114" t="s">
        <v>1870</v>
      </c>
      <c r="O114" s="247" t="s">
        <v>1387</v>
      </c>
      <c r="P114" s="3">
        <v>1037.25</v>
      </c>
      <c r="Q114" s="3">
        <v>1000</v>
      </c>
    </row>
    <row r="115" spans="1:18" x14ac:dyDescent="0.3">
      <c r="A115" s="249" t="s">
        <v>1870</v>
      </c>
      <c r="B115" s="246">
        <v>170</v>
      </c>
      <c r="C115" t="s">
        <v>1870</v>
      </c>
      <c r="D115" t="s">
        <v>1870</v>
      </c>
      <c r="E115" s="246" t="s">
        <v>19</v>
      </c>
      <c r="F115">
        <v>0</v>
      </c>
      <c r="G115" t="s">
        <v>1870</v>
      </c>
      <c r="H115" s="248" t="s">
        <v>152</v>
      </c>
      <c r="I115" t="s">
        <v>1587</v>
      </c>
      <c r="J115" t="s">
        <v>1870</v>
      </c>
      <c r="K115" t="s">
        <v>1870</v>
      </c>
      <c r="L115" s="246" t="s">
        <v>1375</v>
      </c>
      <c r="M115" t="s">
        <v>2131</v>
      </c>
      <c r="N115" t="s">
        <v>1870</v>
      </c>
      <c r="O115" s="247" t="s">
        <v>1379</v>
      </c>
      <c r="P115" s="3">
        <v>555.25</v>
      </c>
      <c r="Q115" s="3">
        <v>500</v>
      </c>
    </row>
    <row r="116" spans="1:18" x14ac:dyDescent="0.3">
      <c r="A116" s="249" t="s">
        <v>1870</v>
      </c>
      <c r="B116" s="246">
        <v>170</v>
      </c>
      <c r="C116" t="s">
        <v>1870</v>
      </c>
      <c r="D116" t="s">
        <v>1870</v>
      </c>
      <c r="E116" s="246" t="s">
        <v>22</v>
      </c>
      <c r="F116">
        <v>0</v>
      </c>
      <c r="G116" t="s">
        <v>1870</v>
      </c>
      <c r="H116" s="248" t="s">
        <v>154</v>
      </c>
      <c r="I116" t="s">
        <v>1587</v>
      </c>
      <c r="J116" t="s">
        <v>1870</v>
      </c>
      <c r="K116" t="s">
        <v>1870</v>
      </c>
      <c r="L116" s="246" t="s">
        <v>1410</v>
      </c>
      <c r="M116" s="246" t="s">
        <v>2138</v>
      </c>
      <c r="N116" t="s">
        <v>1870</v>
      </c>
      <c r="O116" s="247" t="s">
        <v>1424</v>
      </c>
      <c r="Q116" s="3">
        <v>0</v>
      </c>
    </row>
    <row r="117" spans="1:18" x14ac:dyDescent="0.3">
      <c r="A117" s="249" t="s">
        <v>1870</v>
      </c>
      <c r="B117" s="246">
        <v>170</v>
      </c>
      <c r="C117" t="s">
        <v>1870</v>
      </c>
      <c r="D117" t="s">
        <v>1870</v>
      </c>
      <c r="E117" s="246" t="s">
        <v>22</v>
      </c>
      <c r="F117">
        <v>0</v>
      </c>
      <c r="G117" t="s">
        <v>1870</v>
      </c>
      <c r="H117" s="248" t="s">
        <v>154</v>
      </c>
      <c r="I117" t="s">
        <v>1587</v>
      </c>
      <c r="J117" t="s">
        <v>1870</v>
      </c>
      <c r="K117" t="s">
        <v>1870</v>
      </c>
      <c r="L117" s="246" t="s">
        <v>1382</v>
      </c>
      <c r="M117" s="246" t="s">
        <v>2131</v>
      </c>
      <c r="N117" t="s">
        <v>1870</v>
      </c>
      <c r="O117" s="247" t="s">
        <v>1383</v>
      </c>
      <c r="Q117" s="3">
        <v>0</v>
      </c>
    </row>
    <row r="118" spans="1:18" x14ac:dyDescent="0.3">
      <c r="A118" s="249" t="s">
        <v>1870</v>
      </c>
      <c r="B118" s="246">
        <v>170</v>
      </c>
      <c r="C118" t="s">
        <v>1870</v>
      </c>
      <c r="D118" t="s">
        <v>1870</v>
      </c>
      <c r="E118" s="246" t="s">
        <v>22</v>
      </c>
      <c r="F118">
        <v>0</v>
      </c>
      <c r="G118" t="s">
        <v>1870</v>
      </c>
      <c r="H118" s="248" t="s">
        <v>154</v>
      </c>
      <c r="I118" t="s">
        <v>1587</v>
      </c>
      <c r="J118" t="s">
        <v>1870</v>
      </c>
      <c r="K118" t="s">
        <v>1870</v>
      </c>
      <c r="L118" s="246" t="s">
        <v>1368</v>
      </c>
      <c r="M118" t="s">
        <v>2131</v>
      </c>
      <c r="N118" t="s">
        <v>1870</v>
      </c>
      <c r="O118" s="247" t="s">
        <v>1392</v>
      </c>
      <c r="Q118" s="3">
        <v>0</v>
      </c>
    </row>
    <row r="119" spans="1:18" x14ac:dyDescent="0.3">
      <c r="A119" s="249" t="s">
        <v>1870</v>
      </c>
      <c r="B119" s="246">
        <v>170</v>
      </c>
      <c r="C119" t="s">
        <v>1870</v>
      </c>
      <c r="D119" t="s">
        <v>1870</v>
      </c>
      <c r="E119" s="246" t="s">
        <v>22</v>
      </c>
      <c r="F119">
        <v>0</v>
      </c>
      <c r="G119" t="s">
        <v>1870</v>
      </c>
      <c r="H119" s="248" t="s">
        <v>154</v>
      </c>
      <c r="I119" t="s">
        <v>1587</v>
      </c>
      <c r="J119" t="s">
        <v>1870</v>
      </c>
      <c r="K119" t="s">
        <v>1870</v>
      </c>
      <c r="L119" s="246" t="s">
        <v>1540</v>
      </c>
      <c r="M119" t="s">
        <v>2131</v>
      </c>
      <c r="N119" t="s">
        <v>1870</v>
      </c>
      <c r="O119" s="247" t="s">
        <v>1543</v>
      </c>
      <c r="Q119" s="3">
        <v>0</v>
      </c>
    </row>
    <row r="120" spans="1:18" x14ac:dyDescent="0.3">
      <c r="A120" s="249" t="s">
        <v>1870</v>
      </c>
      <c r="B120" s="246">
        <v>170</v>
      </c>
      <c r="C120" t="s">
        <v>1870</v>
      </c>
      <c r="D120" t="s">
        <v>1870</v>
      </c>
      <c r="E120" s="246" t="s">
        <v>22</v>
      </c>
      <c r="F120">
        <v>0</v>
      </c>
      <c r="G120" t="s">
        <v>1870</v>
      </c>
      <c r="H120" s="248" t="s">
        <v>154</v>
      </c>
      <c r="I120" t="s">
        <v>1587</v>
      </c>
      <c r="J120" t="s">
        <v>1870</v>
      </c>
      <c r="K120" t="s">
        <v>1870</v>
      </c>
      <c r="L120" s="246" t="s">
        <v>1380</v>
      </c>
      <c r="M120" t="s">
        <v>2131</v>
      </c>
      <c r="N120" t="s">
        <v>1870</v>
      </c>
      <c r="O120" s="247" t="s">
        <v>1381</v>
      </c>
      <c r="P120" s="3">
        <v>0</v>
      </c>
      <c r="Q120" s="3">
        <v>0</v>
      </c>
    </row>
    <row r="121" spans="1:18" x14ac:dyDescent="0.3">
      <c r="A121" s="249" t="s">
        <v>1870</v>
      </c>
      <c r="B121" s="246">
        <v>170</v>
      </c>
      <c r="C121" t="s">
        <v>1870</v>
      </c>
      <c r="D121" t="s">
        <v>1870</v>
      </c>
      <c r="E121" s="246" t="s">
        <v>22</v>
      </c>
      <c r="F121">
        <v>0</v>
      </c>
      <c r="G121" t="s">
        <v>1870</v>
      </c>
      <c r="H121" s="248" t="s">
        <v>154</v>
      </c>
      <c r="I121" t="s">
        <v>1587</v>
      </c>
      <c r="J121" t="s">
        <v>1870</v>
      </c>
      <c r="K121" t="s">
        <v>1870</v>
      </c>
      <c r="L121" s="246" t="s">
        <v>1393</v>
      </c>
      <c r="M121" t="s">
        <v>2131</v>
      </c>
      <c r="N121" t="s">
        <v>1870</v>
      </c>
      <c r="O121" s="247" t="s">
        <v>2073</v>
      </c>
      <c r="Q121" s="3">
        <v>0</v>
      </c>
    </row>
    <row r="122" spans="1:18" x14ac:dyDescent="0.3">
      <c r="A122" s="249" t="s">
        <v>1870</v>
      </c>
      <c r="B122" s="246">
        <v>170</v>
      </c>
      <c r="C122" t="s">
        <v>1870</v>
      </c>
      <c r="D122" t="s">
        <v>1870</v>
      </c>
      <c r="E122" s="246" t="s">
        <v>25</v>
      </c>
      <c r="F122">
        <v>0</v>
      </c>
      <c r="G122" t="s">
        <v>1870</v>
      </c>
      <c r="H122" s="248" t="s">
        <v>156</v>
      </c>
      <c r="I122" s="246" t="s">
        <v>1491</v>
      </c>
      <c r="J122" t="s">
        <v>1870</v>
      </c>
      <c r="K122" t="s">
        <v>1870</v>
      </c>
      <c r="L122" s="246" t="s">
        <v>1493</v>
      </c>
      <c r="M122" t="s">
        <v>2131</v>
      </c>
      <c r="N122" t="s">
        <v>1870</v>
      </c>
      <c r="O122" s="247" t="s">
        <v>1494</v>
      </c>
      <c r="P122" s="3">
        <v>927.4</v>
      </c>
      <c r="Q122" s="3">
        <v>1000</v>
      </c>
    </row>
    <row r="123" spans="1:18" x14ac:dyDescent="0.3">
      <c r="A123" s="249" t="s">
        <v>1870</v>
      </c>
      <c r="B123" s="246">
        <v>170</v>
      </c>
      <c r="C123" t="s">
        <v>1870</v>
      </c>
      <c r="D123" t="s">
        <v>1870</v>
      </c>
      <c r="E123" s="246" t="s">
        <v>159</v>
      </c>
      <c r="F123">
        <v>0</v>
      </c>
      <c r="G123" t="s">
        <v>1870</v>
      </c>
      <c r="H123" s="248" t="s">
        <v>158</v>
      </c>
      <c r="I123" t="s">
        <v>1491</v>
      </c>
      <c r="J123" t="s">
        <v>1870</v>
      </c>
      <c r="K123" t="s">
        <v>1870</v>
      </c>
      <c r="L123" s="246" t="s">
        <v>1500</v>
      </c>
      <c r="M123" s="246" t="s">
        <v>2132</v>
      </c>
      <c r="N123" t="s">
        <v>1870</v>
      </c>
      <c r="O123" s="247" t="s">
        <v>1507</v>
      </c>
      <c r="P123" s="3">
        <v>1189.25</v>
      </c>
      <c r="Q123" s="3">
        <v>2000</v>
      </c>
    </row>
    <row r="124" spans="1:18" x14ac:dyDescent="0.3">
      <c r="A124" s="249" t="s">
        <v>1870</v>
      </c>
      <c r="B124" s="246">
        <v>170</v>
      </c>
      <c r="C124" t="s">
        <v>1870</v>
      </c>
      <c r="D124" t="s">
        <v>1870</v>
      </c>
      <c r="E124" s="246" t="s">
        <v>159</v>
      </c>
      <c r="F124">
        <v>0</v>
      </c>
      <c r="G124" t="s">
        <v>1870</v>
      </c>
      <c r="H124" s="248" t="s">
        <v>158</v>
      </c>
      <c r="I124" s="246" t="s">
        <v>1499</v>
      </c>
      <c r="J124" t="s">
        <v>1870</v>
      </c>
      <c r="K124" t="s">
        <v>1870</v>
      </c>
      <c r="L124" t="s">
        <v>1500</v>
      </c>
      <c r="M124" t="s">
        <v>2132</v>
      </c>
      <c r="N124" t="s">
        <v>1870</v>
      </c>
      <c r="O124" s="247" t="s">
        <v>1506</v>
      </c>
      <c r="Q124" s="3">
        <v>0</v>
      </c>
    </row>
    <row r="125" spans="1:18" x14ac:dyDescent="0.3">
      <c r="A125" s="249" t="s">
        <v>1870</v>
      </c>
      <c r="B125" s="246">
        <v>170</v>
      </c>
      <c r="C125" t="s">
        <v>1870</v>
      </c>
      <c r="D125" t="s">
        <v>1870</v>
      </c>
      <c r="E125" s="246" t="s">
        <v>131</v>
      </c>
      <c r="F125">
        <v>0</v>
      </c>
      <c r="G125" t="s">
        <v>1870</v>
      </c>
      <c r="H125" s="248" t="s">
        <v>161</v>
      </c>
      <c r="I125" s="246" t="s">
        <v>1491</v>
      </c>
      <c r="J125" t="s">
        <v>1870</v>
      </c>
      <c r="K125" t="s">
        <v>1870</v>
      </c>
      <c r="L125" s="246" t="s">
        <v>1497</v>
      </c>
      <c r="M125" s="246" t="s">
        <v>2131</v>
      </c>
      <c r="N125" t="s">
        <v>1870</v>
      </c>
      <c r="O125" s="247" t="s">
        <v>1498</v>
      </c>
      <c r="P125" s="3">
        <v>63864.2</v>
      </c>
      <c r="Q125" s="3">
        <v>50000</v>
      </c>
    </row>
    <row r="126" spans="1:18" x14ac:dyDescent="0.3">
      <c r="A126" s="249" t="s">
        <v>1870</v>
      </c>
      <c r="B126" s="246">
        <v>170</v>
      </c>
      <c r="C126" t="s">
        <v>1870</v>
      </c>
      <c r="D126" t="s">
        <v>1870</v>
      </c>
      <c r="E126" s="246" t="s">
        <v>164</v>
      </c>
      <c r="F126">
        <v>0</v>
      </c>
      <c r="G126" t="s">
        <v>1870</v>
      </c>
      <c r="H126" s="248" t="s">
        <v>163</v>
      </c>
      <c r="I126" t="s">
        <v>1491</v>
      </c>
      <c r="J126" t="s">
        <v>1870</v>
      </c>
      <c r="K126" t="s">
        <v>1870</v>
      </c>
      <c r="L126" s="246" t="s">
        <v>1508</v>
      </c>
      <c r="M126" s="246" t="s">
        <v>2139</v>
      </c>
      <c r="N126" t="s">
        <v>1870</v>
      </c>
      <c r="O126" s="247" t="s">
        <v>1509</v>
      </c>
      <c r="P126" s="3">
        <v>36152.78</v>
      </c>
      <c r="Q126" s="3">
        <v>0</v>
      </c>
      <c r="R126" s="3">
        <v>0</v>
      </c>
    </row>
    <row r="127" spans="1:18" x14ac:dyDescent="0.3">
      <c r="A127" s="249" t="s">
        <v>1870</v>
      </c>
      <c r="B127" s="246">
        <v>170</v>
      </c>
      <c r="C127" t="s">
        <v>1870</v>
      </c>
      <c r="D127" t="s">
        <v>1870</v>
      </c>
      <c r="E127" s="246" t="s">
        <v>96</v>
      </c>
      <c r="F127">
        <v>0</v>
      </c>
      <c r="G127" t="s">
        <v>1870</v>
      </c>
      <c r="H127" s="248" t="s">
        <v>166</v>
      </c>
      <c r="I127" t="s">
        <v>1491</v>
      </c>
      <c r="J127" t="s">
        <v>1870</v>
      </c>
      <c r="K127" t="s">
        <v>1870</v>
      </c>
      <c r="L127" s="246" t="s">
        <v>1607</v>
      </c>
      <c r="M127" t="s">
        <v>2139</v>
      </c>
      <c r="N127" t="s">
        <v>1870</v>
      </c>
      <c r="O127" s="247" t="s">
        <v>1608</v>
      </c>
      <c r="P127" s="3">
        <v>129663.9</v>
      </c>
      <c r="Q127" s="3">
        <v>0</v>
      </c>
      <c r="R127" s="3">
        <v>0</v>
      </c>
    </row>
    <row r="128" spans="1:18" x14ac:dyDescent="0.3">
      <c r="A128" s="249" t="s">
        <v>1870</v>
      </c>
      <c r="B128" s="246">
        <v>170</v>
      </c>
      <c r="C128" t="s">
        <v>1870</v>
      </c>
      <c r="D128" t="s">
        <v>1870</v>
      </c>
      <c r="E128" s="246" t="s">
        <v>99</v>
      </c>
      <c r="F128">
        <v>0</v>
      </c>
      <c r="G128" t="s">
        <v>1870</v>
      </c>
      <c r="H128" s="248" t="s">
        <v>168</v>
      </c>
      <c r="I128" s="246" t="s">
        <v>1490</v>
      </c>
      <c r="J128" t="s">
        <v>1870</v>
      </c>
      <c r="K128" t="s">
        <v>1870</v>
      </c>
      <c r="L128" s="246" t="s">
        <v>1552</v>
      </c>
      <c r="M128" s="246" t="s">
        <v>2131</v>
      </c>
      <c r="N128" t="s">
        <v>1870</v>
      </c>
      <c r="O128" s="247" t="s">
        <v>2025</v>
      </c>
    </row>
    <row r="129" spans="1:18" x14ac:dyDescent="0.3">
      <c r="A129" s="249" t="s">
        <v>1870</v>
      </c>
      <c r="B129" s="246">
        <v>170</v>
      </c>
      <c r="C129" t="s">
        <v>1870</v>
      </c>
      <c r="D129" t="s">
        <v>1870</v>
      </c>
      <c r="E129" s="246" t="s">
        <v>99</v>
      </c>
      <c r="F129">
        <v>0</v>
      </c>
      <c r="G129" t="s">
        <v>1870</v>
      </c>
      <c r="H129" s="248" t="s">
        <v>168</v>
      </c>
      <c r="I129" s="246" t="s">
        <v>1490</v>
      </c>
      <c r="J129" t="s">
        <v>1870</v>
      </c>
      <c r="K129" t="s">
        <v>1870</v>
      </c>
      <c r="L129" s="246" t="s">
        <v>1421</v>
      </c>
      <c r="M129" t="s">
        <v>2131</v>
      </c>
      <c r="N129" t="s">
        <v>1870</v>
      </c>
      <c r="O129" s="247" t="s">
        <v>1422</v>
      </c>
      <c r="P129" s="3">
        <v>5180</v>
      </c>
      <c r="Q129" s="3">
        <v>10000</v>
      </c>
    </row>
    <row r="130" spans="1:18" x14ac:dyDescent="0.3">
      <c r="A130" s="249" t="s">
        <v>1870</v>
      </c>
      <c r="B130" s="246">
        <v>170</v>
      </c>
      <c r="C130" t="s">
        <v>1870</v>
      </c>
      <c r="D130" t="s">
        <v>1870</v>
      </c>
      <c r="E130" s="246" t="s">
        <v>99</v>
      </c>
      <c r="F130">
        <v>0</v>
      </c>
      <c r="G130" t="s">
        <v>1870</v>
      </c>
      <c r="H130" s="248" t="s">
        <v>168</v>
      </c>
      <c r="I130" s="246" t="s">
        <v>1490</v>
      </c>
      <c r="J130" t="s">
        <v>1870</v>
      </c>
      <c r="K130" t="s">
        <v>1870</v>
      </c>
      <c r="L130" s="246" t="s">
        <v>1562</v>
      </c>
      <c r="M130" t="s">
        <v>2131</v>
      </c>
      <c r="N130" t="s">
        <v>1870</v>
      </c>
      <c r="O130" s="247" t="s">
        <v>2026</v>
      </c>
    </row>
    <row r="131" spans="1:18" x14ac:dyDescent="0.3">
      <c r="A131" s="249" t="s">
        <v>1870</v>
      </c>
      <c r="B131" s="246">
        <v>170</v>
      </c>
      <c r="C131" t="s">
        <v>1870</v>
      </c>
      <c r="D131" t="s">
        <v>1870</v>
      </c>
      <c r="E131" s="7" t="s">
        <v>28</v>
      </c>
      <c r="F131" s="7">
        <v>1</v>
      </c>
      <c r="G131" t="s">
        <v>1870</v>
      </c>
      <c r="H131" t="s">
        <v>170</v>
      </c>
      <c r="I131" s="7" t="s">
        <v>1489</v>
      </c>
      <c r="J131" t="s">
        <v>1870</v>
      </c>
      <c r="K131" t="s">
        <v>1870</v>
      </c>
      <c r="L131" s="7" t="s">
        <v>1489</v>
      </c>
      <c r="M131" s="7" t="s">
        <v>1489</v>
      </c>
      <c r="N131" t="s">
        <v>1870</v>
      </c>
      <c r="O131">
        <v>0</v>
      </c>
      <c r="P131" s="3">
        <v>0</v>
      </c>
      <c r="Q131" s="3">
        <v>0</v>
      </c>
    </row>
    <row r="132" spans="1:18" x14ac:dyDescent="0.3">
      <c r="A132" s="249" t="s">
        <v>1870</v>
      </c>
      <c r="B132" s="246">
        <v>170</v>
      </c>
      <c r="C132" t="s">
        <v>1870</v>
      </c>
      <c r="D132" t="s">
        <v>1870</v>
      </c>
      <c r="E132" s="246" t="s">
        <v>61</v>
      </c>
      <c r="F132" s="7">
        <v>0</v>
      </c>
      <c r="G132" t="s">
        <v>1870</v>
      </c>
      <c r="H132" s="248" t="s">
        <v>172</v>
      </c>
      <c r="I132" s="246" t="s">
        <v>1491</v>
      </c>
      <c r="J132" t="s">
        <v>1870</v>
      </c>
      <c r="K132" t="s">
        <v>1870</v>
      </c>
      <c r="L132" s="246" t="s">
        <v>1443</v>
      </c>
      <c r="M132" s="7" t="s">
        <v>2131</v>
      </c>
      <c r="N132" t="s">
        <v>1870</v>
      </c>
      <c r="O132" s="247" t="s">
        <v>2076</v>
      </c>
      <c r="P132" s="3">
        <v>-4500</v>
      </c>
      <c r="Q132" s="3">
        <v>-4500</v>
      </c>
      <c r="R132" s="3">
        <v>-4500</v>
      </c>
    </row>
    <row r="133" spans="1:18" x14ac:dyDescent="0.3">
      <c r="A133" s="249" t="s">
        <v>1870</v>
      </c>
      <c r="B133" s="246">
        <v>170</v>
      </c>
      <c r="C133" t="s">
        <v>1870</v>
      </c>
      <c r="D133" t="s">
        <v>1870</v>
      </c>
      <c r="E133" s="246" t="s">
        <v>175</v>
      </c>
      <c r="F133">
        <v>0</v>
      </c>
      <c r="G133" t="s">
        <v>1870</v>
      </c>
      <c r="H133" s="248" t="s">
        <v>174</v>
      </c>
      <c r="I133" s="246" t="s">
        <v>1797</v>
      </c>
      <c r="J133" t="s">
        <v>1870</v>
      </c>
      <c r="K133" t="s">
        <v>1870</v>
      </c>
      <c r="L133" s="246" t="s">
        <v>1817</v>
      </c>
      <c r="M133" t="s">
        <v>2131</v>
      </c>
      <c r="N133" t="s">
        <v>1870</v>
      </c>
      <c r="O133" s="247" t="s">
        <v>1818</v>
      </c>
      <c r="Q133" s="3">
        <v>0</v>
      </c>
    </row>
    <row r="134" spans="1:18" x14ac:dyDescent="0.3">
      <c r="A134" s="249" t="s">
        <v>1870</v>
      </c>
      <c r="B134" s="246">
        <v>170</v>
      </c>
      <c r="C134" t="s">
        <v>1870</v>
      </c>
      <c r="D134" t="s">
        <v>1870</v>
      </c>
      <c r="E134" s="246" t="s">
        <v>64</v>
      </c>
      <c r="F134">
        <v>0</v>
      </c>
      <c r="G134" t="s">
        <v>1870</v>
      </c>
      <c r="H134" s="248" t="s">
        <v>177</v>
      </c>
      <c r="I134" s="246" t="s">
        <v>1710</v>
      </c>
      <c r="J134" t="s">
        <v>1870</v>
      </c>
      <c r="K134" t="s">
        <v>1870</v>
      </c>
      <c r="L134" s="246" t="s">
        <v>1711</v>
      </c>
      <c r="M134" t="s">
        <v>2131</v>
      </c>
      <c r="N134" t="s">
        <v>1870</v>
      </c>
      <c r="O134" s="247" t="s">
        <v>1712</v>
      </c>
      <c r="P134" s="3">
        <v>-129663.9</v>
      </c>
      <c r="Q134" s="3">
        <v>0</v>
      </c>
      <c r="R134" s="3">
        <v>0</v>
      </c>
    </row>
    <row r="135" spans="1:18" x14ac:dyDescent="0.3">
      <c r="A135" s="249" t="s">
        <v>1870</v>
      </c>
      <c r="B135" s="246">
        <v>180</v>
      </c>
      <c r="C135" t="s">
        <v>1870</v>
      </c>
      <c r="D135" t="s">
        <v>1870</v>
      </c>
      <c r="E135" s="246" t="s">
        <v>48</v>
      </c>
      <c r="F135">
        <v>0</v>
      </c>
      <c r="G135" t="s">
        <v>1870</v>
      </c>
      <c r="H135" s="248" t="s">
        <v>180</v>
      </c>
      <c r="I135" s="246" t="s">
        <v>1707</v>
      </c>
      <c r="J135" t="s">
        <v>1870</v>
      </c>
      <c r="K135" t="s">
        <v>1870</v>
      </c>
      <c r="L135" s="246">
        <v>3130</v>
      </c>
      <c r="M135" t="s">
        <v>2131</v>
      </c>
      <c r="N135" t="s">
        <v>1870</v>
      </c>
      <c r="O135" s="247" t="s">
        <v>1708</v>
      </c>
      <c r="P135" s="3">
        <v>9784.0499999999993</v>
      </c>
      <c r="Q135" s="3">
        <v>12000</v>
      </c>
      <c r="R135" s="3">
        <v>10000</v>
      </c>
    </row>
    <row r="136" spans="1:18" x14ac:dyDescent="0.3">
      <c r="A136" s="249" t="s">
        <v>1870</v>
      </c>
      <c r="B136" s="246">
        <v>180</v>
      </c>
      <c r="C136" t="s">
        <v>1870</v>
      </c>
      <c r="D136" t="s">
        <v>1870</v>
      </c>
      <c r="E136" s="246" t="s">
        <v>183</v>
      </c>
      <c r="F136">
        <v>0</v>
      </c>
      <c r="G136" t="s">
        <v>1870</v>
      </c>
      <c r="H136" s="248" t="s">
        <v>182</v>
      </c>
      <c r="I136" t="s">
        <v>1707</v>
      </c>
      <c r="J136" t="s">
        <v>1870</v>
      </c>
      <c r="K136" t="s">
        <v>1870</v>
      </c>
      <c r="L136" s="246" t="s">
        <v>1531</v>
      </c>
      <c r="M136" t="s">
        <v>2131</v>
      </c>
      <c r="N136" t="s">
        <v>1870</v>
      </c>
      <c r="O136" s="247" t="s">
        <v>2063</v>
      </c>
      <c r="P136" s="3">
        <v>182582.1</v>
      </c>
      <c r="Q136" s="3">
        <v>210000</v>
      </c>
      <c r="R136" s="3">
        <v>222000</v>
      </c>
    </row>
    <row r="137" spans="1:18" x14ac:dyDescent="0.3">
      <c r="A137" s="249" t="s">
        <v>1870</v>
      </c>
      <c r="B137" s="246">
        <v>180</v>
      </c>
      <c r="C137" t="s">
        <v>1870</v>
      </c>
      <c r="D137" t="s">
        <v>1870</v>
      </c>
      <c r="E137" s="246" t="s">
        <v>183</v>
      </c>
      <c r="F137" s="7">
        <v>1</v>
      </c>
      <c r="G137" t="s">
        <v>1870</v>
      </c>
      <c r="H137" t="s">
        <v>185</v>
      </c>
      <c r="I137" s="7" t="s">
        <v>1489</v>
      </c>
      <c r="J137" t="s">
        <v>1870</v>
      </c>
      <c r="K137" t="s">
        <v>1870</v>
      </c>
      <c r="L137" s="7" t="s">
        <v>1489</v>
      </c>
      <c r="M137" s="7" t="s">
        <v>1489</v>
      </c>
      <c r="N137" t="s">
        <v>1870</v>
      </c>
      <c r="O137">
        <v>0</v>
      </c>
      <c r="Q137" s="3">
        <v>0</v>
      </c>
    </row>
    <row r="138" spans="1:18" x14ac:dyDescent="0.3">
      <c r="A138" s="249" t="s">
        <v>1870</v>
      </c>
      <c r="B138" s="246">
        <v>180</v>
      </c>
      <c r="C138" t="s">
        <v>1870</v>
      </c>
      <c r="D138" t="s">
        <v>1870</v>
      </c>
      <c r="E138" s="246" t="s">
        <v>61</v>
      </c>
      <c r="F138" s="7">
        <v>0</v>
      </c>
      <c r="G138" t="s">
        <v>1870</v>
      </c>
      <c r="H138" s="248" t="s">
        <v>187</v>
      </c>
      <c r="I138" s="7" t="s">
        <v>1707</v>
      </c>
      <c r="J138" t="s">
        <v>1870</v>
      </c>
      <c r="K138" t="s">
        <v>1870</v>
      </c>
      <c r="L138" s="246" t="s">
        <v>1702</v>
      </c>
      <c r="M138" s="7" t="s">
        <v>2131</v>
      </c>
      <c r="N138" t="s">
        <v>1870</v>
      </c>
      <c r="O138" s="247" t="s">
        <v>1709</v>
      </c>
      <c r="P138" s="3">
        <v>-10829</v>
      </c>
      <c r="Q138" s="3">
        <v>-13000</v>
      </c>
      <c r="R138" s="3">
        <v>-11000</v>
      </c>
    </row>
    <row r="139" spans="1:18" x14ac:dyDescent="0.3">
      <c r="A139" s="249" t="s">
        <v>1870</v>
      </c>
      <c r="B139" s="246">
        <v>190</v>
      </c>
      <c r="C139" t="s">
        <v>1870</v>
      </c>
      <c r="D139" t="s">
        <v>1870</v>
      </c>
      <c r="E139" s="7" t="s">
        <v>84</v>
      </c>
      <c r="F139">
        <v>0</v>
      </c>
      <c r="G139" t="s">
        <v>1870</v>
      </c>
      <c r="H139" t="s">
        <v>190</v>
      </c>
      <c r="I139" s="7" t="s">
        <v>1489</v>
      </c>
      <c r="J139" t="s">
        <v>1870</v>
      </c>
      <c r="K139" t="s">
        <v>1870</v>
      </c>
      <c r="L139" s="7" t="s">
        <v>1489</v>
      </c>
      <c r="M139" s="7" t="s">
        <v>1489</v>
      </c>
      <c r="N139" t="s">
        <v>1870</v>
      </c>
      <c r="O139">
        <v>0</v>
      </c>
      <c r="Q139" s="3">
        <v>0</v>
      </c>
    </row>
    <row r="140" spans="1:18" x14ac:dyDescent="0.3">
      <c r="A140" s="249" t="s">
        <v>1870</v>
      </c>
      <c r="B140" s="246">
        <v>190</v>
      </c>
      <c r="C140" t="s">
        <v>1870</v>
      </c>
      <c r="D140" t="s">
        <v>1870</v>
      </c>
      <c r="E140" s="246" t="s">
        <v>25</v>
      </c>
      <c r="F140">
        <v>0</v>
      </c>
      <c r="G140" t="s">
        <v>1870</v>
      </c>
      <c r="H140" s="248" t="s">
        <v>192</v>
      </c>
      <c r="I140" s="246" t="s">
        <v>1693</v>
      </c>
      <c r="J140" t="s">
        <v>1870</v>
      </c>
      <c r="K140" t="s">
        <v>1870</v>
      </c>
      <c r="L140" s="246" t="s">
        <v>1751</v>
      </c>
      <c r="M140" s="7" t="s">
        <v>2131</v>
      </c>
      <c r="N140" t="s">
        <v>1870</v>
      </c>
      <c r="O140" s="247" t="s">
        <v>1975</v>
      </c>
    </row>
    <row r="141" spans="1:18" x14ac:dyDescent="0.3">
      <c r="A141" s="249" t="s">
        <v>1870</v>
      </c>
      <c r="B141" s="246">
        <v>190</v>
      </c>
      <c r="C141" t="s">
        <v>1870</v>
      </c>
      <c r="D141" t="s">
        <v>1870</v>
      </c>
      <c r="E141" s="246" t="s">
        <v>25</v>
      </c>
      <c r="F141">
        <v>0</v>
      </c>
      <c r="G141" t="s">
        <v>1870</v>
      </c>
      <c r="H141" s="248" t="s">
        <v>192</v>
      </c>
      <c r="I141" s="246" t="s">
        <v>1408</v>
      </c>
      <c r="J141" t="s">
        <v>1870</v>
      </c>
      <c r="K141" t="s">
        <v>1870</v>
      </c>
      <c r="L141" t="s">
        <v>1751</v>
      </c>
      <c r="M141" t="s">
        <v>2131</v>
      </c>
      <c r="N141" t="s">
        <v>1870</v>
      </c>
      <c r="O141" s="247" t="s">
        <v>1975</v>
      </c>
      <c r="Q141" s="3">
        <v>0</v>
      </c>
    </row>
    <row r="142" spans="1:18" x14ac:dyDescent="0.3">
      <c r="A142" s="249" t="s">
        <v>1870</v>
      </c>
      <c r="B142" s="246">
        <v>190</v>
      </c>
      <c r="C142" t="s">
        <v>1870</v>
      </c>
      <c r="D142" t="s">
        <v>1870</v>
      </c>
      <c r="E142" s="246" t="s">
        <v>25</v>
      </c>
      <c r="F142">
        <v>0</v>
      </c>
      <c r="G142" t="s">
        <v>1870</v>
      </c>
      <c r="H142" s="248" t="s">
        <v>192</v>
      </c>
      <c r="I142" s="246" t="s">
        <v>1409</v>
      </c>
      <c r="J142" t="s">
        <v>1870</v>
      </c>
      <c r="K142" t="s">
        <v>1870</v>
      </c>
      <c r="L142" t="s">
        <v>1751</v>
      </c>
      <c r="M142" t="s">
        <v>2131</v>
      </c>
      <c r="N142" t="s">
        <v>1870</v>
      </c>
      <c r="O142" s="247" t="s">
        <v>1975</v>
      </c>
      <c r="P142" s="3">
        <v>15644.9</v>
      </c>
      <c r="Q142" s="3">
        <v>10000</v>
      </c>
    </row>
    <row r="143" spans="1:18" x14ac:dyDescent="0.3">
      <c r="A143" s="249" t="s">
        <v>1870</v>
      </c>
      <c r="B143" s="246">
        <v>190</v>
      </c>
      <c r="C143" t="s">
        <v>1870</v>
      </c>
      <c r="D143" t="s">
        <v>1870</v>
      </c>
      <c r="E143" s="246" t="s">
        <v>25</v>
      </c>
      <c r="F143">
        <v>0</v>
      </c>
      <c r="G143" t="s">
        <v>1870</v>
      </c>
      <c r="H143" s="248" t="s">
        <v>192</v>
      </c>
      <c r="I143" s="246" t="s">
        <v>1539</v>
      </c>
      <c r="J143" t="s">
        <v>1870</v>
      </c>
      <c r="K143" t="s">
        <v>1870</v>
      </c>
      <c r="L143" t="s">
        <v>1751</v>
      </c>
      <c r="M143" t="s">
        <v>2131</v>
      </c>
      <c r="N143" t="s">
        <v>1870</v>
      </c>
      <c r="O143" s="247" t="s">
        <v>1975</v>
      </c>
    </row>
    <row r="144" spans="1:18" x14ac:dyDescent="0.3">
      <c r="A144" s="249" t="s">
        <v>1870</v>
      </c>
      <c r="B144" s="246">
        <v>190</v>
      </c>
      <c r="C144" t="s">
        <v>1870</v>
      </c>
      <c r="D144" t="s">
        <v>1870</v>
      </c>
      <c r="E144" s="246" t="s">
        <v>25</v>
      </c>
      <c r="F144">
        <v>0</v>
      </c>
      <c r="G144" t="s">
        <v>1870</v>
      </c>
      <c r="H144" s="248" t="s">
        <v>192</v>
      </c>
      <c r="I144" s="246" t="s">
        <v>1581</v>
      </c>
      <c r="J144" t="s">
        <v>1870</v>
      </c>
      <c r="K144" t="s">
        <v>1870</v>
      </c>
      <c r="L144" t="s">
        <v>1751</v>
      </c>
      <c r="M144" t="s">
        <v>2131</v>
      </c>
      <c r="N144" t="s">
        <v>1870</v>
      </c>
      <c r="O144" s="247" t="s">
        <v>1975</v>
      </c>
    </row>
    <row r="145" spans="1:17" x14ac:dyDescent="0.3">
      <c r="A145" s="249" t="s">
        <v>1870</v>
      </c>
      <c r="B145" s="246">
        <v>190</v>
      </c>
      <c r="C145" t="s">
        <v>1870</v>
      </c>
      <c r="D145" t="s">
        <v>1870</v>
      </c>
      <c r="E145" s="7" t="s">
        <v>123</v>
      </c>
      <c r="F145">
        <v>0</v>
      </c>
      <c r="G145" t="s">
        <v>1870</v>
      </c>
      <c r="H145" t="s">
        <v>194</v>
      </c>
      <c r="I145" s="7" t="s">
        <v>1489</v>
      </c>
      <c r="J145" t="s">
        <v>1870</v>
      </c>
      <c r="K145" t="s">
        <v>1870</v>
      </c>
      <c r="L145" s="7" t="s">
        <v>1489</v>
      </c>
      <c r="M145" s="7" t="s">
        <v>1489</v>
      </c>
      <c r="N145" t="s">
        <v>1870</v>
      </c>
      <c r="O145" t="s">
        <v>1489</v>
      </c>
      <c r="Q145" s="3">
        <v>0</v>
      </c>
    </row>
    <row r="146" spans="1:17" x14ac:dyDescent="0.3">
      <c r="A146" s="249" t="s">
        <v>1870</v>
      </c>
      <c r="B146" s="246">
        <v>190</v>
      </c>
      <c r="C146" t="s">
        <v>1870</v>
      </c>
      <c r="D146" t="s">
        <v>1870</v>
      </c>
      <c r="E146" s="246" t="s">
        <v>48</v>
      </c>
      <c r="F146">
        <v>0</v>
      </c>
      <c r="G146" t="s">
        <v>1870</v>
      </c>
      <c r="H146" s="248" t="s">
        <v>196</v>
      </c>
      <c r="I146" s="246" t="s">
        <v>1693</v>
      </c>
      <c r="J146" t="s">
        <v>1870</v>
      </c>
      <c r="K146" t="s">
        <v>1870</v>
      </c>
      <c r="L146" s="7" t="s">
        <v>1751</v>
      </c>
      <c r="M146" s="7" t="s">
        <v>2131</v>
      </c>
      <c r="N146" t="s">
        <v>1870</v>
      </c>
      <c r="O146" s="247" t="s">
        <v>1975</v>
      </c>
    </row>
    <row r="147" spans="1:17" x14ac:dyDescent="0.3">
      <c r="A147" s="249" t="s">
        <v>1870</v>
      </c>
      <c r="B147" s="246">
        <v>190</v>
      </c>
      <c r="C147" t="s">
        <v>1870</v>
      </c>
      <c r="D147" t="s">
        <v>1870</v>
      </c>
      <c r="E147" s="246" t="s">
        <v>48</v>
      </c>
      <c r="F147">
        <v>0</v>
      </c>
      <c r="G147" t="s">
        <v>1870</v>
      </c>
      <c r="H147" s="248" t="s">
        <v>196</v>
      </c>
      <c r="I147" s="246" t="s">
        <v>1408</v>
      </c>
      <c r="J147" t="s">
        <v>1870</v>
      </c>
      <c r="K147" t="s">
        <v>1870</v>
      </c>
      <c r="L147" t="s">
        <v>1751</v>
      </c>
      <c r="M147" t="s">
        <v>2131</v>
      </c>
      <c r="N147" t="s">
        <v>1870</v>
      </c>
      <c r="O147" s="247" t="s">
        <v>1975</v>
      </c>
    </row>
    <row r="148" spans="1:17" x14ac:dyDescent="0.3">
      <c r="A148" s="249" t="s">
        <v>1870</v>
      </c>
      <c r="B148" s="246">
        <v>190</v>
      </c>
      <c r="C148" t="s">
        <v>1870</v>
      </c>
      <c r="D148" t="s">
        <v>1870</v>
      </c>
      <c r="E148" s="246" t="s">
        <v>48</v>
      </c>
      <c r="F148">
        <v>0</v>
      </c>
      <c r="G148" t="s">
        <v>1870</v>
      </c>
      <c r="H148" s="248" t="s">
        <v>196</v>
      </c>
      <c r="I148" s="246" t="s">
        <v>1409</v>
      </c>
      <c r="J148" t="s">
        <v>1870</v>
      </c>
      <c r="K148" t="s">
        <v>1870</v>
      </c>
      <c r="L148" t="s">
        <v>1751</v>
      </c>
      <c r="M148" t="s">
        <v>2131</v>
      </c>
      <c r="N148" t="s">
        <v>1870</v>
      </c>
      <c r="O148" s="247" t="s">
        <v>1975</v>
      </c>
      <c r="P148" s="3">
        <v>53175.8</v>
      </c>
      <c r="Q148" s="3">
        <v>40000</v>
      </c>
    </row>
    <row r="149" spans="1:17" x14ac:dyDescent="0.3">
      <c r="A149" s="249" t="s">
        <v>1870</v>
      </c>
      <c r="B149" s="246">
        <v>190</v>
      </c>
      <c r="C149" t="s">
        <v>1870</v>
      </c>
      <c r="D149" t="s">
        <v>1870</v>
      </c>
      <c r="E149" s="246" t="s">
        <v>48</v>
      </c>
      <c r="F149">
        <v>0</v>
      </c>
      <c r="G149" t="s">
        <v>1870</v>
      </c>
      <c r="H149" s="248" t="s">
        <v>196</v>
      </c>
      <c r="I149" s="246" t="s">
        <v>1539</v>
      </c>
      <c r="J149" t="s">
        <v>1870</v>
      </c>
      <c r="K149" t="s">
        <v>1870</v>
      </c>
      <c r="L149" t="s">
        <v>1751</v>
      </c>
      <c r="M149" t="s">
        <v>2131</v>
      </c>
      <c r="N149" t="s">
        <v>1870</v>
      </c>
      <c r="O149" s="247" t="s">
        <v>1975</v>
      </c>
    </row>
    <row r="150" spans="1:17" x14ac:dyDescent="0.3">
      <c r="A150" s="249" t="s">
        <v>1870</v>
      </c>
      <c r="B150" s="246">
        <v>190</v>
      </c>
      <c r="C150" t="s">
        <v>1870</v>
      </c>
      <c r="D150" t="s">
        <v>1870</v>
      </c>
      <c r="E150" s="246" t="s">
        <v>48</v>
      </c>
      <c r="F150">
        <v>0</v>
      </c>
      <c r="G150" t="s">
        <v>1870</v>
      </c>
      <c r="H150" s="248" t="s">
        <v>196</v>
      </c>
      <c r="I150" s="246" t="s">
        <v>1581</v>
      </c>
      <c r="J150" t="s">
        <v>1870</v>
      </c>
      <c r="K150" t="s">
        <v>1870</v>
      </c>
      <c r="L150" t="s">
        <v>1751</v>
      </c>
      <c r="M150" t="s">
        <v>2131</v>
      </c>
      <c r="N150" t="s">
        <v>1870</v>
      </c>
      <c r="O150" s="247" t="s">
        <v>1975</v>
      </c>
    </row>
    <row r="151" spans="1:17" x14ac:dyDescent="0.3">
      <c r="A151" s="249" t="s">
        <v>1870</v>
      </c>
      <c r="B151" s="246">
        <v>190</v>
      </c>
      <c r="C151" t="s">
        <v>1870</v>
      </c>
      <c r="D151" t="s">
        <v>1870</v>
      </c>
      <c r="E151" s="7" t="s">
        <v>6</v>
      </c>
      <c r="F151">
        <v>0</v>
      </c>
      <c r="G151" t="s">
        <v>1870</v>
      </c>
      <c r="H151" t="s">
        <v>198</v>
      </c>
      <c r="I151" s="7" t="s">
        <v>1489</v>
      </c>
      <c r="J151" t="s">
        <v>1870</v>
      </c>
      <c r="K151" t="s">
        <v>1870</v>
      </c>
      <c r="L151" s="7" t="s">
        <v>1489</v>
      </c>
      <c r="M151" s="7" t="s">
        <v>1489</v>
      </c>
      <c r="N151" t="s">
        <v>1870</v>
      </c>
      <c r="O151" t="s">
        <v>1489</v>
      </c>
      <c r="Q151" s="3">
        <v>0</v>
      </c>
    </row>
    <row r="152" spans="1:17" x14ac:dyDescent="0.3">
      <c r="A152" s="249" t="s">
        <v>1870</v>
      </c>
      <c r="B152" s="246">
        <v>190</v>
      </c>
      <c r="C152" t="s">
        <v>1870</v>
      </c>
      <c r="D152" t="s">
        <v>1870</v>
      </c>
      <c r="E152" s="7" t="s">
        <v>61</v>
      </c>
      <c r="F152">
        <v>0</v>
      </c>
      <c r="G152" t="s">
        <v>1870</v>
      </c>
      <c r="H152" t="s">
        <v>200</v>
      </c>
      <c r="I152" t="s">
        <v>1489</v>
      </c>
      <c r="J152" t="s">
        <v>1870</v>
      </c>
      <c r="K152" t="s">
        <v>1870</v>
      </c>
      <c r="L152" t="s">
        <v>1489</v>
      </c>
      <c r="M152" t="s">
        <v>1489</v>
      </c>
      <c r="N152" t="s">
        <v>1870</v>
      </c>
      <c r="O152" t="s">
        <v>1489</v>
      </c>
      <c r="Q152" s="3">
        <v>0</v>
      </c>
    </row>
    <row r="153" spans="1:17" x14ac:dyDescent="0.3">
      <c r="A153" s="249" t="s">
        <v>1870</v>
      </c>
      <c r="B153" s="246">
        <v>190</v>
      </c>
      <c r="C153" t="s">
        <v>1870</v>
      </c>
      <c r="D153" t="s">
        <v>1870</v>
      </c>
      <c r="E153" s="7" t="s">
        <v>175</v>
      </c>
      <c r="F153">
        <v>0</v>
      </c>
      <c r="G153" t="s">
        <v>1870</v>
      </c>
      <c r="H153" t="s">
        <v>174</v>
      </c>
      <c r="I153" t="s">
        <v>1489</v>
      </c>
      <c r="J153" t="s">
        <v>1870</v>
      </c>
      <c r="K153" t="s">
        <v>1870</v>
      </c>
      <c r="L153" t="s">
        <v>1489</v>
      </c>
      <c r="M153" t="s">
        <v>1489</v>
      </c>
      <c r="N153" t="s">
        <v>1870</v>
      </c>
      <c r="O153" t="s">
        <v>1489</v>
      </c>
      <c r="Q153" s="3">
        <v>0</v>
      </c>
    </row>
    <row r="154" spans="1:17" x14ac:dyDescent="0.3">
      <c r="A154" s="249" t="s">
        <v>1870</v>
      </c>
      <c r="B154" s="246">
        <v>190</v>
      </c>
      <c r="C154" t="s">
        <v>1870</v>
      </c>
      <c r="D154" t="s">
        <v>1870</v>
      </c>
      <c r="E154" s="7" t="s">
        <v>64</v>
      </c>
      <c r="F154">
        <v>0</v>
      </c>
      <c r="G154" t="s">
        <v>1870</v>
      </c>
      <c r="H154" t="s">
        <v>203</v>
      </c>
      <c r="I154" t="s">
        <v>1489</v>
      </c>
      <c r="J154" t="s">
        <v>1870</v>
      </c>
      <c r="K154" t="s">
        <v>1870</v>
      </c>
      <c r="L154" t="s">
        <v>1489</v>
      </c>
      <c r="M154" t="s">
        <v>1489</v>
      </c>
      <c r="N154" t="s">
        <v>1870</v>
      </c>
      <c r="O154" t="s">
        <v>1489</v>
      </c>
      <c r="Q154" s="3">
        <v>0</v>
      </c>
    </row>
    <row r="155" spans="1:17" x14ac:dyDescent="0.3">
      <c r="A155" s="249" t="s">
        <v>1870</v>
      </c>
      <c r="B155" s="246">
        <v>200</v>
      </c>
      <c r="C155" t="s">
        <v>1870</v>
      </c>
      <c r="D155" t="s">
        <v>1870</v>
      </c>
      <c r="E155" s="246" t="s">
        <v>3</v>
      </c>
      <c r="F155">
        <v>0</v>
      </c>
      <c r="G155" t="s">
        <v>1870</v>
      </c>
      <c r="H155" s="248" t="s">
        <v>206</v>
      </c>
      <c r="I155" s="246" t="s">
        <v>1693</v>
      </c>
      <c r="J155" t="s">
        <v>1870</v>
      </c>
      <c r="K155" t="s">
        <v>1870</v>
      </c>
      <c r="L155" s="246" t="s">
        <v>1696</v>
      </c>
      <c r="M155" s="7" t="s">
        <v>2131</v>
      </c>
      <c r="N155" t="s">
        <v>1870</v>
      </c>
      <c r="O155" s="247" t="s">
        <v>1980</v>
      </c>
      <c r="P155" s="3">
        <v>113557.8</v>
      </c>
      <c r="Q155" s="3">
        <v>120000</v>
      </c>
    </row>
    <row r="156" spans="1:17" x14ac:dyDescent="0.3">
      <c r="A156" s="249" t="s">
        <v>1870</v>
      </c>
      <c r="B156" s="246">
        <v>200</v>
      </c>
      <c r="C156" t="s">
        <v>1870</v>
      </c>
      <c r="D156" t="s">
        <v>1870</v>
      </c>
      <c r="E156" s="246" t="s">
        <v>16</v>
      </c>
      <c r="F156">
        <v>0</v>
      </c>
      <c r="G156" t="s">
        <v>1870</v>
      </c>
      <c r="H156" s="248" t="s">
        <v>35</v>
      </c>
      <c r="I156" t="s">
        <v>1693</v>
      </c>
      <c r="J156" t="s">
        <v>1870</v>
      </c>
      <c r="K156" t="s">
        <v>1870</v>
      </c>
      <c r="L156" t="s">
        <v>1696</v>
      </c>
      <c r="M156" t="s">
        <v>2131</v>
      </c>
      <c r="N156" t="s">
        <v>1870</v>
      </c>
      <c r="O156" s="247" t="s">
        <v>1980</v>
      </c>
      <c r="P156" s="3">
        <v>7430.6</v>
      </c>
      <c r="Q156" s="3">
        <v>10800</v>
      </c>
    </row>
    <row r="157" spans="1:17" x14ac:dyDescent="0.3">
      <c r="A157" s="249" t="s">
        <v>1870</v>
      </c>
      <c r="B157" s="246">
        <v>200</v>
      </c>
      <c r="C157" t="s">
        <v>1870</v>
      </c>
      <c r="D157" t="s">
        <v>1870</v>
      </c>
      <c r="E157" s="246" t="s">
        <v>38</v>
      </c>
      <c r="F157">
        <v>0</v>
      </c>
      <c r="G157" t="s">
        <v>1870</v>
      </c>
      <c r="H157" s="248" t="s">
        <v>150</v>
      </c>
      <c r="I157" t="s">
        <v>1693</v>
      </c>
      <c r="J157" t="s">
        <v>1870</v>
      </c>
      <c r="K157" t="s">
        <v>1870</v>
      </c>
      <c r="L157" t="s">
        <v>1696</v>
      </c>
      <c r="M157" t="s">
        <v>2131</v>
      </c>
      <c r="N157" t="s">
        <v>1870</v>
      </c>
      <c r="O157" s="247" t="s">
        <v>1980</v>
      </c>
      <c r="P157" s="3">
        <v>7209.5</v>
      </c>
      <c r="Q157" s="3">
        <v>12600</v>
      </c>
    </row>
    <row r="158" spans="1:17" x14ac:dyDescent="0.3">
      <c r="A158" s="249" t="s">
        <v>1870</v>
      </c>
      <c r="B158" s="246">
        <v>200</v>
      </c>
      <c r="C158" t="s">
        <v>1870</v>
      </c>
      <c r="D158" t="s">
        <v>1870</v>
      </c>
      <c r="E158" s="246" t="s">
        <v>19</v>
      </c>
      <c r="F158">
        <v>0</v>
      </c>
      <c r="G158" t="s">
        <v>1870</v>
      </c>
      <c r="H158" s="248" t="s">
        <v>152</v>
      </c>
      <c r="I158" t="s">
        <v>1693</v>
      </c>
      <c r="J158" t="s">
        <v>1870</v>
      </c>
      <c r="K158" t="s">
        <v>1870</v>
      </c>
      <c r="L158" t="s">
        <v>1696</v>
      </c>
      <c r="M158" t="s">
        <v>2131</v>
      </c>
      <c r="N158" t="s">
        <v>1870</v>
      </c>
      <c r="O158" s="247" t="s">
        <v>1980</v>
      </c>
      <c r="P158" s="3">
        <v>1790.5</v>
      </c>
      <c r="Q158" s="3">
        <v>2000</v>
      </c>
    </row>
    <row r="159" spans="1:17" x14ac:dyDescent="0.3">
      <c r="A159" s="249" t="s">
        <v>1870</v>
      </c>
      <c r="B159" s="246">
        <v>200</v>
      </c>
      <c r="C159" t="s">
        <v>1870</v>
      </c>
      <c r="D159" t="s">
        <v>1870</v>
      </c>
      <c r="E159" s="246" t="s">
        <v>22</v>
      </c>
      <c r="F159">
        <v>0</v>
      </c>
      <c r="G159" t="s">
        <v>1870</v>
      </c>
      <c r="H159" s="248" t="s">
        <v>154</v>
      </c>
      <c r="I159" t="s">
        <v>1693</v>
      </c>
      <c r="J159" t="s">
        <v>1870</v>
      </c>
      <c r="K159" t="s">
        <v>1870</v>
      </c>
      <c r="L159" s="246" t="s">
        <v>1380</v>
      </c>
      <c r="M159" t="s">
        <v>2131</v>
      </c>
      <c r="N159" t="s">
        <v>1870</v>
      </c>
      <c r="O159" s="247" t="s">
        <v>1381</v>
      </c>
      <c r="Q159" s="3">
        <v>0</v>
      </c>
    </row>
    <row r="160" spans="1:17" x14ac:dyDescent="0.3">
      <c r="A160" s="249" t="s">
        <v>1870</v>
      </c>
      <c r="B160" s="246">
        <v>200</v>
      </c>
      <c r="C160" t="s">
        <v>1870</v>
      </c>
      <c r="D160" t="s">
        <v>1870</v>
      </c>
      <c r="E160" s="246" t="s">
        <v>22</v>
      </c>
      <c r="F160">
        <v>0</v>
      </c>
      <c r="G160" t="s">
        <v>1870</v>
      </c>
      <c r="H160" s="248" t="s">
        <v>154</v>
      </c>
      <c r="I160" t="s">
        <v>1693</v>
      </c>
      <c r="J160" t="s">
        <v>1870</v>
      </c>
      <c r="K160" t="s">
        <v>1870</v>
      </c>
      <c r="L160" s="246" t="s">
        <v>1696</v>
      </c>
      <c r="M160" t="s">
        <v>2131</v>
      </c>
      <c r="N160" t="s">
        <v>1870</v>
      </c>
      <c r="O160" s="247" t="s">
        <v>1980</v>
      </c>
      <c r="P160" s="3">
        <v>139.6</v>
      </c>
      <c r="Q160" s="3">
        <v>500</v>
      </c>
    </row>
    <row r="161" spans="1:18" x14ac:dyDescent="0.3">
      <c r="A161" s="249" t="s">
        <v>1870</v>
      </c>
      <c r="B161" s="246">
        <v>200</v>
      </c>
      <c r="C161" t="s">
        <v>1870</v>
      </c>
      <c r="D161" t="s">
        <v>1870</v>
      </c>
      <c r="E161" s="246" t="s">
        <v>81</v>
      </c>
      <c r="F161">
        <v>0</v>
      </c>
      <c r="G161" t="s">
        <v>1870</v>
      </c>
      <c r="H161" s="248" t="s">
        <v>80</v>
      </c>
      <c r="I161" t="s">
        <v>1693</v>
      </c>
      <c r="J161" t="s">
        <v>1870</v>
      </c>
      <c r="K161" t="s">
        <v>1870</v>
      </c>
      <c r="L161" s="246" t="s">
        <v>1368</v>
      </c>
      <c r="M161" t="s">
        <v>2131</v>
      </c>
      <c r="N161" t="s">
        <v>1870</v>
      </c>
      <c r="O161" s="247" t="s">
        <v>1392</v>
      </c>
      <c r="P161" s="3">
        <v>1452</v>
      </c>
      <c r="Q161" s="3">
        <v>2000</v>
      </c>
    </row>
    <row r="162" spans="1:18" x14ac:dyDescent="0.3">
      <c r="A162" s="249" t="s">
        <v>1870</v>
      </c>
      <c r="B162" s="246">
        <v>200</v>
      </c>
      <c r="C162" t="s">
        <v>1870</v>
      </c>
      <c r="D162" t="s">
        <v>1870</v>
      </c>
      <c r="E162" s="246" t="s">
        <v>81</v>
      </c>
      <c r="F162">
        <v>0</v>
      </c>
      <c r="G162" t="s">
        <v>1870</v>
      </c>
      <c r="H162" s="248" t="s">
        <v>80</v>
      </c>
      <c r="I162" t="s">
        <v>1693</v>
      </c>
      <c r="J162" t="s">
        <v>1870</v>
      </c>
      <c r="K162" t="s">
        <v>1870</v>
      </c>
      <c r="L162" s="246" t="s">
        <v>1540</v>
      </c>
      <c r="M162" t="s">
        <v>2131</v>
      </c>
      <c r="N162" t="s">
        <v>1870</v>
      </c>
      <c r="O162" s="247" t="s">
        <v>1543</v>
      </c>
      <c r="Q162" s="3">
        <v>0</v>
      </c>
    </row>
    <row r="163" spans="1:18" x14ac:dyDescent="0.3">
      <c r="A163" s="249" t="s">
        <v>1870</v>
      </c>
      <c r="B163" s="246">
        <v>200</v>
      </c>
      <c r="C163" t="s">
        <v>1870</v>
      </c>
      <c r="D163" t="s">
        <v>1870</v>
      </c>
      <c r="E163" s="246" t="s">
        <v>48</v>
      </c>
      <c r="F163">
        <v>0</v>
      </c>
      <c r="G163" t="s">
        <v>1870</v>
      </c>
      <c r="H163" s="248" t="s">
        <v>213</v>
      </c>
      <c r="I163" t="s">
        <v>1693</v>
      </c>
      <c r="J163" t="s">
        <v>1870</v>
      </c>
      <c r="K163" t="s">
        <v>1870</v>
      </c>
      <c r="L163" s="246" t="s">
        <v>1580</v>
      </c>
      <c r="M163" t="s">
        <v>2131</v>
      </c>
      <c r="N163" t="s">
        <v>1870</v>
      </c>
      <c r="O163" s="247" t="s">
        <v>1776</v>
      </c>
      <c r="Q163" s="3">
        <v>1000</v>
      </c>
    </row>
    <row r="164" spans="1:18" x14ac:dyDescent="0.3">
      <c r="A164" s="249" t="s">
        <v>1870</v>
      </c>
      <c r="B164" s="246">
        <v>200</v>
      </c>
      <c r="C164" t="s">
        <v>1870</v>
      </c>
      <c r="D164" t="s">
        <v>1870</v>
      </c>
      <c r="E164" s="7" t="s">
        <v>28</v>
      </c>
      <c r="F164" s="7">
        <v>1</v>
      </c>
      <c r="G164" t="s">
        <v>1870</v>
      </c>
      <c r="H164" t="s">
        <v>215</v>
      </c>
      <c r="I164" s="7" t="s">
        <v>1489</v>
      </c>
      <c r="J164" t="s">
        <v>1870</v>
      </c>
      <c r="K164" t="s">
        <v>1870</v>
      </c>
      <c r="L164" s="7" t="s">
        <v>1489</v>
      </c>
      <c r="M164" s="7" t="s">
        <v>1489</v>
      </c>
      <c r="N164" t="s">
        <v>1870</v>
      </c>
      <c r="O164">
        <v>0</v>
      </c>
      <c r="Q164" s="3">
        <v>0</v>
      </c>
    </row>
    <row r="165" spans="1:18" x14ac:dyDescent="0.3">
      <c r="A165" s="249" t="s">
        <v>1870</v>
      </c>
      <c r="B165" s="246">
        <v>200</v>
      </c>
      <c r="C165" t="s">
        <v>1870</v>
      </c>
      <c r="D165" t="s">
        <v>1870</v>
      </c>
      <c r="E165" s="246" t="s">
        <v>61</v>
      </c>
      <c r="F165" s="7">
        <v>0</v>
      </c>
      <c r="G165" t="s">
        <v>1870</v>
      </c>
      <c r="H165" s="248" t="s">
        <v>217</v>
      </c>
      <c r="I165" s="7" t="s">
        <v>1693</v>
      </c>
      <c r="J165" t="s">
        <v>1870</v>
      </c>
      <c r="K165" t="s">
        <v>1870</v>
      </c>
      <c r="L165" s="7" t="s">
        <v>1580</v>
      </c>
      <c r="M165" s="7" t="s">
        <v>2131</v>
      </c>
      <c r="N165" t="s">
        <v>1870</v>
      </c>
      <c r="O165" s="247" t="s">
        <v>1776</v>
      </c>
      <c r="Q165" s="3">
        <v>0</v>
      </c>
    </row>
    <row r="166" spans="1:18" x14ac:dyDescent="0.3">
      <c r="A166" s="249" t="s">
        <v>1870</v>
      </c>
      <c r="B166" s="246">
        <v>200</v>
      </c>
      <c r="C166" t="s">
        <v>1870</v>
      </c>
      <c r="D166" t="s">
        <v>1870</v>
      </c>
      <c r="E166" s="246" t="s">
        <v>61</v>
      </c>
      <c r="F166" s="7">
        <v>0</v>
      </c>
      <c r="G166" t="s">
        <v>1870</v>
      </c>
      <c r="H166" s="248" t="s">
        <v>217</v>
      </c>
      <c r="I166" s="7" t="s">
        <v>1693</v>
      </c>
      <c r="J166" t="s">
        <v>1870</v>
      </c>
      <c r="K166" t="s">
        <v>1870</v>
      </c>
      <c r="L166" s="246" t="s">
        <v>1443</v>
      </c>
      <c r="M166" t="s">
        <v>2131</v>
      </c>
      <c r="N166" t="s">
        <v>1870</v>
      </c>
      <c r="O166" s="247" t="s">
        <v>2029</v>
      </c>
      <c r="P166" s="3">
        <v>-10186.14</v>
      </c>
      <c r="Q166" s="3">
        <v>-5000</v>
      </c>
    </row>
    <row r="167" spans="1:18" x14ac:dyDescent="0.3">
      <c r="A167" s="249" t="s">
        <v>1870</v>
      </c>
      <c r="B167" s="246">
        <v>210</v>
      </c>
      <c r="C167" t="s">
        <v>1870</v>
      </c>
      <c r="D167" t="s">
        <v>1870</v>
      </c>
      <c r="E167" s="246" t="s">
        <v>48</v>
      </c>
      <c r="F167">
        <v>0</v>
      </c>
      <c r="G167" t="s">
        <v>1870</v>
      </c>
      <c r="H167" s="248" t="s">
        <v>220</v>
      </c>
      <c r="I167" t="s">
        <v>1693</v>
      </c>
      <c r="J167" t="s">
        <v>1870</v>
      </c>
      <c r="K167" t="s">
        <v>1870</v>
      </c>
      <c r="L167" s="246" t="s">
        <v>1573</v>
      </c>
      <c r="M167" t="s">
        <v>2131</v>
      </c>
      <c r="N167" t="s">
        <v>1870</v>
      </c>
      <c r="O167" s="247" t="s">
        <v>1747</v>
      </c>
      <c r="P167" s="3">
        <v>41701</v>
      </c>
      <c r="Q167" s="3">
        <v>100000</v>
      </c>
      <c r="R167" s="3">
        <v>41701</v>
      </c>
    </row>
    <row r="168" spans="1:18" x14ac:dyDescent="0.3">
      <c r="A168" s="249" t="s">
        <v>1870</v>
      </c>
      <c r="B168" s="246">
        <v>210</v>
      </c>
      <c r="C168" t="s">
        <v>1870</v>
      </c>
      <c r="D168" t="s">
        <v>1870</v>
      </c>
      <c r="E168" s="246" t="s">
        <v>48</v>
      </c>
      <c r="F168" s="7">
        <v>1</v>
      </c>
      <c r="G168" t="s">
        <v>1870</v>
      </c>
      <c r="H168" t="s">
        <v>222</v>
      </c>
      <c r="I168" s="7" t="s">
        <v>1489</v>
      </c>
      <c r="J168" t="s">
        <v>1870</v>
      </c>
      <c r="K168" t="s">
        <v>1870</v>
      </c>
      <c r="L168" s="7" t="s">
        <v>1489</v>
      </c>
      <c r="M168" s="7" t="s">
        <v>1489</v>
      </c>
      <c r="N168" t="s">
        <v>1870</v>
      </c>
      <c r="O168" t="s">
        <v>1489</v>
      </c>
      <c r="Q168" s="3">
        <v>0</v>
      </c>
    </row>
    <row r="169" spans="1:18" x14ac:dyDescent="0.3">
      <c r="A169" s="249" t="s">
        <v>1870</v>
      </c>
      <c r="B169" s="246">
        <v>210</v>
      </c>
      <c r="C169" t="s">
        <v>1870</v>
      </c>
      <c r="D169" t="s">
        <v>1870</v>
      </c>
      <c r="E169" s="7" t="s">
        <v>93</v>
      </c>
      <c r="F169" s="7">
        <v>0</v>
      </c>
      <c r="G169" t="s">
        <v>1870</v>
      </c>
      <c r="H169" t="s">
        <v>224</v>
      </c>
      <c r="I169" t="s">
        <v>1489</v>
      </c>
      <c r="J169" t="s">
        <v>1870</v>
      </c>
      <c r="K169" t="s">
        <v>1870</v>
      </c>
      <c r="L169" t="s">
        <v>1489</v>
      </c>
      <c r="M169" t="s">
        <v>1489</v>
      </c>
      <c r="N169" t="s">
        <v>1870</v>
      </c>
      <c r="O169" t="s">
        <v>1489</v>
      </c>
      <c r="Q169" s="3">
        <v>0</v>
      </c>
    </row>
    <row r="170" spans="1:18" x14ac:dyDescent="0.3">
      <c r="A170" s="249" t="s">
        <v>1870</v>
      </c>
      <c r="B170" s="246">
        <v>210</v>
      </c>
      <c r="C170" t="s">
        <v>1870</v>
      </c>
      <c r="D170" t="s">
        <v>1870</v>
      </c>
      <c r="E170" s="246" t="s">
        <v>227</v>
      </c>
      <c r="F170">
        <v>0</v>
      </c>
      <c r="G170" t="s">
        <v>1870</v>
      </c>
      <c r="H170" s="248" t="s">
        <v>226</v>
      </c>
      <c r="I170" s="246" t="s">
        <v>1736</v>
      </c>
      <c r="J170" t="s">
        <v>1870</v>
      </c>
      <c r="K170" t="s">
        <v>1870</v>
      </c>
      <c r="L170" s="246" t="s">
        <v>1741</v>
      </c>
      <c r="M170" s="7" t="s">
        <v>2131</v>
      </c>
      <c r="N170" t="s">
        <v>1870</v>
      </c>
      <c r="O170" s="247" t="s">
        <v>1742</v>
      </c>
      <c r="P170" s="3">
        <v>7867.06</v>
      </c>
      <c r="Q170" s="3">
        <v>2000</v>
      </c>
      <c r="R170" s="3">
        <v>8000</v>
      </c>
    </row>
    <row r="171" spans="1:18" x14ac:dyDescent="0.3">
      <c r="A171" s="249" t="s">
        <v>1870</v>
      </c>
      <c r="B171" s="246">
        <v>210</v>
      </c>
      <c r="C171" t="s">
        <v>1870</v>
      </c>
      <c r="D171" t="s">
        <v>1870</v>
      </c>
      <c r="E171" s="246" t="s">
        <v>53</v>
      </c>
      <c r="F171">
        <v>0</v>
      </c>
      <c r="G171" t="s">
        <v>1870</v>
      </c>
      <c r="H171" s="248" t="s">
        <v>229</v>
      </c>
      <c r="I171" s="246" t="s">
        <v>1714</v>
      </c>
      <c r="J171" t="s">
        <v>1870</v>
      </c>
      <c r="K171" t="s">
        <v>1870</v>
      </c>
      <c r="L171" s="246" t="s">
        <v>1681</v>
      </c>
      <c r="M171" t="s">
        <v>2131</v>
      </c>
      <c r="N171" t="s">
        <v>1870</v>
      </c>
      <c r="O171" s="247" t="s">
        <v>2040</v>
      </c>
      <c r="P171" s="3">
        <v>15699.13</v>
      </c>
      <c r="Q171" s="3">
        <v>0</v>
      </c>
      <c r="R171" s="3">
        <v>15699.13</v>
      </c>
    </row>
    <row r="172" spans="1:18" x14ac:dyDescent="0.3">
      <c r="A172" s="249" t="s">
        <v>1870</v>
      </c>
      <c r="B172" s="246">
        <v>210</v>
      </c>
      <c r="C172" t="s">
        <v>1870</v>
      </c>
      <c r="D172" t="s">
        <v>1870</v>
      </c>
      <c r="E172" s="246" t="s">
        <v>53</v>
      </c>
      <c r="F172">
        <v>0</v>
      </c>
      <c r="G172" t="s">
        <v>1870</v>
      </c>
      <c r="H172" s="248" t="s">
        <v>229</v>
      </c>
      <c r="I172" s="246" t="s">
        <v>1736</v>
      </c>
      <c r="J172" t="s">
        <v>1870</v>
      </c>
      <c r="K172" t="s">
        <v>1870</v>
      </c>
      <c r="L172" s="246" t="s">
        <v>1743</v>
      </c>
      <c r="M172" t="s">
        <v>2131</v>
      </c>
      <c r="N172" t="s">
        <v>1870</v>
      </c>
      <c r="O172" s="247" t="s">
        <v>1744</v>
      </c>
      <c r="Q172" s="3">
        <v>0</v>
      </c>
    </row>
    <row r="173" spans="1:18" x14ac:dyDescent="0.3">
      <c r="A173" s="249" t="s">
        <v>1870</v>
      </c>
      <c r="B173" s="246">
        <v>210</v>
      </c>
      <c r="C173" t="s">
        <v>1870</v>
      </c>
      <c r="D173" t="s">
        <v>1870</v>
      </c>
      <c r="E173" s="246" t="s">
        <v>183</v>
      </c>
      <c r="F173">
        <v>0</v>
      </c>
      <c r="G173" t="s">
        <v>1870</v>
      </c>
      <c r="H173" s="248" t="s">
        <v>231</v>
      </c>
      <c r="I173" s="246" t="s">
        <v>1738</v>
      </c>
      <c r="J173" t="s">
        <v>1870</v>
      </c>
      <c r="K173" t="s">
        <v>1870</v>
      </c>
      <c r="L173" s="246" t="s">
        <v>1546</v>
      </c>
      <c r="M173" s="246" t="s">
        <v>2134</v>
      </c>
      <c r="N173" t="s">
        <v>1870</v>
      </c>
      <c r="O173" s="247" t="s">
        <v>1740</v>
      </c>
      <c r="P173" s="3">
        <v>43133.09</v>
      </c>
      <c r="Q173" s="3">
        <v>0</v>
      </c>
    </row>
    <row r="174" spans="1:18" x14ac:dyDescent="0.3">
      <c r="A174" s="249" t="s">
        <v>1870</v>
      </c>
      <c r="B174" s="246">
        <v>210</v>
      </c>
      <c r="C174" t="s">
        <v>1870</v>
      </c>
      <c r="D174" t="s">
        <v>1870</v>
      </c>
      <c r="E174" s="246" t="s">
        <v>6</v>
      </c>
      <c r="F174">
        <v>0</v>
      </c>
      <c r="G174" t="s">
        <v>1870</v>
      </c>
      <c r="H174" s="248" t="s">
        <v>233</v>
      </c>
      <c r="I174" s="246" t="s">
        <v>1714</v>
      </c>
      <c r="J174" t="s">
        <v>1870</v>
      </c>
      <c r="K174" t="s">
        <v>1870</v>
      </c>
      <c r="L174" s="246" t="s">
        <v>1745</v>
      </c>
      <c r="M174" s="246" t="s">
        <v>2131</v>
      </c>
      <c r="N174" t="s">
        <v>1870</v>
      </c>
      <c r="O174" s="247" t="s">
        <v>2072</v>
      </c>
      <c r="P174" s="3">
        <v>130648</v>
      </c>
      <c r="Q174" s="3">
        <v>0</v>
      </c>
    </row>
    <row r="175" spans="1:18" x14ac:dyDescent="0.3">
      <c r="A175" s="249" t="s">
        <v>1870</v>
      </c>
      <c r="B175" s="246">
        <v>210</v>
      </c>
      <c r="C175" t="s">
        <v>1870</v>
      </c>
      <c r="D175" t="s">
        <v>1870</v>
      </c>
      <c r="E175" s="246" t="s">
        <v>236</v>
      </c>
      <c r="F175">
        <v>0</v>
      </c>
      <c r="G175" t="s">
        <v>1870</v>
      </c>
      <c r="H175" s="248" t="s">
        <v>235</v>
      </c>
      <c r="I175" s="246" t="s">
        <v>1693</v>
      </c>
      <c r="J175" t="s">
        <v>1870</v>
      </c>
      <c r="K175" t="s">
        <v>1870</v>
      </c>
      <c r="L175" s="246" t="s">
        <v>1706</v>
      </c>
      <c r="M175" t="s">
        <v>2131</v>
      </c>
      <c r="N175" t="s">
        <v>1870</v>
      </c>
      <c r="O175" s="247" t="s">
        <v>1713</v>
      </c>
      <c r="Q175" s="3">
        <v>0</v>
      </c>
    </row>
    <row r="176" spans="1:18" x14ac:dyDescent="0.3">
      <c r="A176" s="249" t="s">
        <v>1870</v>
      </c>
      <c r="B176" s="246">
        <v>210</v>
      </c>
      <c r="C176" t="s">
        <v>1870</v>
      </c>
      <c r="D176" t="s">
        <v>1870</v>
      </c>
      <c r="E176" s="246" t="s">
        <v>236</v>
      </c>
      <c r="F176">
        <v>0</v>
      </c>
      <c r="G176" t="s">
        <v>1870</v>
      </c>
      <c r="H176" s="248" t="s">
        <v>235</v>
      </c>
      <c r="I176" s="246" t="s">
        <v>1714</v>
      </c>
      <c r="J176" t="s">
        <v>1870</v>
      </c>
      <c r="K176" t="s">
        <v>1870</v>
      </c>
      <c r="L176" t="s">
        <v>1706</v>
      </c>
      <c r="M176" t="s">
        <v>2131</v>
      </c>
      <c r="N176" t="s">
        <v>1870</v>
      </c>
      <c r="O176" s="247" t="s">
        <v>1719</v>
      </c>
      <c r="P176" s="3">
        <v>-7719194.3499999996</v>
      </c>
      <c r="Q176" s="3">
        <v>-6850000</v>
      </c>
      <c r="R176" s="3">
        <v>-7700594.3499999996</v>
      </c>
    </row>
    <row r="177" spans="1:18" x14ac:dyDescent="0.3">
      <c r="A177" s="249" t="s">
        <v>1870</v>
      </c>
      <c r="B177" s="246">
        <v>210</v>
      </c>
      <c r="C177" t="s">
        <v>1870</v>
      </c>
      <c r="D177" t="s">
        <v>1870</v>
      </c>
      <c r="E177" s="246" t="s">
        <v>236</v>
      </c>
      <c r="F177" s="246">
        <v>1</v>
      </c>
      <c r="G177" t="s">
        <v>1870</v>
      </c>
      <c r="H177" s="248" t="s">
        <v>238</v>
      </c>
      <c r="I177" t="s">
        <v>1714</v>
      </c>
      <c r="J177" t="s">
        <v>1870</v>
      </c>
      <c r="K177" t="s">
        <v>1870</v>
      </c>
      <c r="L177" s="246" t="s">
        <v>1715</v>
      </c>
      <c r="M177" t="s">
        <v>2131</v>
      </c>
      <c r="N177" t="s">
        <v>1870</v>
      </c>
      <c r="O177" s="247" t="s">
        <v>1718</v>
      </c>
      <c r="P177" s="3">
        <v>-2034240.9</v>
      </c>
      <c r="Q177" s="3">
        <v>-2045000</v>
      </c>
      <c r="R177" s="3">
        <v>-2034240.9</v>
      </c>
    </row>
    <row r="178" spans="1:18" x14ac:dyDescent="0.3">
      <c r="A178" s="249" t="s">
        <v>1870</v>
      </c>
      <c r="B178" s="246">
        <v>210</v>
      </c>
      <c r="C178" t="s">
        <v>1870</v>
      </c>
      <c r="D178" t="s">
        <v>1870</v>
      </c>
      <c r="E178" s="246" t="s">
        <v>236</v>
      </c>
      <c r="F178" s="246">
        <v>2</v>
      </c>
      <c r="G178" t="s">
        <v>1870</v>
      </c>
      <c r="H178" s="248" t="s">
        <v>240</v>
      </c>
      <c r="I178" t="s">
        <v>1714</v>
      </c>
      <c r="J178" t="s">
        <v>1870</v>
      </c>
      <c r="K178" t="s">
        <v>1870</v>
      </c>
      <c r="L178" s="246" t="s">
        <v>1716</v>
      </c>
      <c r="M178" t="s">
        <v>2131</v>
      </c>
      <c r="N178" t="s">
        <v>1870</v>
      </c>
      <c r="O178" s="247" t="s">
        <v>240</v>
      </c>
      <c r="P178" s="3">
        <v>-141728.22</v>
      </c>
      <c r="Q178" s="3">
        <v>-75000</v>
      </c>
      <c r="R178" s="3">
        <v>-141728.22</v>
      </c>
    </row>
    <row r="179" spans="1:18" x14ac:dyDescent="0.3">
      <c r="A179" s="249" t="s">
        <v>1870</v>
      </c>
      <c r="B179" s="246">
        <v>210</v>
      </c>
      <c r="C179" t="s">
        <v>1870</v>
      </c>
      <c r="D179" t="s">
        <v>1870</v>
      </c>
      <c r="E179" s="246" t="s">
        <v>236</v>
      </c>
      <c r="F179" s="246">
        <v>3</v>
      </c>
      <c r="G179" t="s">
        <v>1870</v>
      </c>
      <c r="H179" s="248" t="s">
        <v>242</v>
      </c>
      <c r="I179" t="s">
        <v>1714</v>
      </c>
      <c r="J179" t="s">
        <v>1870</v>
      </c>
      <c r="K179" t="s">
        <v>1870</v>
      </c>
      <c r="L179" s="246" t="s">
        <v>1720</v>
      </c>
      <c r="M179" t="s">
        <v>2131</v>
      </c>
      <c r="N179" t="s">
        <v>1870</v>
      </c>
      <c r="O179" s="247" t="s">
        <v>1721</v>
      </c>
      <c r="P179" s="3">
        <v>-653939.36</v>
      </c>
      <c r="Q179" s="3">
        <v>-520000</v>
      </c>
      <c r="R179" s="3">
        <v>-653939.36</v>
      </c>
    </row>
    <row r="180" spans="1:18" x14ac:dyDescent="0.3">
      <c r="A180" s="249" t="s">
        <v>1870</v>
      </c>
      <c r="B180" s="246">
        <v>210</v>
      </c>
      <c r="C180" t="s">
        <v>1870</v>
      </c>
      <c r="D180" t="s">
        <v>1870</v>
      </c>
      <c r="E180" s="246" t="s">
        <v>245</v>
      </c>
      <c r="F180" s="246">
        <v>1</v>
      </c>
      <c r="G180" t="s">
        <v>1870</v>
      </c>
      <c r="H180" s="248" t="s">
        <v>244</v>
      </c>
      <c r="I180" t="s">
        <v>1714</v>
      </c>
      <c r="J180" t="s">
        <v>1870</v>
      </c>
      <c r="K180" t="s">
        <v>1870</v>
      </c>
      <c r="L180" s="246" t="s">
        <v>1723</v>
      </c>
      <c r="M180" t="s">
        <v>2131</v>
      </c>
      <c r="N180" t="s">
        <v>1870</v>
      </c>
      <c r="O180" s="247" t="s">
        <v>1722</v>
      </c>
      <c r="P180" s="3">
        <v>-195703.75</v>
      </c>
      <c r="Q180" s="3">
        <v>110000</v>
      </c>
      <c r="R180" s="3">
        <v>-195703.75</v>
      </c>
    </row>
    <row r="181" spans="1:18" x14ac:dyDescent="0.3">
      <c r="A181" s="249" t="s">
        <v>1870</v>
      </c>
      <c r="B181" s="246">
        <v>210</v>
      </c>
      <c r="C181" t="s">
        <v>1870</v>
      </c>
      <c r="D181" t="s">
        <v>1870</v>
      </c>
      <c r="E181" s="246" t="s">
        <v>245</v>
      </c>
      <c r="F181" s="246">
        <v>2</v>
      </c>
      <c r="G181" t="s">
        <v>1870</v>
      </c>
      <c r="H181" s="248" t="s">
        <v>247</v>
      </c>
      <c r="I181" t="s">
        <v>1714</v>
      </c>
      <c r="J181" t="s">
        <v>1870</v>
      </c>
      <c r="K181" t="s">
        <v>1870</v>
      </c>
      <c r="L181" s="246" t="s">
        <v>1717</v>
      </c>
      <c r="M181" t="s">
        <v>2131</v>
      </c>
      <c r="N181" t="s">
        <v>1870</v>
      </c>
      <c r="O181" s="247" t="s">
        <v>2069</v>
      </c>
      <c r="P181" s="3">
        <v>-50600.95</v>
      </c>
      <c r="Q181" s="3">
        <v>-27000</v>
      </c>
      <c r="R181" s="3">
        <v>-50600.95</v>
      </c>
    </row>
    <row r="182" spans="1:18" x14ac:dyDescent="0.3">
      <c r="A182" s="249" t="s">
        <v>1870</v>
      </c>
      <c r="B182" s="246">
        <v>210</v>
      </c>
      <c r="C182" t="s">
        <v>1870</v>
      </c>
      <c r="D182" t="s">
        <v>1870</v>
      </c>
      <c r="E182" s="246" t="s">
        <v>245</v>
      </c>
      <c r="F182" s="246">
        <v>3</v>
      </c>
      <c r="G182" t="s">
        <v>1870</v>
      </c>
      <c r="H182" s="248" t="s">
        <v>249</v>
      </c>
      <c r="I182" t="s">
        <v>1714</v>
      </c>
      <c r="J182" t="s">
        <v>1870</v>
      </c>
      <c r="K182" t="s">
        <v>1870</v>
      </c>
      <c r="L182" s="246" t="s">
        <v>1724</v>
      </c>
      <c r="M182" t="s">
        <v>2131</v>
      </c>
      <c r="N182" t="s">
        <v>1870</v>
      </c>
      <c r="O182" s="247" t="s">
        <v>1725</v>
      </c>
      <c r="P182" s="3">
        <v>-49101.2</v>
      </c>
      <c r="Q182" s="3">
        <v>-49000</v>
      </c>
      <c r="R182" s="3">
        <v>-49101.2</v>
      </c>
    </row>
    <row r="183" spans="1:18" x14ac:dyDescent="0.3">
      <c r="A183" s="249" t="s">
        <v>1870</v>
      </c>
      <c r="B183" s="246">
        <v>210</v>
      </c>
      <c r="C183" t="s">
        <v>1870</v>
      </c>
      <c r="D183" t="s">
        <v>1870</v>
      </c>
      <c r="E183" s="246" t="s">
        <v>252</v>
      </c>
      <c r="F183" s="246">
        <v>0</v>
      </c>
      <c r="G183" t="s">
        <v>1870</v>
      </c>
      <c r="H183" s="248" t="s">
        <v>251</v>
      </c>
      <c r="I183" t="s">
        <v>1714</v>
      </c>
      <c r="J183" t="s">
        <v>1870</v>
      </c>
      <c r="K183" t="s">
        <v>1870</v>
      </c>
      <c r="L183" s="246" t="s">
        <v>1726</v>
      </c>
      <c r="M183" t="s">
        <v>2131</v>
      </c>
      <c r="N183" t="s">
        <v>1870</v>
      </c>
      <c r="O183" s="247" t="s">
        <v>251</v>
      </c>
      <c r="P183" s="3">
        <v>-764831.05</v>
      </c>
      <c r="Q183" s="3">
        <v>-752000</v>
      </c>
      <c r="R183" s="3">
        <v>-764831.05</v>
      </c>
    </row>
    <row r="184" spans="1:18" x14ac:dyDescent="0.3">
      <c r="A184" s="249" t="s">
        <v>1870</v>
      </c>
      <c r="B184" s="246">
        <v>210</v>
      </c>
      <c r="C184" t="s">
        <v>1870</v>
      </c>
      <c r="D184" t="s">
        <v>1870</v>
      </c>
      <c r="E184" s="246" t="s">
        <v>255</v>
      </c>
      <c r="F184">
        <v>0</v>
      </c>
      <c r="G184" t="s">
        <v>1870</v>
      </c>
      <c r="H184" s="248" t="s">
        <v>254</v>
      </c>
      <c r="I184" t="s">
        <v>1714</v>
      </c>
      <c r="J184" t="s">
        <v>1870</v>
      </c>
      <c r="K184" t="s">
        <v>1870</v>
      </c>
      <c r="L184" s="246" t="s">
        <v>1727</v>
      </c>
      <c r="M184" t="s">
        <v>2131</v>
      </c>
      <c r="N184" t="s">
        <v>1870</v>
      </c>
      <c r="O184" s="247" t="s">
        <v>1728</v>
      </c>
      <c r="P184" s="3">
        <v>-589081.94999999995</v>
      </c>
      <c r="Q184" s="3">
        <v>-382000</v>
      </c>
      <c r="R184" s="3">
        <v>-489081.94999999995</v>
      </c>
    </row>
    <row r="185" spans="1:18" x14ac:dyDescent="0.3">
      <c r="A185" s="249" t="s">
        <v>1870</v>
      </c>
      <c r="B185" s="246">
        <v>210</v>
      </c>
      <c r="C185" t="s">
        <v>1870</v>
      </c>
      <c r="D185" t="s">
        <v>1870</v>
      </c>
      <c r="E185" s="246" t="s">
        <v>258</v>
      </c>
      <c r="F185">
        <v>0</v>
      </c>
      <c r="G185" t="s">
        <v>1870</v>
      </c>
      <c r="H185" s="248" t="s">
        <v>257</v>
      </c>
      <c r="I185" t="s">
        <v>1714</v>
      </c>
      <c r="J185" t="s">
        <v>1870</v>
      </c>
      <c r="K185" t="s">
        <v>1870</v>
      </c>
      <c r="L185" s="246" t="s">
        <v>1729</v>
      </c>
      <c r="M185" t="s">
        <v>2131</v>
      </c>
      <c r="N185" t="s">
        <v>1870</v>
      </c>
      <c r="O185" s="247" t="s">
        <v>1730</v>
      </c>
      <c r="P185" s="3">
        <v>-1028831.7</v>
      </c>
      <c r="Q185" s="3">
        <v>-165000</v>
      </c>
      <c r="R185" s="3">
        <v>-228831.69999999995</v>
      </c>
    </row>
    <row r="186" spans="1:18" x14ac:dyDescent="0.3">
      <c r="A186" s="249" t="s">
        <v>1870</v>
      </c>
      <c r="B186" s="246">
        <v>210</v>
      </c>
      <c r="C186" t="s">
        <v>1870</v>
      </c>
      <c r="D186" t="s">
        <v>1870</v>
      </c>
      <c r="E186" s="246" t="s">
        <v>141</v>
      </c>
      <c r="F186">
        <v>0</v>
      </c>
      <c r="G186" t="s">
        <v>1870</v>
      </c>
      <c r="H186" s="248" t="s">
        <v>260</v>
      </c>
      <c r="I186" t="s">
        <v>1714</v>
      </c>
      <c r="J186" t="s">
        <v>1870</v>
      </c>
      <c r="K186" t="s">
        <v>1870</v>
      </c>
      <c r="L186" s="246" t="s">
        <v>1731</v>
      </c>
      <c r="M186" t="s">
        <v>2131</v>
      </c>
      <c r="N186" t="s">
        <v>1870</v>
      </c>
      <c r="O186" s="247" t="s">
        <v>260</v>
      </c>
      <c r="P186" s="3">
        <v>-9300</v>
      </c>
      <c r="Q186" s="3">
        <v>-9500</v>
      </c>
    </row>
    <row r="187" spans="1:18" x14ac:dyDescent="0.3">
      <c r="A187" s="249" t="s">
        <v>1870</v>
      </c>
      <c r="B187" s="246">
        <v>210</v>
      </c>
      <c r="C187" t="s">
        <v>1870</v>
      </c>
      <c r="D187" t="s">
        <v>1870</v>
      </c>
      <c r="E187" s="246" t="s">
        <v>263</v>
      </c>
      <c r="F187">
        <v>0</v>
      </c>
      <c r="G187" t="s">
        <v>1870</v>
      </c>
      <c r="H187" s="248" t="s">
        <v>262</v>
      </c>
      <c r="I187" t="s">
        <v>1714</v>
      </c>
      <c r="J187" t="s">
        <v>1870</v>
      </c>
      <c r="K187" t="s">
        <v>1870</v>
      </c>
      <c r="L187" s="246" t="s">
        <v>1720</v>
      </c>
      <c r="M187" s="246" t="s">
        <v>2132</v>
      </c>
      <c r="N187" t="s">
        <v>1870</v>
      </c>
      <c r="O187" s="247" t="s">
        <v>262</v>
      </c>
      <c r="P187" s="3">
        <v>-8603.9699999999993</v>
      </c>
      <c r="Q187" s="3">
        <v>-6000</v>
      </c>
      <c r="R187" s="3">
        <v>-8603.9699999999993</v>
      </c>
    </row>
    <row r="188" spans="1:18" x14ac:dyDescent="0.3">
      <c r="A188" s="249" t="s">
        <v>1870</v>
      </c>
      <c r="B188" s="246">
        <v>210</v>
      </c>
      <c r="C188" t="s">
        <v>1870</v>
      </c>
      <c r="D188" t="s">
        <v>1870</v>
      </c>
      <c r="E188" s="246" t="s">
        <v>266</v>
      </c>
      <c r="F188">
        <v>0</v>
      </c>
      <c r="G188" t="s">
        <v>1870</v>
      </c>
      <c r="H188" s="248" t="s">
        <v>265</v>
      </c>
      <c r="I188" s="246" t="s">
        <v>1733</v>
      </c>
      <c r="J188" t="s">
        <v>1870</v>
      </c>
      <c r="K188" t="s">
        <v>1870</v>
      </c>
      <c r="L188" s="246" t="s">
        <v>1618</v>
      </c>
      <c r="M188" s="246" t="s">
        <v>2131</v>
      </c>
      <c r="N188" t="s">
        <v>1870</v>
      </c>
      <c r="O188" s="247" t="s">
        <v>1734</v>
      </c>
      <c r="P188" s="3">
        <v>-1050.5</v>
      </c>
      <c r="Q188" s="3">
        <v>-200</v>
      </c>
    </row>
    <row r="189" spans="1:18" x14ac:dyDescent="0.3">
      <c r="A189" s="249" t="s">
        <v>1870</v>
      </c>
      <c r="B189" s="246">
        <v>210</v>
      </c>
      <c r="C189" t="s">
        <v>1870</v>
      </c>
      <c r="D189" t="s">
        <v>1870</v>
      </c>
      <c r="E189" s="246" t="s">
        <v>269</v>
      </c>
      <c r="F189">
        <v>0</v>
      </c>
      <c r="G189" t="s">
        <v>1870</v>
      </c>
      <c r="H189" s="248" t="s">
        <v>268</v>
      </c>
      <c r="I189" s="246" t="s">
        <v>1736</v>
      </c>
      <c r="J189" t="s">
        <v>1870</v>
      </c>
      <c r="K189" t="s">
        <v>1870</v>
      </c>
      <c r="L189" s="246" t="s">
        <v>1732</v>
      </c>
      <c r="M189" t="s">
        <v>2131</v>
      </c>
      <c r="N189" t="s">
        <v>1870</v>
      </c>
      <c r="O189" s="247" t="s">
        <v>1737</v>
      </c>
      <c r="P189" s="3">
        <v>-76657.17</v>
      </c>
      <c r="Q189" s="3">
        <v>-60000</v>
      </c>
    </row>
    <row r="190" spans="1:18" x14ac:dyDescent="0.3">
      <c r="A190" s="249" t="s">
        <v>1870</v>
      </c>
      <c r="B190" s="246">
        <v>210</v>
      </c>
      <c r="C190" t="s">
        <v>1870</v>
      </c>
      <c r="D190" t="s">
        <v>1870</v>
      </c>
      <c r="E190" s="246" t="s">
        <v>272</v>
      </c>
      <c r="F190">
        <v>0</v>
      </c>
      <c r="G190" t="s">
        <v>1870</v>
      </c>
      <c r="H190" s="248" t="s">
        <v>271</v>
      </c>
      <c r="I190" s="246" t="s">
        <v>1738</v>
      </c>
      <c r="J190" t="s">
        <v>1870</v>
      </c>
      <c r="K190" t="s">
        <v>1870</v>
      </c>
      <c r="L190" s="246" t="s">
        <v>1425</v>
      </c>
      <c r="M190" s="246" t="s">
        <v>2132</v>
      </c>
      <c r="N190" t="s">
        <v>1870</v>
      </c>
      <c r="O190" s="247" t="s">
        <v>271</v>
      </c>
      <c r="P190" s="3">
        <v>-612939.30000000005</v>
      </c>
      <c r="Q190" s="3">
        <v>-650000</v>
      </c>
      <c r="R190" s="3">
        <v>-412939.30000000005</v>
      </c>
    </row>
    <row r="191" spans="1:18" x14ac:dyDescent="0.3">
      <c r="A191" s="249" t="s">
        <v>1870</v>
      </c>
      <c r="B191" s="246">
        <v>210</v>
      </c>
      <c r="C191" t="s">
        <v>1870</v>
      </c>
      <c r="D191" t="s">
        <v>1870</v>
      </c>
      <c r="E191" s="246" t="s">
        <v>272</v>
      </c>
      <c r="F191" s="246">
        <v>1</v>
      </c>
      <c r="G191" t="s">
        <v>1870</v>
      </c>
      <c r="H191" s="248" t="s">
        <v>274</v>
      </c>
      <c r="I191" t="s">
        <v>1738</v>
      </c>
      <c r="J191" t="s">
        <v>1870</v>
      </c>
      <c r="K191" t="s">
        <v>1870</v>
      </c>
      <c r="L191" t="s">
        <v>1425</v>
      </c>
      <c r="M191" s="246" t="s">
        <v>2133</v>
      </c>
      <c r="N191" t="s">
        <v>1870</v>
      </c>
      <c r="O191" s="247" t="s">
        <v>1739</v>
      </c>
      <c r="P191" s="3">
        <v>-235685.55</v>
      </c>
      <c r="Q191" s="3">
        <v>-286000</v>
      </c>
      <c r="R191" s="3">
        <v>-235685.55</v>
      </c>
    </row>
    <row r="192" spans="1:18" x14ac:dyDescent="0.3">
      <c r="A192" s="249" t="s">
        <v>1870</v>
      </c>
      <c r="B192" s="246">
        <v>210</v>
      </c>
      <c r="C192" t="s">
        <v>1870</v>
      </c>
      <c r="D192" t="s">
        <v>1870</v>
      </c>
      <c r="E192" s="246" t="s">
        <v>175</v>
      </c>
      <c r="F192" s="246">
        <v>0</v>
      </c>
      <c r="G192" t="s">
        <v>1870</v>
      </c>
      <c r="H192" s="248" t="s">
        <v>231</v>
      </c>
      <c r="I192" t="s">
        <v>1738</v>
      </c>
      <c r="J192" t="s">
        <v>1870</v>
      </c>
      <c r="K192" t="s">
        <v>1870</v>
      </c>
      <c r="L192" t="s">
        <v>1425</v>
      </c>
      <c r="M192" s="246" t="s">
        <v>2134</v>
      </c>
      <c r="N192" t="s">
        <v>1870</v>
      </c>
      <c r="O192" s="247" t="s">
        <v>1740</v>
      </c>
      <c r="Q192" s="3">
        <v>-60000</v>
      </c>
      <c r="R192" s="3">
        <v>-23417.950924262201</v>
      </c>
    </row>
    <row r="193" spans="1:18" x14ac:dyDescent="0.3">
      <c r="A193" s="249" t="s">
        <v>1870</v>
      </c>
      <c r="B193" s="246">
        <v>210</v>
      </c>
      <c r="C193" t="s">
        <v>1870</v>
      </c>
      <c r="D193" t="s">
        <v>1870</v>
      </c>
      <c r="E193" s="7" t="s">
        <v>64</v>
      </c>
      <c r="F193">
        <v>0</v>
      </c>
      <c r="G193" t="s">
        <v>1870</v>
      </c>
      <c r="H193" t="s">
        <v>277</v>
      </c>
      <c r="I193" s="7" t="s">
        <v>1489</v>
      </c>
      <c r="J193" t="s">
        <v>1870</v>
      </c>
      <c r="K193" t="s">
        <v>1870</v>
      </c>
      <c r="L193" s="7" t="s">
        <v>1489</v>
      </c>
      <c r="M193" s="7" t="s">
        <v>1489</v>
      </c>
      <c r="N193" t="s">
        <v>1870</v>
      </c>
      <c r="O193">
        <v>0</v>
      </c>
      <c r="Q193" s="3">
        <v>0</v>
      </c>
    </row>
    <row r="194" spans="1:18" x14ac:dyDescent="0.3">
      <c r="A194" s="249" t="s">
        <v>1870</v>
      </c>
      <c r="B194" s="246">
        <v>220</v>
      </c>
      <c r="C194" t="s">
        <v>1870</v>
      </c>
      <c r="D194" t="s">
        <v>1870</v>
      </c>
      <c r="E194" s="246" t="s">
        <v>48</v>
      </c>
      <c r="F194">
        <v>0</v>
      </c>
      <c r="G194" t="s">
        <v>1870</v>
      </c>
      <c r="H194" s="248" t="s">
        <v>279</v>
      </c>
      <c r="I194" s="246" t="s">
        <v>1415</v>
      </c>
      <c r="J194" t="s">
        <v>1870</v>
      </c>
      <c r="K194" t="s">
        <v>1870</v>
      </c>
      <c r="L194" s="246" t="s">
        <v>1434</v>
      </c>
      <c r="M194" s="246" t="s">
        <v>2131</v>
      </c>
      <c r="N194" t="s">
        <v>1870</v>
      </c>
      <c r="O194" s="247" t="s">
        <v>2075</v>
      </c>
      <c r="P194" s="3">
        <v>1911.39</v>
      </c>
      <c r="Q194" s="3">
        <v>2000</v>
      </c>
    </row>
    <row r="195" spans="1:18" x14ac:dyDescent="0.3">
      <c r="A195" s="249" t="s">
        <v>1870</v>
      </c>
      <c r="B195" s="246">
        <v>220</v>
      </c>
      <c r="C195" t="s">
        <v>1870</v>
      </c>
      <c r="D195" t="s">
        <v>1870</v>
      </c>
      <c r="E195" s="246" t="s">
        <v>282</v>
      </c>
      <c r="F195">
        <v>0</v>
      </c>
      <c r="G195" t="s">
        <v>1870</v>
      </c>
      <c r="H195" s="248" t="s">
        <v>281</v>
      </c>
      <c r="I195" s="246" t="s">
        <v>1736</v>
      </c>
      <c r="J195" t="s">
        <v>1870</v>
      </c>
      <c r="K195" t="s">
        <v>1870</v>
      </c>
      <c r="L195" s="246" t="s">
        <v>1752</v>
      </c>
      <c r="M195" t="s">
        <v>2131</v>
      </c>
      <c r="N195" t="s">
        <v>1870</v>
      </c>
      <c r="O195" s="247" t="s">
        <v>1753</v>
      </c>
      <c r="P195" s="3">
        <v>103.75</v>
      </c>
      <c r="Q195" s="3">
        <v>500</v>
      </c>
    </row>
    <row r="196" spans="1:18" x14ac:dyDescent="0.3">
      <c r="A196" s="249" t="s">
        <v>1870</v>
      </c>
      <c r="B196" s="246">
        <v>220</v>
      </c>
      <c r="C196" t="s">
        <v>1870</v>
      </c>
      <c r="D196" t="s">
        <v>1870</v>
      </c>
      <c r="E196" s="246" t="s">
        <v>285</v>
      </c>
      <c r="F196" s="246">
        <v>3</v>
      </c>
      <c r="G196" t="s">
        <v>1870</v>
      </c>
      <c r="H196" s="248" t="s">
        <v>289</v>
      </c>
      <c r="I196" t="s">
        <v>1736</v>
      </c>
      <c r="J196" t="s">
        <v>1870</v>
      </c>
      <c r="K196" t="s">
        <v>1870</v>
      </c>
      <c r="L196" t="s">
        <v>1752</v>
      </c>
      <c r="M196" t="s">
        <v>2131</v>
      </c>
      <c r="N196" t="s">
        <v>1870</v>
      </c>
      <c r="O196" s="247" t="s">
        <v>1753</v>
      </c>
      <c r="P196" s="3">
        <v>5999.8</v>
      </c>
      <c r="Q196" s="3">
        <v>6000</v>
      </c>
      <c r="R196" s="3">
        <v>5999.8</v>
      </c>
    </row>
    <row r="197" spans="1:18" x14ac:dyDescent="0.3">
      <c r="A197" s="249" t="s">
        <v>1870</v>
      </c>
      <c r="B197" s="246">
        <v>220</v>
      </c>
      <c r="C197" t="s">
        <v>1870</v>
      </c>
      <c r="D197" t="s">
        <v>1870</v>
      </c>
      <c r="E197" s="246" t="s">
        <v>285</v>
      </c>
      <c r="F197" s="246">
        <v>4</v>
      </c>
      <c r="G197" t="s">
        <v>1870</v>
      </c>
      <c r="H197" s="248" t="s">
        <v>291</v>
      </c>
      <c r="I197" t="s">
        <v>1736</v>
      </c>
      <c r="J197" t="s">
        <v>1870</v>
      </c>
      <c r="K197" t="s">
        <v>1870</v>
      </c>
      <c r="L197" t="s">
        <v>1752</v>
      </c>
      <c r="M197" t="s">
        <v>2131</v>
      </c>
      <c r="N197" t="s">
        <v>1870</v>
      </c>
      <c r="O197" s="247" t="s">
        <v>1753</v>
      </c>
      <c r="P197" s="3">
        <v>7070</v>
      </c>
      <c r="Q197" s="3">
        <v>3000</v>
      </c>
    </row>
    <row r="198" spans="1:18" x14ac:dyDescent="0.3">
      <c r="A198" s="249" t="s">
        <v>1870</v>
      </c>
      <c r="B198" s="246">
        <v>220</v>
      </c>
      <c r="C198" t="s">
        <v>1870</v>
      </c>
      <c r="D198" t="s">
        <v>1870</v>
      </c>
      <c r="E198" s="246" t="s">
        <v>285</v>
      </c>
      <c r="F198" s="246">
        <v>5</v>
      </c>
      <c r="G198" t="s">
        <v>1870</v>
      </c>
      <c r="H198" s="248" t="s">
        <v>293</v>
      </c>
      <c r="I198" t="s">
        <v>1736</v>
      </c>
      <c r="J198" t="s">
        <v>1870</v>
      </c>
      <c r="K198" t="s">
        <v>1870</v>
      </c>
      <c r="L198" t="s">
        <v>1752</v>
      </c>
      <c r="M198" t="s">
        <v>2131</v>
      </c>
      <c r="N198" t="s">
        <v>1870</v>
      </c>
      <c r="O198" s="247" t="s">
        <v>1753</v>
      </c>
      <c r="P198" s="3">
        <v>25600</v>
      </c>
      <c r="Q198" s="3">
        <v>25600</v>
      </c>
      <c r="R198" s="3">
        <v>25600</v>
      </c>
    </row>
    <row r="199" spans="1:18" x14ac:dyDescent="0.3">
      <c r="A199" s="249" t="s">
        <v>1870</v>
      </c>
      <c r="B199" s="246">
        <v>220</v>
      </c>
      <c r="C199" t="s">
        <v>1870</v>
      </c>
      <c r="D199" t="s">
        <v>1870</v>
      </c>
      <c r="E199" s="246" t="s">
        <v>285</v>
      </c>
      <c r="F199" s="246">
        <v>6</v>
      </c>
      <c r="G199" t="s">
        <v>1870</v>
      </c>
      <c r="H199" s="248" t="s">
        <v>295</v>
      </c>
      <c r="I199" t="s">
        <v>1736</v>
      </c>
      <c r="J199" t="s">
        <v>1870</v>
      </c>
      <c r="K199" t="s">
        <v>1870</v>
      </c>
      <c r="L199" t="s">
        <v>1752</v>
      </c>
      <c r="M199" t="s">
        <v>2131</v>
      </c>
      <c r="N199" t="s">
        <v>1870</v>
      </c>
      <c r="O199" s="247" t="s">
        <v>1753</v>
      </c>
      <c r="Q199" s="3">
        <v>0</v>
      </c>
      <c r="R199" s="3">
        <v>65100</v>
      </c>
    </row>
    <row r="200" spans="1:18" x14ac:dyDescent="0.3">
      <c r="A200" s="249" t="s">
        <v>1870</v>
      </c>
      <c r="B200" s="246">
        <v>220</v>
      </c>
      <c r="C200" t="s">
        <v>1870</v>
      </c>
      <c r="D200" t="s">
        <v>1870</v>
      </c>
      <c r="E200" s="246" t="s">
        <v>285</v>
      </c>
      <c r="F200" s="246">
        <v>7</v>
      </c>
      <c r="G200" t="s">
        <v>1870</v>
      </c>
      <c r="H200" s="248" t="s">
        <v>297</v>
      </c>
      <c r="I200" s="7" t="s">
        <v>1736</v>
      </c>
      <c r="J200" t="s">
        <v>1870</v>
      </c>
      <c r="K200" t="s">
        <v>1870</v>
      </c>
      <c r="L200" s="7" t="s">
        <v>1752</v>
      </c>
      <c r="M200" s="7" t="s">
        <v>2131</v>
      </c>
      <c r="N200" t="s">
        <v>1870</v>
      </c>
      <c r="O200" s="247" t="s">
        <v>1753</v>
      </c>
      <c r="P200" s="3">
        <v>13130</v>
      </c>
      <c r="Q200" s="3">
        <v>5500</v>
      </c>
    </row>
    <row r="201" spans="1:18" x14ac:dyDescent="0.3">
      <c r="A201" s="249" t="s">
        <v>1870</v>
      </c>
      <c r="B201" s="246">
        <v>220</v>
      </c>
      <c r="C201" t="s">
        <v>1870</v>
      </c>
      <c r="D201" t="s">
        <v>1870</v>
      </c>
      <c r="E201" s="246" t="s">
        <v>285</v>
      </c>
      <c r="F201" s="246">
        <v>8</v>
      </c>
      <c r="G201" t="s">
        <v>1870</v>
      </c>
      <c r="H201" s="248" t="s">
        <v>299</v>
      </c>
      <c r="I201" t="s">
        <v>1736</v>
      </c>
      <c r="J201" t="s">
        <v>1870</v>
      </c>
      <c r="K201" t="s">
        <v>1870</v>
      </c>
      <c r="L201" t="s">
        <v>1752</v>
      </c>
      <c r="M201" t="s">
        <v>2131</v>
      </c>
      <c r="N201" t="s">
        <v>1870</v>
      </c>
      <c r="O201" s="247" t="s">
        <v>1753</v>
      </c>
      <c r="P201" s="3">
        <v>19125.150000000001</v>
      </c>
      <c r="Q201" s="3">
        <v>19125</v>
      </c>
      <c r="R201" s="3">
        <v>19125.150000000001</v>
      </c>
    </row>
    <row r="202" spans="1:18" x14ac:dyDescent="0.3">
      <c r="A202" s="249" t="s">
        <v>1870</v>
      </c>
      <c r="B202" s="246">
        <v>220</v>
      </c>
      <c r="C202" t="s">
        <v>1870</v>
      </c>
      <c r="D202" t="s">
        <v>1870</v>
      </c>
      <c r="E202" s="246" t="s">
        <v>285</v>
      </c>
      <c r="F202" s="246">
        <v>9</v>
      </c>
      <c r="G202" t="s">
        <v>1870</v>
      </c>
      <c r="H202" s="248" t="s">
        <v>301</v>
      </c>
      <c r="I202" t="s">
        <v>1736</v>
      </c>
      <c r="J202" t="s">
        <v>1870</v>
      </c>
      <c r="K202" t="s">
        <v>1870</v>
      </c>
      <c r="L202" t="s">
        <v>1752</v>
      </c>
      <c r="M202" t="s">
        <v>2131</v>
      </c>
      <c r="N202" t="s">
        <v>1870</v>
      </c>
      <c r="O202" s="247" t="s">
        <v>1753</v>
      </c>
      <c r="Q202" s="3">
        <v>0</v>
      </c>
    </row>
    <row r="203" spans="1:18" x14ac:dyDescent="0.3">
      <c r="A203" s="249" t="s">
        <v>1870</v>
      </c>
      <c r="B203" s="246">
        <v>220</v>
      </c>
      <c r="C203" t="s">
        <v>1870</v>
      </c>
      <c r="D203" t="s">
        <v>1870</v>
      </c>
      <c r="E203" s="246" t="s">
        <v>285</v>
      </c>
      <c r="F203" s="246">
        <v>10</v>
      </c>
      <c r="G203" t="s">
        <v>1870</v>
      </c>
      <c r="H203" s="248" t="s">
        <v>284</v>
      </c>
      <c r="I203" t="s">
        <v>1736</v>
      </c>
      <c r="J203" t="s">
        <v>1870</v>
      </c>
      <c r="K203" t="s">
        <v>1870</v>
      </c>
      <c r="L203" t="s">
        <v>1752</v>
      </c>
      <c r="M203" t="s">
        <v>2131</v>
      </c>
      <c r="N203" t="s">
        <v>1870</v>
      </c>
      <c r="O203" s="247" t="s">
        <v>1753</v>
      </c>
      <c r="Q203" s="3">
        <v>0</v>
      </c>
    </row>
    <row r="204" spans="1:18" x14ac:dyDescent="0.3">
      <c r="A204" s="249" t="s">
        <v>1870</v>
      </c>
      <c r="B204" s="246">
        <v>220</v>
      </c>
      <c r="C204" t="s">
        <v>1870</v>
      </c>
      <c r="D204" t="s">
        <v>1870</v>
      </c>
      <c r="E204" s="246" t="s">
        <v>285</v>
      </c>
      <c r="F204" s="7">
        <v>11</v>
      </c>
      <c r="G204" t="s">
        <v>1870</v>
      </c>
      <c r="H204" t="s">
        <v>287</v>
      </c>
      <c r="I204" s="7" t="s">
        <v>1489</v>
      </c>
      <c r="J204" t="s">
        <v>1870</v>
      </c>
      <c r="K204" t="s">
        <v>1870</v>
      </c>
      <c r="L204" s="7" t="s">
        <v>1489</v>
      </c>
      <c r="M204" s="7" t="s">
        <v>1489</v>
      </c>
      <c r="N204" t="s">
        <v>1870</v>
      </c>
      <c r="O204">
        <v>0</v>
      </c>
      <c r="Q204" s="3">
        <v>0</v>
      </c>
    </row>
    <row r="205" spans="1:18" x14ac:dyDescent="0.3">
      <c r="A205" s="249" t="s">
        <v>1870</v>
      </c>
      <c r="B205" s="246">
        <v>220</v>
      </c>
      <c r="C205" t="s">
        <v>1870</v>
      </c>
      <c r="D205" t="s">
        <v>1870</v>
      </c>
      <c r="E205" s="246" t="s">
        <v>227</v>
      </c>
      <c r="F205" s="246">
        <v>0</v>
      </c>
      <c r="G205" t="s">
        <v>1870</v>
      </c>
      <c r="H205" s="248" t="s">
        <v>303</v>
      </c>
      <c r="I205" s="246" t="s">
        <v>1756</v>
      </c>
      <c r="J205" t="s">
        <v>1870</v>
      </c>
      <c r="K205" t="s">
        <v>1870</v>
      </c>
      <c r="L205" s="246" t="s">
        <v>1754</v>
      </c>
      <c r="M205" s="7" t="s">
        <v>2131</v>
      </c>
      <c r="N205" t="s">
        <v>1870</v>
      </c>
      <c r="O205" s="247" t="s">
        <v>1755</v>
      </c>
      <c r="P205" s="3">
        <v>20455.55</v>
      </c>
      <c r="Q205" s="3">
        <v>0</v>
      </c>
      <c r="R205" s="3">
        <v>0</v>
      </c>
    </row>
    <row r="206" spans="1:18" x14ac:dyDescent="0.3">
      <c r="A206" s="249" t="s">
        <v>1870</v>
      </c>
      <c r="B206" s="246">
        <v>220</v>
      </c>
      <c r="C206" t="s">
        <v>1870</v>
      </c>
      <c r="D206" t="s">
        <v>1870</v>
      </c>
      <c r="E206" s="7" t="s">
        <v>53</v>
      </c>
      <c r="F206">
        <v>0</v>
      </c>
      <c r="G206" t="s">
        <v>1870</v>
      </c>
      <c r="H206" t="s">
        <v>305</v>
      </c>
      <c r="I206" s="7" t="s">
        <v>1489</v>
      </c>
      <c r="J206" t="s">
        <v>1870</v>
      </c>
      <c r="K206" t="s">
        <v>1870</v>
      </c>
      <c r="L206" s="7" t="s">
        <v>1489</v>
      </c>
      <c r="M206" s="7" t="s">
        <v>1489</v>
      </c>
      <c r="N206" t="s">
        <v>1870</v>
      </c>
      <c r="O206">
        <v>0</v>
      </c>
      <c r="Q206" s="3">
        <v>0</v>
      </c>
    </row>
    <row r="207" spans="1:18" x14ac:dyDescent="0.3">
      <c r="A207" s="249" t="s">
        <v>1870</v>
      </c>
      <c r="B207" s="246">
        <v>220</v>
      </c>
      <c r="C207" t="s">
        <v>1870</v>
      </c>
      <c r="D207" t="s">
        <v>1870</v>
      </c>
      <c r="E207" s="7" t="s">
        <v>53</v>
      </c>
      <c r="F207" s="7">
        <v>2</v>
      </c>
      <c r="G207" t="s">
        <v>1870</v>
      </c>
      <c r="H207" t="s">
        <v>307</v>
      </c>
      <c r="I207" t="s">
        <v>1489</v>
      </c>
      <c r="J207" t="s">
        <v>1870</v>
      </c>
      <c r="K207" t="s">
        <v>1870</v>
      </c>
      <c r="L207" t="s">
        <v>1489</v>
      </c>
      <c r="M207" t="s">
        <v>1489</v>
      </c>
      <c r="N207" t="s">
        <v>1870</v>
      </c>
      <c r="O207">
        <v>0</v>
      </c>
      <c r="Q207" s="3">
        <v>0</v>
      </c>
    </row>
    <row r="208" spans="1:18" x14ac:dyDescent="0.3">
      <c r="A208" s="249" t="s">
        <v>1870</v>
      </c>
      <c r="B208" s="246">
        <v>220</v>
      </c>
      <c r="C208" t="s">
        <v>1870</v>
      </c>
      <c r="D208" t="s">
        <v>1870</v>
      </c>
      <c r="E208" s="246" t="s">
        <v>5</v>
      </c>
      <c r="F208" s="7">
        <v>0</v>
      </c>
      <c r="G208" t="s">
        <v>1870</v>
      </c>
      <c r="H208" s="248" t="s">
        <v>309</v>
      </c>
      <c r="I208" s="7" t="s">
        <v>1756</v>
      </c>
      <c r="J208" t="s">
        <v>1870</v>
      </c>
      <c r="K208" t="s">
        <v>1870</v>
      </c>
      <c r="L208" s="246" t="s">
        <v>1759</v>
      </c>
      <c r="M208" s="7" t="s">
        <v>2131</v>
      </c>
      <c r="N208" t="s">
        <v>1870</v>
      </c>
      <c r="O208" s="247" t="s">
        <v>1757</v>
      </c>
      <c r="P208" s="3">
        <v>7604308</v>
      </c>
      <c r="Q208" s="3">
        <v>6032000</v>
      </c>
      <c r="R208" s="3">
        <v>7254113</v>
      </c>
    </row>
    <row r="209" spans="1:18" x14ac:dyDescent="0.3">
      <c r="A209" s="249" t="s">
        <v>1870</v>
      </c>
      <c r="B209" s="246">
        <v>220</v>
      </c>
      <c r="C209" t="s">
        <v>1870</v>
      </c>
      <c r="D209" t="s">
        <v>1870</v>
      </c>
      <c r="E209" s="246" t="s">
        <v>5</v>
      </c>
      <c r="F209" s="7">
        <v>0</v>
      </c>
      <c r="G209" t="s">
        <v>1870</v>
      </c>
      <c r="H209" s="248" t="s">
        <v>309</v>
      </c>
      <c r="I209" s="7" t="s">
        <v>1756</v>
      </c>
      <c r="J209" t="s">
        <v>1870</v>
      </c>
      <c r="K209" t="s">
        <v>1870</v>
      </c>
      <c r="L209" s="246" t="s">
        <v>1759</v>
      </c>
      <c r="M209" s="246" t="s">
        <v>2132</v>
      </c>
      <c r="N209" t="s">
        <v>1870</v>
      </c>
      <c r="O209" s="247" t="s">
        <v>1758</v>
      </c>
      <c r="Q209" s="3">
        <v>0</v>
      </c>
    </row>
    <row r="210" spans="1:18" x14ac:dyDescent="0.3">
      <c r="A210" s="249" t="s">
        <v>1870</v>
      </c>
      <c r="B210" s="246">
        <v>220</v>
      </c>
      <c r="C210" t="s">
        <v>1870</v>
      </c>
      <c r="D210" t="s">
        <v>1870</v>
      </c>
      <c r="E210" s="246" t="s">
        <v>5</v>
      </c>
      <c r="F210" s="7">
        <v>0</v>
      </c>
      <c r="G210" t="s">
        <v>1870</v>
      </c>
      <c r="H210" s="248" t="s">
        <v>309</v>
      </c>
      <c r="I210" s="7" t="s">
        <v>1756</v>
      </c>
      <c r="J210" t="s">
        <v>1870</v>
      </c>
      <c r="K210" t="s">
        <v>1870</v>
      </c>
      <c r="L210" s="246" t="s">
        <v>1760</v>
      </c>
      <c r="M210" s="246" t="s">
        <v>2131</v>
      </c>
      <c r="N210" t="s">
        <v>1870</v>
      </c>
      <c r="O210" s="247" t="s">
        <v>1757</v>
      </c>
      <c r="Q210" s="3">
        <v>0</v>
      </c>
    </row>
    <row r="211" spans="1:18" x14ac:dyDescent="0.3">
      <c r="A211" s="249" t="s">
        <v>1870</v>
      </c>
      <c r="B211" s="246">
        <v>220</v>
      </c>
      <c r="C211" t="s">
        <v>1870</v>
      </c>
      <c r="D211" t="s">
        <v>1870</v>
      </c>
      <c r="E211" s="246" t="s">
        <v>5</v>
      </c>
      <c r="F211" s="7">
        <v>0</v>
      </c>
      <c r="G211" t="s">
        <v>1870</v>
      </c>
      <c r="H211" s="248" t="s">
        <v>309</v>
      </c>
      <c r="I211" s="7" t="s">
        <v>1756</v>
      </c>
      <c r="J211" t="s">
        <v>1870</v>
      </c>
      <c r="K211" t="s">
        <v>1870</v>
      </c>
      <c r="L211" s="246" t="s">
        <v>1760</v>
      </c>
      <c r="M211" s="246" t="s">
        <v>2132</v>
      </c>
      <c r="N211" t="s">
        <v>1870</v>
      </c>
      <c r="O211" s="247" t="s">
        <v>1758</v>
      </c>
      <c r="Q211" s="3">
        <v>0</v>
      </c>
    </row>
    <row r="212" spans="1:18" x14ac:dyDescent="0.3">
      <c r="A212" s="249" t="s">
        <v>1870</v>
      </c>
      <c r="B212" s="246">
        <v>220</v>
      </c>
      <c r="C212" t="s">
        <v>1870</v>
      </c>
      <c r="D212" t="s">
        <v>1870</v>
      </c>
      <c r="E212" s="246" t="s">
        <v>5</v>
      </c>
      <c r="F212" s="7">
        <v>1</v>
      </c>
      <c r="G212" t="s">
        <v>1870</v>
      </c>
      <c r="H212" t="s">
        <v>311</v>
      </c>
      <c r="I212" s="7" t="s">
        <v>1489</v>
      </c>
      <c r="J212" t="s">
        <v>1870</v>
      </c>
      <c r="K212" t="s">
        <v>1870</v>
      </c>
      <c r="L212" s="7" t="s">
        <v>1489</v>
      </c>
      <c r="M212" s="7" t="s">
        <v>1489</v>
      </c>
      <c r="N212" t="s">
        <v>1870</v>
      </c>
      <c r="O212">
        <v>0</v>
      </c>
      <c r="Q212" s="3">
        <v>0</v>
      </c>
    </row>
    <row r="213" spans="1:18" x14ac:dyDescent="0.3">
      <c r="A213" s="249" t="s">
        <v>1870</v>
      </c>
      <c r="B213" s="246">
        <v>220</v>
      </c>
      <c r="C213" t="s">
        <v>1870</v>
      </c>
      <c r="D213" t="s">
        <v>1870</v>
      </c>
      <c r="E213" s="7" t="s">
        <v>99</v>
      </c>
      <c r="F213" s="7">
        <v>0</v>
      </c>
      <c r="G213" t="s">
        <v>1870</v>
      </c>
      <c r="H213" t="s">
        <v>313</v>
      </c>
      <c r="I213" t="s">
        <v>1489</v>
      </c>
      <c r="J213" t="s">
        <v>1870</v>
      </c>
      <c r="K213" t="s">
        <v>1870</v>
      </c>
      <c r="L213" t="s">
        <v>1489</v>
      </c>
      <c r="M213" t="s">
        <v>1489</v>
      </c>
      <c r="N213" t="s">
        <v>1870</v>
      </c>
      <c r="O213">
        <v>0</v>
      </c>
      <c r="Q213" s="3">
        <v>0</v>
      </c>
    </row>
    <row r="214" spans="1:18" x14ac:dyDescent="0.3">
      <c r="A214" s="249" t="s">
        <v>1870</v>
      </c>
      <c r="B214" s="246">
        <v>220</v>
      </c>
      <c r="C214" t="s">
        <v>1870</v>
      </c>
      <c r="D214" t="s">
        <v>1870</v>
      </c>
      <c r="E214" s="7" t="s">
        <v>99</v>
      </c>
      <c r="F214" s="7">
        <v>1</v>
      </c>
      <c r="G214" t="s">
        <v>1870</v>
      </c>
      <c r="H214" t="s">
        <v>315</v>
      </c>
      <c r="I214" t="s">
        <v>1489</v>
      </c>
      <c r="J214" t="s">
        <v>1870</v>
      </c>
      <c r="K214" t="s">
        <v>1870</v>
      </c>
      <c r="L214" t="s">
        <v>1489</v>
      </c>
      <c r="M214" t="s">
        <v>1489</v>
      </c>
      <c r="N214" t="s">
        <v>1870</v>
      </c>
      <c r="O214">
        <v>0</v>
      </c>
      <c r="Q214" s="3">
        <v>0</v>
      </c>
    </row>
    <row r="215" spans="1:18" x14ac:dyDescent="0.3">
      <c r="A215" s="249" t="s">
        <v>1870</v>
      </c>
      <c r="B215" s="246">
        <v>220</v>
      </c>
      <c r="C215" t="s">
        <v>1870</v>
      </c>
      <c r="D215" t="s">
        <v>1870</v>
      </c>
      <c r="E215" s="7" t="s">
        <v>6</v>
      </c>
      <c r="F215" s="7">
        <v>0</v>
      </c>
      <c r="G215" t="s">
        <v>1870</v>
      </c>
      <c r="H215" t="s">
        <v>317</v>
      </c>
      <c r="I215" t="s">
        <v>1489</v>
      </c>
      <c r="J215" t="s">
        <v>1870</v>
      </c>
      <c r="K215" t="s">
        <v>1870</v>
      </c>
      <c r="L215" t="s">
        <v>1489</v>
      </c>
      <c r="M215" t="s">
        <v>1489</v>
      </c>
      <c r="N215" t="s">
        <v>1870</v>
      </c>
      <c r="O215">
        <v>0</v>
      </c>
      <c r="Q215" s="3">
        <v>0</v>
      </c>
    </row>
    <row r="216" spans="1:18" x14ac:dyDescent="0.3">
      <c r="A216" s="249" t="s">
        <v>1870</v>
      </c>
      <c r="B216" s="246">
        <v>220</v>
      </c>
      <c r="C216" t="s">
        <v>1870</v>
      </c>
      <c r="D216" t="s">
        <v>1870</v>
      </c>
      <c r="E216" s="7" t="s">
        <v>6</v>
      </c>
      <c r="F216" s="7">
        <v>1</v>
      </c>
      <c r="G216" t="s">
        <v>1870</v>
      </c>
      <c r="H216" t="s">
        <v>319</v>
      </c>
      <c r="I216" t="s">
        <v>1489</v>
      </c>
      <c r="J216" t="s">
        <v>1870</v>
      </c>
      <c r="K216" t="s">
        <v>1870</v>
      </c>
      <c r="L216" t="s">
        <v>1489</v>
      </c>
      <c r="M216" t="s">
        <v>1489</v>
      </c>
      <c r="N216" t="s">
        <v>1870</v>
      </c>
      <c r="O216">
        <v>0</v>
      </c>
      <c r="Q216" s="3">
        <v>0</v>
      </c>
    </row>
    <row r="217" spans="1:18" x14ac:dyDescent="0.3">
      <c r="A217" s="249" t="s">
        <v>1870</v>
      </c>
      <c r="B217" s="246">
        <v>220</v>
      </c>
      <c r="C217" t="s">
        <v>1870</v>
      </c>
      <c r="D217" t="s">
        <v>1870</v>
      </c>
      <c r="E217" s="7" t="s">
        <v>6</v>
      </c>
      <c r="F217" s="7">
        <v>2</v>
      </c>
      <c r="G217" t="s">
        <v>1870</v>
      </c>
      <c r="H217" t="s">
        <v>321</v>
      </c>
      <c r="I217" t="s">
        <v>1489</v>
      </c>
      <c r="J217" t="s">
        <v>1870</v>
      </c>
      <c r="K217" t="s">
        <v>1870</v>
      </c>
      <c r="L217" t="s">
        <v>1489</v>
      </c>
      <c r="M217" t="s">
        <v>1489</v>
      </c>
      <c r="N217" t="s">
        <v>1870</v>
      </c>
      <c r="O217">
        <v>0</v>
      </c>
      <c r="Q217" s="3">
        <v>0</v>
      </c>
    </row>
    <row r="218" spans="1:18" x14ac:dyDescent="0.3">
      <c r="A218" s="249" t="s">
        <v>1870</v>
      </c>
      <c r="B218" s="246">
        <v>220</v>
      </c>
      <c r="C218" t="s">
        <v>1870</v>
      </c>
      <c r="D218" t="s">
        <v>1870</v>
      </c>
      <c r="E218" s="246" t="s">
        <v>269</v>
      </c>
      <c r="F218" s="7">
        <v>0</v>
      </c>
      <c r="G218" t="s">
        <v>1870</v>
      </c>
      <c r="H218" s="248" t="s">
        <v>323</v>
      </c>
      <c r="I218" s="246" t="s">
        <v>1736</v>
      </c>
      <c r="J218" t="s">
        <v>1870</v>
      </c>
      <c r="K218" t="s">
        <v>1870</v>
      </c>
      <c r="L218" s="246" t="s">
        <v>1771</v>
      </c>
      <c r="M218" s="246" t="s">
        <v>2131</v>
      </c>
      <c r="N218" t="s">
        <v>1870</v>
      </c>
      <c r="O218" s="247" t="s">
        <v>1772</v>
      </c>
      <c r="P218" s="3">
        <v>-6790.4500000000007</v>
      </c>
      <c r="Q218" s="3">
        <v>0</v>
      </c>
    </row>
    <row r="219" spans="1:18" x14ac:dyDescent="0.3">
      <c r="A219" s="249" t="s">
        <v>1870</v>
      </c>
      <c r="B219" s="246">
        <v>220</v>
      </c>
      <c r="C219" t="s">
        <v>1870</v>
      </c>
      <c r="D219" t="s">
        <v>1870</v>
      </c>
      <c r="E219" s="246" t="s">
        <v>269</v>
      </c>
      <c r="F219" s="7">
        <v>0</v>
      </c>
      <c r="G219" t="s">
        <v>1870</v>
      </c>
      <c r="H219" s="248" t="s">
        <v>323</v>
      </c>
      <c r="I219" s="246" t="s">
        <v>1736</v>
      </c>
      <c r="J219" t="s">
        <v>1870</v>
      </c>
      <c r="K219" t="s">
        <v>1870</v>
      </c>
      <c r="L219" s="246" t="s">
        <v>1732</v>
      </c>
      <c r="M219" s="246" t="s">
        <v>2132</v>
      </c>
      <c r="N219" t="s">
        <v>1870</v>
      </c>
      <c r="O219" s="247" t="s">
        <v>1766</v>
      </c>
      <c r="P219" s="3">
        <v>-3250</v>
      </c>
      <c r="Q219" s="3">
        <v>0</v>
      </c>
      <c r="R219" s="3">
        <v>-1625</v>
      </c>
    </row>
    <row r="220" spans="1:18" x14ac:dyDescent="0.3">
      <c r="A220" s="249" t="s">
        <v>1870</v>
      </c>
      <c r="B220" s="246">
        <v>220</v>
      </c>
      <c r="C220" t="s">
        <v>1870</v>
      </c>
      <c r="D220" t="s">
        <v>1870</v>
      </c>
      <c r="E220" s="246" t="s">
        <v>269</v>
      </c>
      <c r="F220" s="7">
        <v>0</v>
      </c>
      <c r="G220" t="s">
        <v>1870</v>
      </c>
      <c r="H220" s="248" t="s">
        <v>323</v>
      </c>
      <c r="I220" s="246" t="s">
        <v>1736</v>
      </c>
      <c r="J220" t="s">
        <v>1870</v>
      </c>
      <c r="K220" t="s">
        <v>1870</v>
      </c>
      <c r="L220" s="246" t="s">
        <v>1764</v>
      </c>
      <c r="M220" s="246" t="s">
        <v>2131</v>
      </c>
      <c r="N220" t="s">
        <v>1870</v>
      </c>
      <c r="O220" s="247" t="s">
        <v>1765</v>
      </c>
      <c r="P220" s="3">
        <v>-18000</v>
      </c>
      <c r="Q220" s="3">
        <v>0</v>
      </c>
      <c r="R220" s="3">
        <v>-18000</v>
      </c>
    </row>
    <row r="221" spans="1:18" x14ac:dyDescent="0.3">
      <c r="A221" s="249" t="s">
        <v>1870</v>
      </c>
      <c r="B221" s="246">
        <v>220</v>
      </c>
      <c r="C221" t="s">
        <v>1870</v>
      </c>
      <c r="D221" t="s">
        <v>1870</v>
      </c>
      <c r="E221" s="246" t="s">
        <v>269</v>
      </c>
      <c r="F221" s="7">
        <v>0</v>
      </c>
      <c r="G221" t="s">
        <v>1870</v>
      </c>
      <c r="H221" s="248" t="s">
        <v>323</v>
      </c>
      <c r="I221" s="246" t="s">
        <v>1736</v>
      </c>
      <c r="J221" t="s">
        <v>1870</v>
      </c>
      <c r="K221" t="s">
        <v>1870</v>
      </c>
      <c r="L221" s="246" t="s">
        <v>1767</v>
      </c>
      <c r="M221" t="s">
        <v>2131</v>
      </c>
      <c r="N221" t="s">
        <v>1870</v>
      </c>
      <c r="O221" s="247" t="s">
        <v>1770</v>
      </c>
      <c r="P221" s="3">
        <v>-400</v>
      </c>
      <c r="Q221" s="3">
        <v>0</v>
      </c>
      <c r="R221" s="3">
        <v>-400</v>
      </c>
    </row>
    <row r="222" spans="1:18" x14ac:dyDescent="0.3">
      <c r="A222" s="249" t="s">
        <v>1870</v>
      </c>
      <c r="B222" s="246">
        <v>220</v>
      </c>
      <c r="C222" t="s">
        <v>1870</v>
      </c>
      <c r="D222" t="s">
        <v>1870</v>
      </c>
      <c r="E222" s="7" t="s">
        <v>326</v>
      </c>
      <c r="F222">
        <v>0</v>
      </c>
      <c r="G222" t="s">
        <v>1870</v>
      </c>
      <c r="H222" t="s">
        <v>325</v>
      </c>
      <c r="I222" s="7" t="s">
        <v>1489</v>
      </c>
      <c r="J222" t="s">
        <v>1870</v>
      </c>
      <c r="K222" t="s">
        <v>1870</v>
      </c>
      <c r="L222" s="7" t="s">
        <v>1489</v>
      </c>
      <c r="M222" s="7" t="s">
        <v>1489</v>
      </c>
      <c r="N222" t="s">
        <v>1870</v>
      </c>
      <c r="O222">
        <v>0</v>
      </c>
      <c r="Q222" s="3">
        <v>0</v>
      </c>
    </row>
    <row r="223" spans="1:18" x14ac:dyDescent="0.3">
      <c r="A223" s="249" t="s">
        <v>1870</v>
      </c>
      <c r="B223" s="246">
        <v>220</v>
      </c>
      <c r="C223" t="s">
        <v>1870</v>
      </c>
      <c r="D223" t="s">
        <v>1870</v>
      </c>
      <c r="E223" s="7" t="s">
        <v>329</v>
      </c>
      <c r="F223">
        <v>0</v>
      </c>
      <c r="G223" t="s">
        <v>1870</v>
      </c>
      <c r="H223" t="s">
        <v>328</v>
      </c>
      <c r="I223" t="s">
        <v>1489</v>
      </c>
      <c r="J223" t="s">
        <v>1870</v>
      </c>
      <c r="K223" t="s">
        <v>1870</v>
      </c>
      <c r="L223" t="s">
        <v>1489</v>
      </c>
      <c r="M223" t="s">
        <v>1489</v>
      </c>
      <c r="N223" t="s">
        <v>1870</v>
      </c>
      <c r="O223">
        <v>0</v>
      </c>
      <c r="Q223" s="3">
        <v>0</v>
      </c>
    </row>
    <row r="224" spans="1:18" x14ac:dyDescent="0.3">
      <c r="A224" s="249" t="s">
        <v>1870</v>
      </c>
      <c r="B224" s="246">
        <v>220</v>
      </c>
      <c r="C224" t="s">
        <v>1870</v>
      </c>
      <c r="D224" t="s">
        <v>1870</v>
      </c>
      <c r="E224" s="7" t="s">
        <v>332</v>
      </c>
      <c r="F224">
        <v>0</v>
      </c>
      <c r="G224" t="s">
        <v>1870</v>
      </c>
      <c r="H224" t="s">
        <v>331</v>
      </c>
      <c r="I224" t="s">
        <v>1489</v>
      </c>
      <c r="J224" t="s">
        <v>1870</v>
      </c>
      <c r="K224" t="s">
        <v>1870</v>
      </c>
      <c r="L224" t="s">
        <v>1489</v>
      </c>
      <c r="M224" t="s">
        <v>1489</v>
      </c>
      <c r="N224" t="s">
        <v>1870</v>
      </c>
      <c r="O224">
        <v>0</v>
      </c>
      <c r="Q224" s="3">
        <v>0</v>
      </c>
    </row>
    <row r="225" spans="1:18" x14ac:dyDescent="0.3">
      <c r="A225" s="249" t="s">
        <v>1870</v>
      </c>
      <c r="B225" s="246">
        <v>220</v>
      </c>
      <c r="C225" t="s">
        <v>1870</v>
      </c>
      <c r="D225" t="s">
        <v>1870</v>
      </c>
      <c r="E225" s="7" t="s">
        <v>335</v>
      </c>
      <c r="F225">
        <v>0</v>
      </c>
      <c r="G225" t="s">
        <v>1870</v>
      </c>
      <c r="H225" t="s">
        <v>334</v>
      </c>
      <c r="I225" t="s">
        <v>1489</v>
      </c>
      <c r="J225" t="s">
        <v>1870</v>
      </c>
      <c r="K225" t="s">
        <v>1870</v>
      </c>
      <c r="L225" t="s">
        <v>1489</v>
      </c>
      <c r="M225" t="s">
        <v>1489</v>
      </c>
      <c r="N225" t="s">
        <v>1870</v>
      </c>
      <c r="O225">
        <v>0</v>
      </c>
      <c r="Q225" s="3">
        <v>0</v>
      </c>
    </row>
    <row r="226" spans="1:18" x14ac:dyDescent="0.3">
      <c r="A226" s="249" t="s">
        <v>1870</v>
      </c>
      <c r="B226" s="246">
        <v>220</v>
      </c>
      <c r="C226" t="s">
        <v>1870</v>
      </c>
      <c r="D226" t="s">
        <v>1870</v>
      </c>
      <c r="E226" s="246" t="s">
        <v>338</v>
      </c>
      <c r="F226">
        <v>0</v>
      </c>
      <c r="G226" t="s">
        <v>1870</v>
      </c>
      <c r="H226" s="248" t="s">
        <v>337</v>
      </c>
      <c r="I226" s="246" t="s">
        <v>1738</v>
      </c>
      <c r="J226" t="s">
        <v>1870</v>
      </c>
      <c r="K226" t="s">
        <v>1870</v>
      </c>
      <c r="L226" s="246" t="s">
        <v>1487</v>
      </c>
      <c r="M226" s="7" t="s">
        <v>2131</v>
      </c>
      <c r="N226" t="s">
        <v>1870</v>
      </c>
      <c r="O226" s="247" t="s">
        <v>2071</v>
      </c>
      <c r="P226" s="3">
        <v>-150308.9</v>
      </c>
      <c r="Q226" s="3">
        <v>-100000</v>
      </c>
      <c r="R226" s="3">
        <v>-99000</v>
      </c>
    </row>
    <row r="227" spans="1:18" x14ac:dyDescent="0.3">
      <c r="A227" s="249" t="s">
        <v>1870</v>
      </c>
      <c r="B227" s="246">
        <v>220</v>
      </c>
      <c r="C227" t="s">
        <v>1870</v>
      </c>
      <c r="D227" t="s">
        <v>1870</v>
      </c>
      <c r="E227" s="7" t="s">
        <v>272</v>
      </c>
      <c r="F227">
        <v>0</v>
      </c>
      <c r="G227" t="s">
        <v>1870</v>
      </c>
      <c r="H227" t="s">
        <v>340</v>
      </c>
      <c r="I227" s="7" t="s">
        <v>1489</v>
      </c>
      <c r="J227" t="s">
        <v>1870</v>
      </c>
      <c r="K227" t="s">
        <v>1870</v>
      </c>
      <c r="L227" s="7" t="s">
        <v>1489</v>
      </c>
      <c r="M227" s="7" t="s">
        <v>1489</v>
      </c>
      <c r="N227" t="s">
        <v>1870</v>
      </c>
      <c r="O227">
        <v>0</v>
      </c>
      <c r="Q227" s="3">
        <v>0</v>
      </c>
    </row>
    <row r="228" spans="1:18" x14ac:dyDescent="0.3">
      <c r="A228" s="249" t="s">
        <v>1870</v>
      </c>
      <c r="B228" s="246">
        <v>220</v>
      </c>
      <c r="C228" t="s">
        <v>1870</v>
      </c>
      <c r="D228" t="s">
        <v>1870</v>
      </c>
      <c r="E228" s="7" t="s">
        <v>175</v>
      </c>
      <c r="F228">
        <v>0</v>
      </c>
      <c r="G228" t="s">
        <v>1870</v>
      </c>
      <c r="H228" t="s">
        <v>342</v>
      </c>
      <c r="I228" t="s">
        <v>1489</v>
      </c>
      <c r="J228" t="s">
        <v>1870</v>
      </c>
      <c r="K228" t="s">
        <v>1870</v>
      </c>
      <c r="L228" t="s">
        <v>1489</v>
      </c>
      <c r="M228" t="s">
        <v>1489</v>
      </c>
      <c r="N228" t="s">
        <v>1870</v>
      </c>
      <c r="O228">
        <v>0</v>
      </c>
      <c r="Q228" s="3">
        <v>0</v>
      </c>
    </row>
    <row r="229" spans="1:18" x14ac:dyDescent="0.3">
      <c r="A229" s="249" t="s">
        <v>1870</v>
      </c>
      <c r="B229" s="246">
        <v>220</v>
      </c>
      <c r="C229" t="s">
        <v>1870</v>
      </c>
      <c r="D229" t="s">
        <v>1870</v>
      </c>
      <c r="E229" s="246" t="s">
        <v>345</v>
      </c>
      <c r="F229">
        <v>0</v>
      </c>
      <c r="G229" t="s">
        <v>1870</v>
      </c>
      <c r="H229" t="s">
        <v>344</v>
      </c>
      <c r="I229" t="s">
        <v>1489</v>
      </c>
      <c r="J229" t="s">
        <v>1870</v>
      </c>
      <c r="K229" t="s">
        <v>1870</v>
      </c>
      <c r="L229" t="s">
        <v>1489</v>
      </c>
      <c r="M229" t="s">
        <v>1489</v>
      </c>
      <c r="N229" t="s">
        <v>1870</v>
      </c>
      <c r="O229">
        <v>0</v>
      </c>
      <c r="Q229" s="3">
        <v>0</v>
      </c>
    </row>
    <row r="230" spans="1:18" x14ac:dyDescent="0.3">
      <c r="A230" s="249" t="s">
        <v>1870</v>
      </c>
      <c r="B230" s="246">
        <v>220</v>
      </c>
      <c r="C230" t="s">
        <v>1870</v>
      </c>
      <c r="D230" t="s">
        <v>1870</v>
      </c>
      <c r="E230" s="246" t="s">
        <v>345</v>
      </c>
      <c r="F230" s="246">
        <v>1</v>
      </c>
      <c r="G230" t="s">
        <v>1870</v>
      </c>
      <c r="H230" s="248" t="s">
        <v>347</v>
      </c>
      <c r="I230" s="246" t="s">
        <v>1533</v>
      </c>
      <c r="J230" t="s">
        <v>1870</v>
      </c>
      <c r="K230" t="s">
        <v>1870</v>
      </c>
      <c r="L230" s="246" t="s">
        <v>1705</v>
      </c>
      <c r="M230" s="246" t="s">
        <v>2132</v>
      </c>
      <c r="N230" t="s">
        <v>1870</v>
      </c>
      <c r="O230" s="247" t="s">
        <v>1762</v>
      </c>
      <c r="P230" s="3">
        <v>-394</v>
      </c>
      <c r="Q230" s="3">
        <v>0</v>
      </c>
    </row>
    <row r="231" spans="1:18" x14ac:dyDescent="0.3">
      <c r="A231" s="249" t="s">
        <v>1870</v>
      </c>
      <c r="B231" s="246">
        <v>220</v>
      </c>
      <c r="C231" t="s">
        <v>1870</v>
      </c>
      <c r="D231" t="s">
        <v>1870</v>
      </c>
      <c r="E231" s="246" t="s">
        <v>345</v>
      </c>
      <c r="F231" s="7">
        <v>2</v>
      </c>
      <c r="G231" t="s">
        <v>1870</v>
      </c>
      <c r="H231" t="s">
        <v>349</v>
      </c>
      <c r="I231" s="7" t="s">
        <v>1489</v>
      </c>
      <c r="J231" t="s">
        <v>1870</v>
      </c>
      <c r="K231" t="s">
        <v>1870</v>
      </c>
      <c r="L231" s="7" t="s">
        <v>1489</v>
      </c>
      <c r="M231" s="7" t="s">
        <v>1489</v>
      </c>
      <c r="N231" t="s">
        <v>1870</v>
      </c>
      <c r="O231">
        <v>0</v>
      </c>
      <c r="Q231" s="3">
        <v>0</v>
      </c>
    </row>
    <row r="232" spans="1:18" x14ac:dyDescent="0.3">
      <c r="A232" s="249" t="s">
        <v>1870</v>
      </c>
      <c r="B232" s="246">
        <v>220</v>
      </c>
      <c r="C232" t="s">
        <v>1870</v>
      </c>
      <c r="D232" t="s">
        <v>1870</v>
      </c>
      <c r="E232" s="7" t="s">
        <v>351</v>
      </c>
      <c r="F232" s="7">
        <v>0</v>
      </c>
      <c r="G232" t="s">
        <v>1870</v>
      </c>
      <c r="H232" t="s">
        <v>60</v>
      </c>
      <c r="I232" t="s">
        <v>1489</v>
      </c>
      <c r="J232" t="s">
        <v>1870</v>
      </c>
      <c r="K232" t="s">
        <v>1870</v>
      </c>
      <c r="L232" t="s">
        <v>1489</v>
      </c>
      <c r="M232" t="s">
        <v>1489</v>
      </c>
      <c r="N232" t="s">
        <v>1870</v>
      </c>
      <c r="O232">
        <v>0</v>
      </c>
      <c r="Q232" s="3">
        <v>0</v>
      </c>
    </row>
    <row r="233" spans="1:18" x14ac:dyDescent="0.3">
      <c r="A233" s="249" t="s">
        <v>1870</v>
      </c>
      <c r="B233" s="246">
        <v>220</v>
      </c>
      <c r="C233" t="s">
        <v>1870</v>
      </c>
      <c r="D233" t="s">
        <v>1870</v>
      </c>
      <c r="E233" s="7" t="s">
        <v>64</v>
      </c>
      <c r="F233">
        <v>0</v>
      </c>
      <c r="G233" t="s">
        <v>1870</v>
      </c>
      <c r="H233" t="s">
        <v>353</v>
      </c>
      <c r="I233" t="s">
        <v>1489</v>
      </c>
      <c r="J233" t="s">
        <v>1870</v>
      </c>
      <c r="K233" t="s">
        <v>1870</v>
      </c>
      <c r="L233" t="s">
        <v>1489</v>
      </c>
      <c r="M233" t="s">
        <v>1489</v>
      </c>
      <c r="N233" t="s">
        <v>1870</v>
      </c>
      <c r="O233">
        <v>0</v>
      </c>
      <c r="Q233" s="3">
        <v>0</v>
      </c>
    </row>
    <row r="234" spans="1:18" x14ac:dyDescent="0.3">
      <c r="A234" s="249" t="s">
        <v>1870</v>
      </c>
      <c r="B234" s="246">
        <v>220</v>
      </c>
      <c r="C234" t="s">
        <v>1870</v>
      </c>
      <c r="D234" t="s">
        <v>1870</v>
      </c>
      <c r="E234" s="7" t="s">
        <v>67</v>
      </c>
      <c r="F234" s="7">
        <v>2</v>
      </c>
      <c r="G234" t="s">
        <v>1870</v>
      </c>
      <c r="H234" t="s">
        <v>355</v>
      </c>
      <c r="I234" t="s">
        <v>1489</v>
      </c>
      <c r="J234" t="s">
        <v>1870</v>
      </c>
      <c r="K234" t="s">
        <v>1870</v>
      </c>
      <c r="L234" t="s">
        <v>1489</v>
      </c>
      <c r="M234" t="s">
        <v>1489</v>
      </c>
      <c r="N234" t="s">
        <v>1870</v>
      </c>
      <c r="O234">
        <v>0</v>
      </c>
      <c r="Q234" s="3">
        <v>0</v>
      </c>
    </row>
    <row r="235" spans="1:18" x14ac:dyDescent="0.3">
      <c r="A235" s="249" t="s">
        <v>1870</v>
      </c>
      <c r="B235" s="7">
        <v>230</v>
      </c>
      <c r="C235" t="s">
        <v>1870</v>
      </c>
      <c r="D235" t="s">
        <v>1870</v>
      </c>
      <c r="E235" s="7" t="s">
        <v>53</v>
      </c>
      <c r="F235" s="7">
        <v>0</v>
      </c>
      <c r="G235" t="s">
        <v>1870</v>
      </c>
      <c r="H235" t="s">
        <v>358</v>
      </c>
      <c r="I235" t="s">
        <v>1489</v>
      </c>
      <c r="J235" t="s">
        <v>1870</v>
      </c>
      <c r="K235" t="s">
        <v>1870</v>
      </c>
      <c r="L235" t="s">
        <v>1489</v>
      </c>
      <c r="M235" t="s">
        <v>1489</v>
      </c>
      <c r="N235" t="s">
        <v>1870</v>
      </c>
      <c r="O235">
        <v>0</v>
      </c>
      <c r="Q235" s="3">
        <v>0</v>
      </c>
    </row>
    <row r="236" spans="1:18" x14ac:dyDescent="0.3">
      <c r="A236" s="249" t="s">
        <v>1870</v>
      </c>
      <c r="B236" s="7">
        <v>230</v>
      </c>
      <c r="C236" t="s">
        <v>1870</v>
      </c>
      <c r="D236" t="s">
        <v>1870</v>
      </c>
      <c r="E236" s="7" t="s">
        <v>53</v>
      </c>
      <c r="F236" s="7">
        <v>1</v>
      </c>
      <c r="G236" t="s">
        <v>1870</v>
      </c>
      <c r="H236" t="s">
        <v>360</v>
      </c>
      <c r="I236" t="s">
        <v>1489</v>
      </c>
      <c r="J236" t="s">
        <v>1870</v>
      </c>
      <c r="K236" t="s">
        <v>1870</v>
      </c>
      <c r="L236" t="s">
        <v>1489</v>
      </c>
      <c r="M236" t="s">
        <v>1489</v>
      </c>
      <c r="N236" t="s">
        <v>1870</v>
      </c>
      <c r="O236">
        <v>0</v>
      </c>
      <c r="Q236" s="3">
        <v>0</v>
      </c>
    </row>
    <row r="237" spans="1:18" x14ac:dyDescent="0.3">
      <c r="A237" s="249" t="s">
        <v>1870</v>
      </c>
      <c r="B237" s="7">
        <v>230</v>
      </c>
      <c r="C237" t="s">
        <v>1870</v>
      </c>
      <c r="D237" t="s">
        <v>1870</v>
      </c>
      <c r="E237" s="7" t="s">
        <v>53</v>
      </c>
      <c r="F237" s="7">
        <v>2</v>
      </c>
      <c r="G237" t="s">
        <v>1870</v>
      </c>
      <c r="H237" t="s">
        <v>362</v>
      </c>
      <c r="I237" t="s">
        <v>1489</v>
      </c>
      <c r="J237" t="s">
        <v>1870</v>
      </c>
      <c r="K237" t="s">
        <v>1870</v>
      </c>
      <c r="L237" t="s">
        <v>1489</v>
      </c>
      <c r="M237" t="s">
        <v>1489</v>
      </c>
      <c r="N237" t="s">
        <v>1870</v>
      </c>
      <c r="O237">
        <v>0</v>
      </c>
      <c r="Q237" s="3">
        <v>0</v>
      </c>
    </row>
    <row r="238" spans="1:18" x14ac:dyDescent="0.3">
      <c r="A238" s="249" t="s">
        <v>1870</v>
      </c>
      <c r="B238" s="7">
        <v>230</v>
      </c>
      <c r="C238" t="s">
        <v>1870</v>
      </c>
      <c r="D238" t="s">
        <v>1870</v>
      </c>
      <c r="E238" s="7" t="s">
        <v>164</v>
      </c>
      <c r="F238" s="7">
        <v>0</v>
      </c>
      <c r="G238" t="s">
        <v>1870</v>
      </c>
      <c r="H238" t="s">
        <v>364</v>
      </c>
      <c r="I238" t="s">
        <v>1489</v>
      </c>
      <c r="J238" t="s">
        <v>1870</v>
      </c>
      <c r="K238" t="s">
        <v>1870</v>
      </c>
      <c r="L238" t="s">
        <v>1489</v>
      </c>
      <c r="M238" t="s">
        <v>1489</v>
      </c>
      <c r="N238" t="s">
        <v>1870</v>
      </c>
      <c r="O238">
        <v>0</v>
      </c>
      <c r="Q238" s="3">
        <v>0</v>
      </c>
    </row>
    <row r="239" spans="1:18" x14ac:dyDescent="0.3">
      <c r="A239" s="249" t="s">
        <v>1870</v>
      </c>
      <c r="B239" s="7">
        <v>230</v>
      </c>
      <c r="C239" t="s">
        <v>1870</v>
      </c>
      <c r="D239" t="s">
        <v>1870</v>
      </c>
      <c r="E239" s="7" t="s">
        <v>96</v>
      </c>
      <c r="F239">
        <v>0</v>
      </c>
      <c r="G239" t="s">
        <v>1870</v>
      </c>
      <c r="H239" t="s">
        <v>366</v>
      </c>
      <c r="I239" t="s">
        <v>1489</v>
      </c>
      <c r="J239" t="s">
        <v>1870</v>
      </c>
      <c r="K239" t="s">
        <v>1870</v>
      </c>
      <c r="L239" t="s">
        <v>1489</v>
      </c>
      <c r="M239" t="s">
        <v>1489</v>
      </c>
      <c r="N239" t="s">
        <v>1870</v>
      </c>
      <c r="O239">
        <v>0</v>
      </c>
      <c r="Q239" s="3">
        <v>0</v>
      </c>
    </row>
    <row r="240" spans="1:18" x14ac:dyDescent="0.3">
      <c r="A240" s="249" t="s">
        <v>1870</v>
      </c>
      <c r="B240" s="7">
        <v>230</v>
      </c>
      <c r="C240" t="s">
        <v>1870</v>
      </c>
      <c r="D240" t="s">
        <v>1870</v>
      </c>
      <c r="E240" s="7" t="s">
        <v>6</v>
      </c>
      <c r="F240">
        <v>0</v>
      </c>
      <c r="G240" t="s">
        <v>1870</v>
      </c>
      <c r="H240" t="s">
        <v>368</v>
      </c>
      <c r="I240" t="s">
        <v>1489</v>
      </c>
      <c r="J240" t="s">
        <v>1870</v>
      </c>
      <c r="K240" t="s">
        <v>1870</v>
      </c>
      <c r="L240" t="s">
        <v>1489</v>
      </c>
      <c r="M240" t="s">
        <v>1489</v>
      </c>
      <c r="N240" t="s">
        <v>1870</v>
      </c>
      <c r="O240">
        <v>0</v>
      </c>
      <c r="Q240" s="3">
        <v>0</v>
      </c>
    </row>
    <row r="241" spans="1:18" x14ac:dyDescent="0.3">
      <c r="A241" s="249" t="s">
        <v>1870</v>
      </c>
      <c r="B241" s="7">
        <v>230</v>
      </c>
      <c r="C241" t="s">
        <v>1870</v>
      </c>
      <c r="D241" t="s">
        <v>1870</v>
      </c>
      <c r="E241" s="7" t="s">
        <v>6</v>
      </c>
      <c r="F241" s="7">
        <v>8</v>
      </c>
      <c r="G241" t="s">
        <v>1870</v>
      </c>
      <c r="H241" t="s">
        <v>370</v>
      </c>
      <c r="I241" t="s">
        <v>1489</v>
      </c>
      <c r="J241" t="s">
        <v>1870</v>
      </c>
      <c r="K241" t="s">
        <v>1870</v>
      </c>
      <c r="L241" t="s">
        <v>1489</v>
      </c>
      <c r="M241" t="s">
        <v>1489</v>
      </c>
      <c r="N241" t="s">
        <v>1870</v>
      </c>
      <c r="O241">
        <v>0</v>
      </c>
      <c r="Q241" s="3">
        <v>0</v>
      </c>
    </row>
    <row r="242" spans="1:18" x14ac:dyDescent="0.3">
      <c r="A242" s="249" t="s">
        <v>1870</v>
      </c>
      <c r="B242" s="7">
        <v>230</v>
      </c>
      <c r="C242" t="s">
        <v>1870</v>
      </c>
      <c r="D242" t="s">
        <v>1870</v>
      </c>
      <c r="E242" s="7" t="s">
        <v>6</v>
      </c>
      <c r="F242" s="7">
        <v>9</v>
      </c>
      <c r="G242" t="s">
        <v>1870</v>
      </c>
      <c r="H242" t="s">
        <v>372</v>
      </c>
      <c r="I242" t="s">
        <v>1489</v>
      </c>
      <c r="J242" t="s">
        <v>1870</v>
      </c>
      <c r="K242" t="s">
        <v>1870</v>
      </c>
      <c r="L242" t="s">
        <v>1489</v>
      </c>
      <c r="M242" t="s">
        <v>1489</v>
      </c>
      <c r="N242" t="s">
        <v>1870</v>
      </c>
      <c r="O242">
        <v>0</v>
      </c>
      <c r="Q242" s="3">
        <v>0</v>
      </c>
    </row>
    <row r="243" spans="1:18" x14ac:dyDescent="0.3">
      <c r="A243" s="249" t="s">
        <v>1870</v>
      </c>
      <c r="B243" s="7">
        <v>230</v>
      </c>
      <c r="C243" t="s">
        <v>1870</v>
      </c>
      <c r="D243" t="s">
        <v>1870</v>
      </c>
      <c r="E243" s="7" t="s">
        <v>329</v>
      </c>
      <c r="F243" s="7">
        <v>0</v>
      </c>
      <c r="G243" t="s">
        <v>1870</v>
      </c>
      <c r="H243" t="s">
        <v>374</v>
      </c>
      <c r="I243" t="s">
        <v>1489</v>
      </c>
      <c r="J243" t="s">
        <v>1870</v>
      </c>
      <c r="K243" t="s">
        <v>1870</v>
      </c>
      <c r="L243" t="s">
        <v>1489</v>
      </c>
      <c r="M243" t="s">
        <v>1489</v>
      </c>
      <c r="N243" t="s">
        <v>1870</v>
      </c>
      <c r="O243">
        <v>0</v>
      </c>
      <c r="Q243" s="3">
        <v>0</v>
      </c>
    </row>
    <row r="244" spans="1:18" x14ac:dyDescent="0.3">
      <c r="A244" s="249" t="s">
        <v>1870</v>
      </c>
      <c r="B244" s="7">
        <v>230</v>
      </c>
      <c r="C244" t="s">
        <v>1870</v>
      </c>
      <c r="D244" t="s">
        <v>1870</v>
      </c>
      <c r="E244" s="7" t="s">
        <v>61</v>
      </c>
      <c r="F244" s="7">
        <v>1</v>
      </c>
      <c r="G244" t="s">
        <v>1870</v>
      </c>
      <c r="H244" t="s">
        <v>376</v>
      </c>
      <c r="I244" t="s">
        <v>1489</v>
      </c>
      <c r="J244" t="s">
        <v>1870</v>
      </c>
      <c r="K244" t="s">
        <v>1870</v>
      </c>
      <c r="L244" t="s">
        <v>1489</v>
      </c>
      <c r="M244" t="s">
        <v>1489</v>
      </c>
      <c r="N244" t="s">
        <v>1870</v>
      </c>
      <c r="O244">
        <v>0</v>
      </c>
      <c r="Q244" s="3">
        <v>0</v>
      </c>
    </row>
    <row r="245" spans="1:18" x14ac:dyDescent="0.3">
      <c r="A245" s="249" t="s">
        <v>1870</v>
      </c>
      <c r="B245" s="7">
        <v>230</v>
      </c>
      <c r="C245" t="s">
        <v>1870</v>
      </c>
      <c r="D245" t="s">
        <v>1870</v>
      </c>
      <c r="E245" s="7" t="s">
        <v>64</v>
      </c>
      <c r="F245" s="7">
        <v>0</v>
      </c>
      <c r="G245" t="s">
        <v>1870</v>
      </c>
      <c r="H245" t="s">
        <v>378</v>
      </c>
      <c r="I245" t="s">
        <v>1489</v>
      </c>
      <c r="J245" t="s">
        <v>1870</v>
      </c>
      <c r="K245" t="s">
        <v>1870</v>
      </c>
      <c r="L245" t="s">
        <v>1489</v>
      </c>
      <c r="M245" t="s">
        <v>1489</v>
      </c>
      <c r="N245" t="s">
        <v>1870</v>
      </c>
      <c r="O245">
        <v>0</v>
      </c>
      <c r="Q245" s="3">
        <v>0</v>
      </c>
    </row>
    <row r="246" spans="1:18" x14ac:dyDescent="0.3">
      <c r="A246" s="249" t="s">
        <v>1870</v>
      </c>
      <c r="B246" s="246">
        <v>310</v>
      </c>
      <c r="C246" t="s">
        <v>1870</v>
      </c>
      <c r="D246" t="s">
        <v>1870</v>
      </c>
      <c r="E246" s="7" t="s">
        <v>25</v>
      </c>
      <c r="F246">
        <v>0</v>
      </c>
      <c r="G246" t="s">
        <v>1870</v>
      </c>
      <c r="H246" t="s">
        <v>381</v>
      </c>
      <c r="I246" t="s">
        <v>1489</v>
      </c>
      <c r="J246" t="s">
        <v>1870</v>
      </c>
      <c r="K246" t="s">
        <v>1870</v>
      </c>
      <c r="L246" t="s">
        <v>1489</v>
      </c>
      <c r="M246" t="s">
        <v>1489</v>
      </c>
      <c r="N246" t="s">
        <v>1870</v>
      </c>
      <c r="O246">
        <v>0</v>
      </c>
      <c r="Q246" s="3">
        <v>0</v>
      </c>
    </row>
    <row r="247" spans="1:18" x14ac:dyDescent="0.3">
      <c r="A247" s="249" t="s">
        <v>1870</v>
      </c>
      <c r="B247" s="246">
        <v>310</v>
      </c>
      <c r="C247" t="s">
        <v>1870</v>
      </c>
      <c r="D247" t="s">
        <v>1870</v>
      </c>
      <c r="E247" s="7" t="s">
        <v>131</v>
      </c>
      <c r="F247">
        <v>0</v>
      </c>
      <c r="G247" t="s">
        <v>1870</v>
      </c>
      <c r="H247" t="s">
        <v>383</v>
      </c>
      <c r="I247" t="s">
        <v>1489</v>
      </c>
      <c r="J247" t="s">
        <v>1870</v>
      </c>
      <c r="K247" t="s">
        <v>1870</v>
      </c>
      <c r="L247" t="s">
        <v>1489</v>
      </c>
      <c r="M247" t="s">
        <v>1489</v>
      </c>
      <c r="N247" t="s">
        <v>1870</v>
      </c>
      <c r="O247">
        <v>0</v>
      </c>
      <c r="Q247" s="3">
        <v>0</v>
      </c>
    </row>
    <row r="248" spans="1:18" x14ac:dyDescent="0.3">
      <c r="A248" s="249" t="s">
        <v>1870</v>
      </c>
      <c r="B248" s="246">
        <v>310</v>
      </c>
      <c r="C248" t="s">
        <v>1870</v>
      </c>
      <c r="D248" t="s">
        <v>1870</v>
      </c>
      <c r="E248" s="7" t="s">
        <v>131</v>
      </c>
      <c r="F248" s="7">
        <v>1</v>
      </c>
      <c r="G248" t="s">
        <v>1870</v>
      </c>
      <c r="H248" t="s">
        <v>385</v>
      </c>
      <c r="I248" t="s">
        <v>1489</v>
      </c>
      <c r="J248" t="s">
        <v>1870</v>
      </c>
      <c r="K248" t="s">
        <v>1870</v>
      </c>
      <c r="L248" t="s">
        <v>1489</v>
      </c>
      <c r="M248" t="s">
        <v>1489</v>
      </c>
      <c r="N248" t="s">
        <v>1870</v>
      </c>
      <c r="O248">
        <v>0</v>
      </c>
      <c r="Q248" s="3">
        <v>0</v>
      </c>
    </row>
    <row r="249" spans="1:18" x14ac:dyDescent="0.3">
      <c r="A249" s="249" t="s">
        <v>1870</v>
      </c>
      <c r="B249" s="246">
        <v>310</v>
      </c>
      <c r="C249" t="s">
        <v>1870</v>
      </c>
      <c r="D249" t="s">
        <v>1870</v>
      </c>
      <c r="E249" s="7" t="s">
        <v>131</v>
      </c>
      <c r="F249" s="7">
        <v>2</v>
      </c>
      <c r="G249" t="s">
        <v>1870</v>
      </c>
      <c r="H249" t="s">
        <v>387</v>
      </c>
      <c r="I249" t="s">
        <v>1489</v>
      </c>
      <c r="J249" t="s">
        <v>1870</v>
      </c>
      <c r="K249" t="s">
        <v>1870</v>
      </c>
      <c r="L249" t="s">
        <v>1489</v>
      </c>
      <c r="M249" t="s">
        <v>1489</v>
      </c>
      <c r="N249" t="s">
        <v>1870</v>
      </c>
      <c r="O249">
        <v>0</v>
      </c>
      <c r="Q249" s="3">
        <v>0</v>
      </c>
    </row>
    <row r="250" spans="1:18" x14ac:dyDescent="0.3">
      <c r="A250" s="249" t="s">
        <v>1870</v>
      </c>
      <c r="B250" s="246">
        <v>310</v>
      </c>
      <c r="C250" t="s">
        <v>1870</v>
      </c>
      <c r="D250" t="s">
        <v>1870</v>
      </c>
      <c r="E250" s="7" t="s">
        <v>48</v>
      </c>
      <c r="F250" s="7">
        <v>0</v>
      </c>
      <c r="G250" t="s">
        <v>1870</v>
      </c>
      <c r="H250" t="s">
        <v>389</v>
      </c>
      <c r="I250" t="s">
        <v>1489</v>
      </c>
      <c r="J250" t="s">
        <v>1870</v>
      </c>
      <c r="K250" t="s">
        <v>1870</v>
      </c>
      <c r="L250" t="s">
        <v>1489</v>
      </c>
      <c r="M250" t="s">
        <v>1489</v>
      </c>
      <c r="N250" t="s">
        <v>1870</v>
      </c>
      <c r="O250">
        <v>0</v>
      </c>
      <c r="Q250" s="3">
        <v>0</v>
      </c>
    </row>
    <row r="251" spans="1:18" x14ac:dyDescent="0.3">
      <c r="A251" s="249" t="s">
        <v>1870</v>
      </c>
      <c r="B251" s="246">
        <v>310</v>
      </c>
      <c r="C251" t="s">
        <v>1870</v>
      </c>
      <c r="D251" t="s">
        <v>1870</v>
      </c>
      <c r="E251" s="246" t="s">
        <v>183</v>
      </c>
      <c r="F251" s="246">
        <v>0</v>
      </c>
      <c r="G251" t="s">
        <v>1870</v>
      </c>
      <c r="H251" s="248" t="s">
        <v>391</v>
      </c>
      <c r="I251" s="246">
        <v>96901</v>
      </c>
      <c r="J251" t="s">
        <v>1870</v>
      </c>
      <c r="K251" t="s">
        <v>1870</v>
      </c>
      <c r="L251" s="246" t="s">
        <v>1812</v>
      </c>
      <c r="M251" s="246" t="s">
        <v>2131</v>
      </c>
      <c r="N251" t="s">
        <v>1870</v>
      </c>
      <c r="O251" s="247" t="s">
        <v>2171</v>
      </c>
      <c r="P251" s="3">
        <v>3796</v>
      </c>
      <c r="Q251" s="3">
        <v>4000</v>
      </c>
    </row>
    <row r="252" spans="1:18" x14ac:dyDescent="0.3">
      <c r="A252" s="249" t="s">
        <v>1870</v>
      </c>
      <c r="B252" s="246">
        <v>310</v>
      </c>
      <c r="C252" t="s">
        <v>1870</v>
      </c>
      <c r="D252" t="s">
        <v>1870</v>
      </c>
      <c r="E252" s="7" t="s">
        <v>6</v>
      </c>
      <c r="F252">
        <v>0</v>
      </c>
      <c r="G252" t="s">
        <v>1870</v>
      </c>
      <c r="H252" t="s">
        <v>393</v>
      </c>
      <c r="I252" s="7" t="s">
        <v>1489</v>
      </c>
      <c r="J252" t="s">
        <v>1870</v>
      </c>
      <c r="K252" t="s">
        <v>1870</v>
      </c>
      <c r="L252" s="7" t="s">
        <v>1489</v>
      </c>
      <c r="M252" s="7" t="s">
        <v>1489</v>
      </c>
      <c r="N252" t="s">
        <v>1870</v>
      </c>
      <c r="O252">
        <v>0</v>
      </c>
      <c r="Q252" s="3">
        <v>0</v>
      </c>
    </row>
    <row r="253" spans="1:18" x14ac:dyDescent="0.3">
      <c r="A253" s="249" t="s">
        <v>1870</v>
      </c>
      <c r="B253" s="246">
        <v>310</v>
      </c>
      <c r="C253" t="s">
        <v>1870</v>
      </c>
      <c r="D253" t="s">
        <v>1870</v>
      </c>
      <c r="E253" s="7" t="s">
        <v>6</v>
      </c>
      <c r="F253" s="7">
        <v>1</v>
      </c>
      <c r="G253" t="s">
        <v>1870</v>
      </c>
      <c r="H253" t="s">
        <v>395</v>
      </c>
      <c r="I253" t="s">
        <v>1489</v>
      </c>
      <c r="J253" t="s">
        <v>1870</v>
      </c>
      <c r="K253" t="s">
        <v>1870</v>
      </c>
      <c r="L253" t="s">
        <v>1489</v>
      </c>
      <c r="M253" t="s">
        <v>1489</v>
      </c>
      <c r="N253" t="s">
        <v>1870</v>
      </c>
      <c r="O253">
        <v>0</v>
      </c>
      <c r="Q253" s="3">
        <v>0</v>
      </c>
    </row>
    <row r="254" spans="1:18" x14ac:dyDescent="0.3">
      <c r="A254" s="249" t="s">
        <v>1870</v>
      </c>
      <c r="B254" s="246">
        <v>310</v>
      </c>
      <c r="C254" t="s">
        <v>1870</v>
      </c>
      <c r="D254" t="s">
        <v>1870</v>
      </c>
      <c r="E254" s="246" t="s">
        <v>326</v>
      </c>
      <c r="F254" s="7">
        <v>0</v>
      </c>
      <c r="G254" t="s">
        <v>1870</v>
      </c>
      <c r="H254" s="248" t="s">
        <v>397</v>
      </c>
      <c r="I254" s="7">
        <v>96901</v>
      </c>
      <c r="J254" t="s">
        <v>1870</v>
      </c>
      <c r="K254" t="s">
        <v>1870</v>
      </c>
      <c r="L254" s="246" t="s">
        <v>1813</v>
      </c>
      <c r="M254" s="7" t="s">
        <v>2131</v>
      </c>
      <c r="N254" t="s">
        <v>1870</v>
      </c>
      <c r="O254" s="247" t="s">
        <v>2172</v>
      </c>
      <c r="P254" s="3">
        <v>-73192.149999999994</v>
      </c>
      <c r="Q254" s="3">
        <v>-78000</v>
      </c>
    </row>
    <row r="255" spans="1:18" x14ac:dyDescent="0.3">
      <c r="A255" s="249" t="s">
        <v>1870</v>
      </c>
      <c r="B255" s="246">
        <v>310</v>
      </c>
      <c r="C255" t="s">
        <v>1870</v>
      </c>
      <c r="D255" t="s">
        <v>1870</v>
      </c>
      <c r="E255" s="246" t="s">
        <v>326</v>
      </c>
      <c r="F255" s="7">
        <v>0</v>
      </c>
      <c r="G255" t="s">
        <v>1870</v>
      </c>
      <c r="H255" s="248" t="s">
        <v>397</v>
      </c>
      <c r="I255" s="246" t="s">
        <v>1794</v>
      </c>
      <c r="J255" t="s">
        <v>1870</v>
      </c>
      <c r="K255" t="s">
        <v>1870</v>
      </c>
      <c r="L255" s="246" t="s">
        <v>1443</v>
      </c>
      <c r="M255" t="s">
        <v>2131</v>
      </c>
      <c r="N255" t="s">
        <v>1870</v>
      </c>
      <c r="O255" s="247" t="s">
        <v>2301</v>
      </c>
      <c r="P255" s="3">
        <v>-8360</v>
      </c>
      <c r="Q255" s="3">
        <v>0</v>
      </c>
      <c r="R255" s="3">
        <v>-8360</v>
      </c>
    </row>
    <row r="256" spans="1:18" x14ac:dyDescent="0.3">
      <c r="A256" s="249" t="s">
        <v>1870</v>
      </c>
      <c r="B256" s="246">
        <v>310</v>
      </c>
      <c r="C256" t="s">
        <v>1870</v>
      </c>
      <c r="D256" t="s">
        <v>1870</v>
      </c>
      <c r="E256" s="246" t="s">
        <v>326</v>
      </c>
      <c r="F256" s="7">
        <v>0</v>
      </c>
      <c r="G256" t="s">
        <v>1870</v>
      </c>
      <c r="H256" s="248" t="s">
        <v>397</v>
      </c>
      <c r="I256" t="s">
        <v>1490</v>
      </c>
      <c r="J256" t="s">
        <v>1870</v>
      </c>
      <c r="K256" t="s">
        <v>1870</v>
      </c>
      <c r="L256" t="s">
        <v>1443</v>
      </c>
      <c r="M256" t="s">
        <v>2131</v>
      </c>
      <c r="N256" t="s">
        <v>1870</v>
      </c>
      <c r="O256" t="s">
        <v>2076</v>
      </c>
      <c r="P256" s="3">
        <v>-1200</v>
      </c>
      <c r="Q256" s="3">
        <v>0</v>
      </c>
      <c r="R256" s="3">
        <v>-1200</v>
      </c>
    </row>
    <row r="257" spans="1:17" x14ac:dyDescent="0.3">
      <c r="A257" s="249" t="s">
        <v>1870</v>
      </c>
      <c r="B257" s="246">
        <v>310</v>
      </c>
      <c r="C257" t="s">
        <v>1870</v>
      </c>
      <c r="D257" t="s">
        <v>1870</v>
      </c>
      <c r="E257" s="246" t="s">
        <v>329</v>
      </c>
      <c r="F257">
        <v>0</v>
      </c>
      <c r="G257" t="s">
        <v>1870</v>
      </c>
      <c r="H257" s="248" t="s">
        <v>399</v>
      </c>
      <c r="I257" s="246">
        <v>96901</v>
      </c>
      <c r="J257" t="s">
        <v>1870</v>
      </c>
      <c r="K257" t="s">
        <v>1870</v>
      </c>
      <c r="L257" s="246" t="s">
        <v>2124</v>
      </c>
      <c r="M257" t="s">
        <v>2131</v>
      </c>
      <c r="N257" t="s">
        <v>1870</v>
      </c>
      <c r="O257" s="247" t="s">
        <v>2170</v>
      </c>
      <c r="Q257" s="3">
        <v>0</v>
      </c>
    </row>
    <row r="258" spans="1:17" x14ac:dyDescent="0.3">
      <c r="A258" s="249" t="s">
        <v>1870</v>
      </c>
      <c r="B258" s="246">
        <v>310</v>
      </c>
      <c r="C258" t="s">
        <v>1870</v>
      </c>
      <c r="D258" t="s">
        <v>1870</v>
      </c>
      <c r="E258" s="246" t="s">
        <v>329</v>
      </c>
      <c r="F258" s="7">
        <v>1</v>
      </c>
      <c r="G258" t="s">
        <v>1870</v>
      </c>
      <c r="H258" t="s">
        <v>401</v>
      </c>
      <c r="I258" s="7" t="s">
        <v>1489</v>
      </c>
      <c r="J258" t="s">
        <v>1870</v>
      </c>
      <c r="K258" t="s">
        <v>1870</v>
      </c>
      <c r="L258" s="7" t="s">
        <v>1489</v>
      </c>
      <c r="M258" s="7" t="s">
        <v>1489</v>
      </c>
      <c r="N258" t="s">
        <v>1870</v>
      </c>
      <c r="O258">
        <v>0</v>
      </c>
      <c r="Q258" s="3">
        <v>0</v>
      </c>
    </row>
    <row r="259" spans="1:17" x14ac:dyDescent="0.3">
      <c r="A259" s="249" t="s">
        <v>1870</v>
      </c>
      <c r="B259" s="246">
        <v>310</v>
      </c>
      <c r="C259" t="s">
        <v>1870</v>
      </c>
      <c r="D259" t="s">
        <v>1870</v>
      </c>
      <c r="E259" s="7" t="s">
        <v>335</v>
      </c>
      <c r="F259" s="7">
        <v>0</v>
      </c>
      <c r="G259" t="s">
        <v>1870</v>
      </c>
      <c r="H259" t="s">
        <v>403</v>
      </c>
      <c r="I259" t="s">
        <v>1489</v>
      </c>
      <c r="J259" t="s">
        <v>1870</v>
      </c>
      <c r="K259" t="s">
        <v>1870</v>
      </c>
      <c r="L259" t="s">
        <v>1489</v>
      </c>
      <c r="M259" t="s">
        <v>1489</v>
      </c>
      <c r="N259" t="s">
        <v>1870</v>
      </c>
      <c r="O259">
        <v>0</v>
      </c>
      <c r="Q259" s="3">
        <v>0</v>
      </c>
    </row>
    <row r="260" spans="1:17" x14ac:dyDescent="0.3">
      <c r="A260" s="249" t="s">
        <v>1870</v>
      </c>
      <c r="B260" s="246">
        <v>310</v>
      </c>
      <c r="C260" t="s">
        <v>1870</v>
      </c>
      <c r="D260" t="s">
        <v>1870</v>
      </c>
      <c r="E260" s="7" t="s">
        <v>61</v>
      </c>
      <c r="F260">
        <v>0</v>
      </c>
      <c r="G260" t="s">
        <v>1870</v>
      </c>
      <c r="H260" t="s">
        <v>405</v>
      </c>
      <c r="I260" t="s">
        <v>1489</v>
      </c>
      <c r="J260" t="s">
        <v>1870</v>
      </c>
      <c r="K260" t="s">
        <v>1870</v>
      </c>
      <c r="L260" t="s">
        <v>1489</v>
      </c>
      <c r="M260" t="s">
        <v>1489</v>
      </c>
      <c r="N260" t="s">
        <v>1870</v>
      </c>
      <c r="O260">
        <v>0</v>
      </c>
      <c r="Q260" s="3">
        <v>0</v>
      </c>
    </row>
    <row r="261" spans="1:17" x14ac:dyDescent="0.3">
      <c r="A261" s="249" t="s">
        <v>1870</v>
      </c>
      <c r="B261" s="246">
        <v>310</v>
      </c>
      <c r="C261" t="s">
        <v>1870</v>
      </c>
      <c r="D261" t="s">
        <v>1870</v>
      </c>
      <c r="E261" s="7" t="s">
        <v>175</v>
      </c>
      <c r="F261">
        <v>0</v>
      </c>
      <c r="G261" t="s">
        <v>1870</v>
      </c>
      <c r="H261" t="s">
        <v>407</v>
      </c>
      <c r="I261" t="s">
        <v>1489</v>
      </c>
      <c r="J261" t="s">
        <v>1870</v>
      </c>
      <c r="K261" t="s">
        <v>1870</v>
      </c>
      <c r="L261" t="s">
        <v>1489</v>
      </c>
      <c r="M261" t="s">
        <v>1489</v>
      </c>
      <c r="N261" t="s">
        <v>1870</v>
      </c>
      <c r="O261">
        <v>0</v>
      </c>
      <c r="Q261" s="3">
        <v>0</v>
      </c>
    </row>
    <row r="262" spans="1:17" x14ac:dyDescent="0.3">
      <c r="A262" s="249" t="s">
        <v>1870</v>
      </c>
      <c r="B262" s="246">
        <v>310</v>
      </c>
      <c r="C262" t="s">
        <v>1870</v>
      </c>
      <c r="D262" t="s">
        <v>1870</v>
      </c>
      <c r="E262" s="7" t="s">
        <v>351</v>
      </c>
      <c r="F262">
        <v>0</v>
      </c>
      <c r="G262" t="s">
        <v>1870</v>
      </c>
      <c r="H262" t="s">
        <v>409</v>
      </c>
      <c r="I262" t="s">
        <v>1489</v>
      </c>
      <c r="J262" t="s">
        <v>1870</v>
      </c>
      <c r="K262" t="s">
        <v>1870</v>
      </c>
      <c r="L262" t="s">
        <v>1489</v>
      </c>
      <c r="M262" t="s">
        <v>1489</v>
      </c>
      <c r="N262" t="s">
        <v>1870</v>
      </c>
      <c r="O262">
        <v>0</v>
      </c>
      <c r="Q262" s="3">
        <v>0</v>
      </c>
    </row>
    <row r="263" spans="1:17" x14ac:dyDescent="0.3">
      <c r="A263" s="249" t="s">
        <v>1870</v>
      </c>
      <c r="B263" s="246">
        <v>310</v>
      </c>
      <c r="C263" t="s">
        <v>1870</v>
      </c>
      <c r="D263" t="s">
        <v>1870</v>
      </c>
      <c r="E263" s="7" t="s">
        <v>64</v>
      </c>
      <c r="F263">
        <v>0</v>
      </c>
      <c r="G263" t="s">
        <v>1870</v>
      </c>
      <c r="H263" t="s">
        <v>411</v>
      </c>
      <c r="I263" t="s">
        <v>1489</v>
      </c>
      <c r="J263" t="s">
        <v>1870</v>
      </c>
      <c r="K263" t="s">
        <v>1870</v>
      </c>
      <c r="L263" t="s">
        <v>1489</v>
      </c>
      <c r="M263" t="s">
        <v>1489</v>
      </c>
      <c r="N263" t="s">
        <v>1870</v>
      </c>
      <c r="O263">
        <v>0</v>
      </c>
      <c r="Q263" s="3">
        <v>0</v>
      </c>
    </row>
    <row r="264" spans="1:17" x14ac:dyDescent="0.3">
      <c r="A264" s="249" t="s">
        <v>1870</v>
      </c>
      <c r="B264" s="246">
        <v>320</v>
      </c>
      <c r="C264" t="s">
        <v>1870</v>
      </c>
      <c r="D264" t="s">
        <v>1870</v>
      </c>
      <c r="E264" s="246" t="s">
        <v>131</v>
      </c>
      <c r="F264">
        <v>0</v>
      </c>
      <c r="G264" t="s">
        <v>1870</v>
      </c>
      <c r="H264" s="248" t="s">
        <v>414</v>
      </c>
      <c r="I264" s="246">
        <v>82000</v>
      </c>
      <c r="J264" t="s">
        <v>1870</v>
      </c>
      <c r="K264" t="s">
        <v>1870</v>
      </c>
      <c r="L264" s="246" t="s">
        <v>1814</v>
      </c>
      <c r="M264" s="7" t="s">
        <v>2131</v>
      </c>
      <c r="N264" t="s">
        <v>1870</v>
      </c>
      <c r="O264" s="247" t="s">
        <v>1881</v>
      </c>
      <c r="P264" s="3">
        <v>46263.42</v>
      </c>
      <c r="Q264" s="3">
        <v>15000</v>
      </c>
    </row>
    <row r="265" spans="1:17" x14ac:dyDescent="0.3">
      <c r="A265" s="249" t="s">
        <v>1870</v>
      </c>
      <c r="B265" s="246">
        <v>320</v>
      </c>
      <c r="C265" t="s">
        <v>1870</v>
      </c>
      <c r="D265" t="s">
        <v>1870</v>
      </c>
      <c r="E265" s="246" t="s">
        <v>131</v>
      </c>
      <c r="F265">
        <v>0</v>
      </c>
      <c r="G265" t="s">
        <v>1870</v>
      </c>
      <c r="H265" s="248" t="s">
        <v>414</v>
      </c>
      <c r="I265" s="246">
        <v>82000</v>
      </c>
      <c r="J265" t="s">
        <v>1870</v>
      </c>
      <c r="K265" t="s">
        <v>1870</v>
      </c>
      <c r="L265" s="246" t="s">
        <v>1398</v>
      </c>
      <c r="M265" t="s">
        <v>2131</v>
      </c>
      <c r="N265" t="s">
        <v>1870</v>
      </c>
      <c r="O265" s="247" t="s">
        <v>2044</v>
      </c>
      <c r="Q265" s="3">
        <v>0</v>
      </c>
    </row>
    <row r="266" spans="1:17" x14ac:dyDescent="0.3">
      <c r="A266" s="249" t="s">
        <v>1870</v>
      </c>
      <c r="B266" s="246">
        <v>320</v>
      </c>
      <c r="C266" t="s">
        <v>1870</v>
      </c>
      <c r="D266" t="s">
        <v>1870</v>
      </c>
      <c r="E266" s="246" t="s">
        <v>48</v>
      </c>
      <c r="F266">
        <v>0</v>
      </c>
      <c r="G266" t="s">
        <v>1870</v>
      </c>
      <c r="H266" s="248" t="s">
        <v>416</v>
      </c>
      <c r="I266">
        <v>82000</v>
      </c>
      <c r="J266" t="s">
        <v>1870</v>
      </c>
      <c r="K266" t="s">
        <v>1870</v>
      </c>
      <c r="L266" s="246" t="s">
        <v>1418</v>
      </c>
      <c r="M266" t="s">
        <v>2131</v>
      </c>
      <c r="N266" t="s">
        <v>1870</v>
      </c>
      <c r="O266" s="247" t="s">
        <v>2091</v>
      </c>
      <c r="P266" s="3">
        <v>20.7</v>
      </c>
      <c r="Q266" s="3">
        <v>0</v>
      </c>
    </row>
    <row r="267" spans="1:17" x14ac:dyDescent="0.3">
      <c r="A267" s="249" t="s">
        <v>1870</v>
      </c>
      <c r="B267" s="246">
        <v>320</v>
      </c>
      <c r="C267" t="s">
        <v>1870</v>
      </c>
      <c r="D267" t="s">
        <v>1870</v>
      </c>
      <c r="E267" s="7" t="s">
        <v>93</v>
      </c>
      <c r="F267">
        <v>0</v>
      </c>
      <c r="G267" t="s">
        <v>1870</v>
      </c>
      <c r="H267" t="s">
        <v>418</v>
      </c>
      <c r="I267" s="7" t="s">
        <v>1489</v>
      </c>
      <c r="J267" t="s">
        <v>1870</v>
      </c>
      <c r="K267" t="s">
        <v>1870</v>
      </c>
      <c r="L267" s="7" t="s">
        <v>1489</v>
      </c>
      <c r="M267" s="7" t="s">
        <v>1489</v>
      </c>
      <c r="N267" t="s">
        <v>1870</v>
      </c>
      <c r="O267">
        <v>0</v>
      </c>
      <c r="Q267" s="3">
        <v>0</v>
      </c>
    </row>
    <row r="268" spans="1:17" x14ac:dyDescent="0.3">
      <c r="A268" s="249" t="s">
        <v>1870</v>
      </c>
      <c r="B268" s="246">
        <v>320</v>
      </c>
      <c r="C268" t="s">
        <v>1870</v>
      </c>
      <c r="D268" t="s">
        <v>1870</v>
      </c>
      <c r="E268" s="7" t="s">
        <v>164</v>
      </c>
      <c r="F268">
        <v>0</v>
      </c>
      <c r="G268" t="s">
        <v>1870</v>
      </c>
      <c r="H268" t="s">
        <v>420</v>
      </c>
      <c r="I268" t="s">
        <v>1489</v>
      </c>
      <c r="J268" t="s">
        <v>1870</v>
      </c>
      <c r="K268" t="s">
        <v>1870</v>
      </c>
      <c r="L268" t="s">
        <v>1489</v>
      </c>
      <c r="M268" t="s">
        <v>1489</v>
      </c>
      <c r="N268" t="s">
        <v>1870</v>
      </c>
      <c r="O268">
        <v>0</v>
      </c>
      <c r="Q268" s="3">
        <v>0</v>
      </c>
    </row>
    <row r="269" spans="1:17" x14ac:dyDescent="0.3">
      <c r="A269" s="249" t="s">
        <v>1870</v>
      </c>
      <c r="B269" s="246">
        <v>320</v>
      </c>
      <c r="C269" t="s">
        <v>1870</v>
      </c>
      <c r="D269" t="s">
        <v>1870</v>
      </c>
      <c r="E269" s="7" t="s">
        <v>96</v>
      </c>
      <c r="F269">
        <v>0</v>
      </c>
      <c r="G269" t="s">
        <v>1870</v>
      </c>
      <c r="H269" t="s">
        <v>422</v>
      </c>
      <c r="I269" t="s">
        <v>1489</v>
      </c>
      <c r="J269" t="s">
        <v>1870</v>
      </c>
      <c r="K269" t="s">
        <v>1870</v>
      </c>
      <c r="L269" t="s">
        <v>1489</v>
      </c>
      <c r="M269" t="s">
        <v>1489</v>
      </c>
      <c r="N269" t="s">
        <v>1870</v>
      </c>
      <c r="O269">
        <v>0</v>
      </c>
      <c r="P269" s="3">
        <v>1</v>
      </c>
      <c r="Q269" s="3">
        <v>0</v>
      </c>
    </row>
    <row r="270" spans="1:17" x14ac:dyDescent="0.3">
      <c r="A270" s="249" t="s">
        <v>1870</v>
      </c>
      <c r="B270" s="246">
        <v>320</v>
      </c>
      <c r="C270" t="s">
        <v>1870</v>
      </c>
      <c r="D270" t="s">
        <v>1870</v>
      </c>
      <c r="E270" s="246" t="s">
        <v>5</v>
      </c>
      <c r="F270">
        <v>0</v>
      </c>
      <c r="G270" t="s">
        <v>1870</v>
      </c>
      <c r="H270" s="248" t="s">
        <v>424</v>
      </c>
      <c r="I270" s="7">
        <v>82000</v>
      </c>
      <c r="J270" t="s">
        <v>1870</v>
      </c>
      <c r="K270" t="s">
        <v>1870</v>
      </c>
      <c r="L270" s="246" t="s">
        <v>1398</v>
      </c>
      <c r="M270" s="246" t="s">
        <v>2132</v>
      </c>
      <c r="N270" t="s">
        <v>1870</v>
      </c>
      <c r="O270" s="247" t="s">
        <v>2045</v>
      </c>
      <c r="P270" s="3">
        <v>85286.85</v>
      </c>
      <c r="Q270" s="3">
        <v>100000</v>
      </c>
    </row>
    <row r="271" spans="1:17" x14ac:dyDescent="0.3">
      <c r="A271" s="249" t="s">
        <v>1870</v>
      </c>
      <c r="B271" s="246">
        <v>320</v>
      </c>
      <c r="C271" t="s">
        <v>1870</v>
      </c>
      <c r="D271" t="s">
        <v>1870</v>
      </c>
      <c r="E271" s="246" t="s">
        <v>5</v>
      </c>
      <c r="F271" s="246">
        <v>1</v>
      </c>
      <c r="G271" t="s">
        <v>1870</v>
      </c>
      <c r="H271" s="248" t="s">
        <v>426</v>
      </c>
      <c r="I271">
        <v>82000</v>
      </c>
      <c r="J271" t="s">
        <v>1870</v>
      </c>
      <c r="K271" t="s">
        <v>1870</v>
      </c>
      <c r="L271" s="246" t="s">
        <v>1552</v>
      </c>
      <c r="M271" s="246" t="s">
        <v>2131</v>
      </c>
      <c r="N271" t="s">
        <v>1870</v>
      </c>
      <c r="O271" s="247" t="s">
        <v>1816</v>
      </c>
      <c r="P271" s="3">
        <v>22217</v>
      </c>
      <c r="Q271" s="3">
        <v>20000</v>
      </c>
    </row>
    <row r="272" spans="1:17" x14ac:dyDescent="0.3">
      <c r="A272" s="249" t="s">
        <v>1870</v>
      </c>
      <c r="B272" s="246">
        <v>320</v>
      </c>
      <c r="C272" t="s">
        <v>1870</v>
      </c>
      <c r="D272" t="s">
        <v>1870</v>
      </c>
      <c r="E272" s="7" t="s">
        <v>6</v>
      </c>
      <c r="F272" s="7">
        <v>0</v>
      </c>
      <c r="G272" t="s">
        <v>1870</v>
      </c>
      <c r="H272" t="s">
        <v>428</v>
      </c>
      <c r="I272" s="7" t="s">
        <v>1489</v>
      </c>
      <c r="J272" t="s">
        <v>1870</v>
      </c>
      <c r="K272" t="s">
        <v>1870</v>
      </c>
      <c r="L272" s="7" t="s">
        <v>1489</v>
      </c>
      <c r="M272" s="7" t="s">
        <v>1489</v>
      </c>
      <c r="N272" t="s">
        <v>1870</v>
      </c>
      <c r="O272">
        <v>0</v>
      </c>
      <c r="Q272" s="3">
        <v>0</v>
      </c>
    </row>
    <row r="273" spans="1:17" x14ac:dyDescent="0.3">
      <c r="A273" s="249" t="s">
        <v>1870</v>
      </c>
      <c r="B273" s="246">
        <v>320</v>
      </c>
      <c r="C273" t="s">
        <v>1870</v>
      </c>
      <c r="D273" t="s">
        <v>1870</v>
      </c>
      <c r="E273" s="7" t="s">
        <v>58</v>
      </c>
      <c r="F273">
        <v>0</v>
      </c>
      <c r="G273" t="s">
        <v>1870</v>
      </c>
      <c r="H273" t="s">
        <v>430</v>
      </c>
      <c r="I273" t="s">
        <v>1489</v>
      </c>
      <c r="J273" t="s">
        <v>1870</v>
      </c>
      <c r="K273" t="s">
        <v>1870</v>
      </c>
      <c r="L273" t="s">
        <v>1489</v>
      </c>
      <c r="M273" t="s">
        <v>1489</v>
      </c>
      <c r="N273" t="s">
        <v>1870</v>
      </c>
      <c r="O273">
        <v>0</v>
      </c>
      <c r="Q273" s="3">
        <v>0</v>
      </c>
    </row>
    <row r="274" spans="1:17" x14ac:dyDescent="0.3">
      <c r="A274" s="249" t="s">
        <v>1870</v>
      </c>
      <c r="B274" s="246">
        <v>320</v>
      </c>
      <c r="C274" t="s">
        <v>1870</v>
      </c>
      <c r="D274" t="s">
        <v>1870</v>
      </c>
      <c r="E274" s="246" t="s">
        <v>351</v>
      </c>
      <c r="F274" s="246">
        <v>0</v>
      </c>
      <c r="G274" t="s">
        <v>1870</v>
      </c>
      <c r="H274" s="248" t="s">
        <v>432</v>
      </c>
      <c r="I274" s="7">
        <v>82000</v>
      </c>
      <c r="J274" t="s">
        <v>1870</v>
      </c>
      <c r="K274" t="s">
        <v>1870</v>
      </c>
      <c r="L274" s="246" t="s">
        <v>1817</v>
      </c>
      <c r="M274" s="7" t="s">
        <v>2131</v>
      </c>
      <c r="N274" t="s">
        <v>1870</v>
      </c>
      <c r="O274" s="247" t="s">
        <v>1818</v>
      </c>
      <c r="P274" s="3">
        <v>-37554.050000000003</v>
      </c>
      <c r="Q274" s="3">
        <v>0</v>
      </c>
    </row>
    <row r="275" spans="1:17" x14ac:dyDescent="0.3">
      <c r="A275" s="249" t="s">
        <v>1870</v>
      </c>
      <c r="B275" s="246">
        <v>320</v>
      </c>
      <c r="C275" t="s">
        <v>1870</v>
      </c>
      <c r="D275" t="s">
        <v>1870</v>
      </c>
      <c r="E275" s="246" t="s">
        <v>351</v>
      </c>
      <c r="F275" s="246">
        <v>0</v>
      </c>
      <c r="G275" t="s">
        <v>1870</v>
      </c>
      <c r="H275" s="248" t="s">
        <v>432</v>
      </c>
      <c r="I275" s="7">
        <v>82000</v>
      </c>
      <c r="J275" t="s">
        <v>1870</v>
      </c>
      <c r="K275" t="s">
        <v>1870</v>
      </c>
      <c r="L275" s="246" t="s">
        <v>1819</v>
      </c>
      <c r="M275" t="s">
        <v>2131</v>
      </c>
      <c r="N275" t="s">
        <v>1870</v>
      </c>
      <c r="O275" s="247" t="s">
        <v>1820</v>
      </c>
      <c r="Q275" s="3">
        <v>0</v>
      </c>
    </row>
    <row r="276" spans="1:17" x14ac:dyDescent="0.3">
      <c r="A276" s="249" t="s">
        <v>1870</v>
      </c>
      <c r="B276" s="246">
        <v>320</v>
      </c>
      <c r="C276" t="s">
        <v>1870</v>
      </c>
      <c r="D276" t="s">
        <v>1870</v>
      </c>
      <c r="E276" s="246" t="s">
        <v>64</v>
      </c>
      <c r="F276">
        <v>0</v>
      </c>
      <c r="G276" t="s">
        <v>1870</v>
      </c>
      <c r="H276" s="248" t="s">
        <v>434</v>
      </c>
      <c r="I276" s="246" t="s">
        <v>1710</v>
      </c>
      <c r="J276" t="s">
        <v>1870</v>
      </c>
      <c r="K276" t="s">
        <v>1870</v>
      </c>
      <c r="L276" s="246" t="s">
        <v>1711</v>
      </c>
      <c r="M276" t="s">
        <v>2131</v>
      </c>
      <c r="N276" t="s">
        <v>1870</v>
      </c>
      <c r="O276" s="247" t="s">
        <v>1712</v>
      </c>
      <c r="P276" s="3">
        <v>-1</v>
      </c>
      <c r="Q276" s="3">
        <v>0</v>
      </c>
    </row>
    <row r="277" spans="1:17" x14ac:dyDescent="0.3">
      <c r="A277" s="249" t="s">
        <v>1870</v>
      </c>
      <c r="B277" s="246">
        <v>321</v>
      </c>
      <c r="C277" t="s">
        <v>1870</v>
      </c>
      <c r="D277" t="s">
        <v>1870</v>
      </c>
      <c r="E277" s="7" t="s">
        <v>25</v>
      </c>
      <c r="F277">
        <v>0</v>
      </c>
      <c r="G277" t="s">
        <v>1870</v>
      </c>
      <c r="H277" t="s">
        <v>436</v>
      </c>
      <c r="I277" s="7" t="s">
        <v>1489</v>
      </c>
      <c r="J277" t="s">
        <v>1870</v>
      </c>
      <c r="K277" t="s">
        <v>1870</v>
      </c>
      <c r="L277" s="7" t="s">
        <v>1489</v>
      </c>
      <c r="M277" s="7" t="s">
        <v>1489</v>
      </c>
      <c r="N277" t="s">
        <v>1870</v>
      </c>
      <c r="O277">
        <v>0</v>
      </c>
      <c r="Q277" s="3">
        <v>0</v>
      </c>
    </row>
    <row r="278" spans="1:17" x14ac:dyDescent="0.3">
      <c r="A278" s="249" t="s">
        <v>1870</v>
      </c>
      <c r="B278" s="246">
        <v>321</v>
      </c>
      <c r="C278" t="s">
        <v>1870</v>
      </c>
      <c r="D278" t="s">
        <v>1870</v>
      </c>
      <c r="E278" s="7" t="s">
        <v>439</v>
      </c>
      <c r="F278">
        <v>0</v>
      </c>
      <c r="G278" t="s">
        <v>1870</v>
      </c>
      <c r="H278" t="s">
        <v>438</v>
      </c>
      <c r="I278" t="s">
        <v>1489</v>
      </c>
      <c r="J278" t="s">
        <v>1870</v>
      </c>
      <c r="K278" t="s">
        <v>1870</v>
      </c>
      <c r="L278" t="s">
        <v>1489</v>
      </c>
      <c r="M278" t="s">
        <v>1489</v>
      </c>
      <c r="N278" t="s">
        <v>1870</v>
      </c>
      <c r="O278">
        <v>0</v>
      </c>
      <c r="Q278" s="3">
        <v>0</v>
      </c>
    </row>
    <row r="279" spans="1:17" x14ac:dyDescent="0.3">
      <c r="A279" s="249" t="s">
        <v>1870</v>
      </c>
      <c r="B279" s="246">
        <v>321</v>
      </c>
      <c r="C279" t="s">
        <v>1870</v>
      </c>
      <c r="D279" t="s">
        <v>1870</v>
      </c>
      <c r="E279" s="246" t="s">
        <v>131</v>
      </c>
      <c r="F279">
        <v>0</v>
      </c>
      <c r="G279" t="s">
        <v>1870</v>
      </c>
      <c r="H279" s="248" t="s">
        <v>441</v>
      </c>
      <c r="I279" s="246">
        <v>96902</v>
      </c>
      <c r="J279" t="s">
        <v>1870</v>
      </c>
      <c r="K279" t="s">
        <v>1870</v>
      </c>
      <c r="L279" s="246" t="s">
        <v>1822</v>
      </c>
      <c r="M279" s="7" t="s">
        <v>2131</v>
      </c>
      <c r="N279" t="s">
        <v>1870</v>
      </c>
      <c r="O279" s="247" t="s">
        <v>2175</v>
      </c>
      <c r="Q279" s="3">
        <v>0</v>
      </c>
    </row>
    <row r="280" spans="1:17" x14ac:dyDescent="0.3">
      <c r="A280" s="249" t="s">
        <v>1870</v>
      </c>
      <c r="B280" s="246">
        <v>321</v>
      </c>
      <c r="C280" t="s">
        <v>1870</v>
      </c>
      <c r="D280" t="s">
        <v>1870</v>
      </c>
      <c r="E280" s="246" t="s">
        <v>131</v>
      </c>
      <c r="F280">
        <v>0</v>
      </c>
      <c r="G280" t="s">
        <v>1870</v>
      </c>
      <c r="H280" s="248" t="s">
        <v>441</v>
      </c>
      <c r="I280" s="246">
        <v>96902</v>
      </c>
      <c r="J280" t="s">
        <v>1870</v>
      </c>
      <c r="K280" t="s">
        <v>1870</v>
      </c>
      <c r="L280" s="246" t="s">
        <v>1812</v>
      </c>
      <c r="M280" t="s">
        <v>2131</v>
      </c>
      <c r="N280" t="s">
        <v>1870</v>
      </c>
      <c r="O280" s="247" t="s">
        <v>2174</v>
      </c>
      <c r="P280" s="3">
        <v>26616.87</v>
      </c>
      <c r="Q280" s="3">
        <v>15000</v>
      </c>
    </row>
    <row r="281" spans="1:17" x14ac:dyDescent="0.3">
      <c r="A281" s="249" t="s">
        <v>1870</v>
      </c>
      <c r="B281" s="246">
        <v>321</v>
      </c>
      <c r="C281" t="s">
        <v>1870</v>
      </c>
      <c r="D281" t="s">
        <v>1870</v>
      </c>
      <c r="E281" s="246" t="s">
        <v>131</v>
      </c>
      <c r="F281" s="246">
        <v>1</v>
      </c>
      <c r="G281" t="s">
        <v>1870</v>
      </c>
      <c r="H281" s="248" t="s">
        <v>443</v>
      </c>
      <c r="I281">
        <v>96902</v>
      </c>
      <c r="J281" t="s">
        <v>1870</v>
      </c>
      <c r="K281" t="s">
        <v>1870</v>
      </c>
      <c r="L281" t="s">
        <v>1812</v>
      </c>
      <c r="M281" t="s">
        <v>2131</v>
      </c>
      <c r="N281" t="s">
        <v>1870</v>
      </c>
      <c r="O281" s="247" t="s">
        <v>2174</v>
      </c>
      <c r="P281" s="3">
        <v>10524</v>
      </c>
      <c r="Q281" s="3">
        <v>10500</v>
      </c>
    </row>
    <row r="282" spans="1:17" x14ac:dyDescent="0.3">
      <c r="A282" s="249" t="s">
        <v>1870</v>
      </c>
      <c r="B282" s="246">
        <v>321</v>
      </c>
      <c r="C282" t="s">
        <v>1870</v>
      </c>
      <c r="D282" t="s">
        <v>1870</v>
      </c>
      <c r="E282" s="246" t="s">
        <v>48</v>
      </c>
      <c r="F282" s="246">
        <v>0</v>
      </c>
      <c r="G282" t="s">
        <v>1870</v>
      </c>
      <c r="H282" s="248" t="s">
        <v>445</v>
      </c>
      <c r="I282">
        <v>96902</v>
      </c>
      <c r="J282" t="s">
        <v>1870</v>
      </c>
      <c r="K282" t="s">
        <v>1870</v>
      </c>
      <c r="L282" s="246" t="s">
        <v>1504</v>
      </c>
      <c r="M282" t="s">
        <v>2131</v>
      </c>
      <c r="N282" t="s">
        <v>1870</v>
      </c>
      <c r="O282" s="247" t="s">
        <v>2173</v>
      </c>
      <c r="P282" s="3">
        <v>3771.1</v>
      </c>
      <c r="Q282" s="3">
        <v>3900</v>
      </c>
    </row>
    <row r="283" spans="1:17" x14ac:dyDescent="0.3">
      <c r="A283" s="249" t="s">
        <v>1870</v>
      </c>
      <c r="B283" s="246">
        <v>321</v>
      </c>
      <c r="C283" t="s">
        <v>1870</v>
      </c>
      <c r="D283" t="s">
        <v>1870</v>
      </c>
      <c r="E283" s="7" t="s">
        <v>164</v>
      </c>
      <c r="F283">
        <v>0</v>
      </c>
      <c r="G283" t="s">
        <v>1870</v>
      </c>
      <c r="H283" t="s">
        <v>447</v>
      </c>
      <c r="I283" s="7" t="s">
        <v>1489</v>
      </c>
      <c r="J283" t="s">
        <v>1870</v>
      </c>
      <c r="K283" t="s">
        <v>1870</v>
      </c>
      <c r="L283" s="7" t="s">
        <v>1489</v>
      </c>
      <c r="M283" s="7" t="s">
        <v>1489</v>
      </c>
      <c r="N283" t="s">
        <v>1870</v>
      </c>
      <c r="O283">
        <v>0</v>
      </c>
      <c r="Q283" s="3">
        <v>0</v>
      </c>
    </row>
    <row r="284" spans="1:17" x14ac:dyDescent="0.3">
      <c r="A284" s="249" t="s">
        <v>1870</v>
      </c>
      <c r="B284" s="246">
        <v>321</v>
      </c>
      <c r="C284" t="s">
        <v>1870</v>
      </c>
      <c r="D284" t="s">
        <v>1870</v>
      </c>
      <c r="E284" s="7" t="s">
        <v>96</v>
      </c>
      <c r="F284">
        <v>0</v>
      </c>
      <c r="G284" t="s">
        <v>1870</v>
      </c>
      <c r="H284" t="s">
        <v>449</v>
      </c>
      <c r="I284" t="s">
        <v>1489</v>
      </c>
      <c r="J284" t="s">
        <v>1870</v>
      </c>
      <c r="K284" t="s">
        <v>1870</v>
      </c>
      <c r="L284" t="s">
        <v>1489</v>
      </c>
      <c r="M284" t="s">
        <v>1489</v>
      </c>
      <c r="N284" t="s">
        <v>1870</v>
      </c>
      <c r="O284">
        <v>0</v>
      </c>
      <c r="Q284" s="3">
        <v>0</v>
      </c>
    </row>
    <row r="285" spans="1:17" x14ac:dyDescent="0.3">
      <c r="A285" s="249" t="s">
        <v>1870</v>
      </c>
      <c r="B285" s="246">
        <v>321</v>
      </c>
      <c r="C285" t="s">
        <v>1870</v>
      </c>
      <c r="D285" t="s">
        <v>1870</v>
      </c>
      <c r="E285" s="7" t="s">
        <v>6</v>
      </c>
      <c r="F285" s="7">
        <v>1</v>
      </c>
      <c r="G285" t="s">
        <v>1870</v>
      </c>
      <c r="H285" t="s">
        <v>451</v>
      </c>
      <c r="I285" t="s">
        <v>1489</v>
      </c>
      <c r="J285" t="s">
        <v>1870</v>
      </c>
      <c r="K285" t="s">
        <v>1870</v>
      </c>
      <c r="L285" t="s">
        <v>1489</v>
      </c>
      <c r="M285" t="s">
        <v>1489</v>
      </c>
      <c r="N285" t="s">
        <v>1870</v>
      </c>
      <c r="O285">
        <v>0</v>
      </c>
      <c r="Q285" s="3">
        <v>0</v>
      </c>
    </row>
    <row r="286" spans="1:17" x14ac:dyDescent="0.3">
      <c r="A286" s="249" t="s">
        <v>1870</v>
      </c>
      <c r="B286" s="246">
        <v>321</v>
      </c>
      <c r="C286" t="s">
        <v>1870</v>
      </c>
      <c r="D286" t="s">
        <v>1870</v>
      </c>
      <c r="E286" s="246" t="s">
        <v>326</v>
      </c>
      <c r="F286" s="7">
        <v>0</v>
      </c>
      <c r="G286" t="s">
        <v>1870</v>
      </c>
      <c r="H286" s="248" t="s">
        <v>453</v>
      </c>
      <c r="I286" s="7">
        <v>96902</v>
      </c>
      <c r="J286" t="s">
        <v>1870</v>
      </c>
      <c r="K286" t="s">
        <v>1870</v>
      </c>
      <c r="L286" s="246" t="s">
        <v>1813</v>
      </c>
      <c r="M286" s="7" t="s">
        <v>2131</v>
      </c>
      <c r="N286" t="s">
        <v>1870</v>
      </c>
      <c r="O286" s="247" t="s">
        <v>2169</v>
      </c>
      <c r="P286" s="3">
        <v>-40035</v>
      </c>
      <c r="Q286" s="3">
        <v>-41500</v>
      </c>
    </row>
    <row r="287" spans="1:17" x14ac:dyDescent="0.3">
      <c r="A287" s="249" t="s">
        <v>1870</v>
      </c>
      <c r="B287" s="246">
        <v>321</v>
      </c>
      <c r="C287" t="s">
        <v>1870</v>
      </c>
      <c r="D287" t="s">
        <v>1870</v>
      </c>
      <c r="E287" s="7" t="s">
        <v>58</v>
      </c>
      <c r="F287">
        <v>0</v>
      </c>
      <c r="G287" t="s">
        <v>1870</v>
      </c>
      <c r="H287" t="s">
        <v>455</v>
      </c>
      <c r="I287" s="7" t="s">
        <v>1489</v>
      </c>
      <c r="J287" t="s">
        <v>1870</v>
      </c>
      <c r="K287" t="s">
        <v>1870</v>
      </c>
      <c r="L287" s="7" t="s">
        <v>1489</v>
      </c>
      <c r="M287" s="7" t="s">
        <v>1489</v>
      </c>
      <c r="N287" t="s">
        <v>1870</v>
      </c>
      <c r="O287">
        <v>0</v>
      </c>
      <c r="Q287" s="3">
        <v>0</v>
      </c>
    </row>
    <row r="288" spans="1:17" x14ac:dyDescent="0.3">
      <c r="A288" s="249" t="s">
        <v>1870</v>
      </c>
      <c r="B288" s="246">
        <v>321</v>
      </c>
      <c r="C288" t="s">
        <v>1870</v>
      </c>
      <c r="D288" t="s">
        <v>1870</v>
      </c>
      <c r="E288" s="246" t="s">
        <v>61</v>
      </c>
      <c r="F288">
        <v>0</v>
      </c>
      <c r="G288" t="s">
        <v>1870</v>
      </c>
      <c r="H288" s="248" t="s">
        <v>457</v>
      </c>
      <c r="I288" s="7">
        <v>96902</v>
      </c>
      <c r="J288" t="s">
        <v>1870</v>
      </c>
      <c r="K288" t="s">
        <v>1870</v>
      </c>
      <c r="L288" s="7" t="s">
        <v>1813</v>
      </c>
      <c r="M288" s="7" t="s">
        <v>2131</v>
      </c>
      <c r="N288" t="s">
        <v>1870</v>
      </c>
      <c r="O288" s="247" t="s">
        <v>2169</v>
      </c>
      <c r="P288" s="3">
        <v>-15786</v>
      </c>
      <c r="Q288" s="3">
        <v>-16000</v>
      </c>
    </row>
    <row r="289" spans="1:18" x14ac:dyDescent="0.3">
      <c r="A289" s="249" t="s">
        <v>1870</v>
      </c>
      <c r="B289" s="246">
        <v>321</v>
      </c>
      <c r="C289" t="s">
        <v>1870</v>
      </c>
      <c r="D289" t="s">
        <v>1870</v>
      </c>
      <c r="E289" s="246" t="s">
        <v>61</v>
      </c>
      <c r="F289" s="7">
        <v>1</v>
      </c>
      <c r="G289" t="s">
        <v>1870</v>
      </c>
      <c r="H289" t="s">
        <v>459</v>
      </c>
      <c r="I289" s="7" t="s">
        <v>1489</v>
      </c>
      <c r="J289" t="s">
        <v>1870</v>
      </c>
      <c r="K289" t="s">
        <v>1870</v>
      </c>
      <c r="L289" s="7" t="s">
        <v>1489</v>
      </c>
      <c r="M289" s="7" t="s">
        <v>1489</v>
      </c>
      <c r="N289" t="s">
        <v>1870</v>
      </c>
      <c r="O289">
        <v>0</v>
      </c>
      <c r="Q289" s="3">
        <v>0</v>
      </c>
    </row>
    <row r="290" spans="1:18" x14ac:dyDescent="0.3">
      <c r="A290" s="249" t="s">
        <v>1870</v>
      </c>
      <c r="B290" s="246">
        <v>321</v>
      </c>
      <c r="C290" t="s">
        <v>1870</v>
      </c>
      <c r="D290" t="s">
        <v>1870</v>
      </c>
      <c r="E290" s="7" t="s">
        <v>175</v>
      </c>
      <c r="F290" s="7">
        <v>0</v>
      </c>
      <c r="G290" t="s">
        <v>1870</v>
      </c>
      <c r="H290" t="s">
        <v>461</v>
      </c>
      <c r="I290" t="s">
        <v>1489</v>
      </c>
      <c r="J290" t="s">
        <v>1870</v>
      </c>
      <c r="K290" t="s">
        <v>1870</v>
      </c>
      <c r="L290" t="s">
        <v>1489</v>
      </c>
      <c r="M290" t="s">
        <v>1489</v>
      </c>
      <c r="N290" t="s">
        <v>1870</v>
      </c>
      <c r="O290">
        <v>0</v>
      </c>
      <c r="Q290" s="3">
        <v>0</v>
      </c>
    </row>
    <row r="291" spans="1:18" x14ac:dyDescent="0.3">
      <c r="A291" s="249" t="s">
        <v>1870</v>
      </c>
      <c r="B291" s="246">
        <v>321</v>
      </c>
      <c r="C291" t="s">
        <v>1870</v>
      </c>
      <c r="D291" t="s">
        <v>1870</v>
      </c>
      <c r="E291" s="7" t="s">
        <v>351</v>
      </c>
      <c r="F291">
        <v>0</v>
      </c>
      <c r="G291" t="s">
        <v>1870</v>
      </c>
      <c r="H291" t="s">
        <v>463</v>
      </c>
      <c r="I291" t="s">
        <v>1489</v>
      </c>
      <c r="J291" t="s">
        <v>1870</v>
      </c>
      <c r="K291" t="s">
        <v>1870</v>
      </c>
      <c r="L291" t="s">
        <v>1489</v>
      </c>
      <c r="M291" t="s">
        <v>1489</v>
      </c>
      <c r="N291" t="s">
        <v>1870</v>
      </c>
      <c r="O291">
        <v>0</v>
      </c>
      <c r="Q291" s="3">
        <v>0</v>
      </c>
    </row>
    <row r="292" spans="1:18" x14ac:dyDescent="0.3">
      <c r="A292" s="249" t="s">
        <v>1870</v>
      </c>
      <c r="B292" s="246">
        <v>321</v>
      </c>
      <c r="C292" t="s">
        <v>1870</v>
      </c>
      <c r="D292" t="s">
        <v>1870</v>
      </c>
      <c r="E292" s="7" t="s">
        <v>64</v>
      </c>
      <c r="F292">
        <v>0</v>
      </c>
      <c r="G292" t="s">
        <v>1870</v>
      </c>
      <c r="H292" t="s">
        <v>465</v>
      </c>
      <c r="I292" t="s">
        <v>1489</v>
      </c>
      <c r="J292" t="s">
        <v>1870</v>
      </c>
      <c r="K292" t="s">
        <v>1870</v>
      </c>
      <c r="L292" t="s">
        <v>1489</v>
      </c>
      <c r="M292" t="s">
        <v>1489</v>
      </c>
      <c r="N292" t="s">
        <v>1870</v>
      </c>
      <c r="O292">
        <v>0</v>
      </c>
      <c r="Q292" s="3">
        <v>0</v>
      </c>
    </row>
    <row r="293" spans="1:18" x14ac:dyDescent="0.3">
      <c r="A293" s="249" t="s">
        <v>1870</v>
      </c>
      <c r="B293" s="246">
        <v>410</v>
      </c>
      <c r="C293" t="s">
        <v>1870</v>
      </c>
      <c r="D293" t="s">
        <v>1870</v>
      </c>
      <c r="E293" s="246" t="s">
        <v>84</v>
      </c>
      <c r="F293">
        <v>0</v>
      </c>
      <c r="G293" t="s">
        <v>1870</v>
      </c>
      <c r="H293" s="248" t="s">
        <v>916</v>
      </c>
      <c r="I293" s="246" t="s">
        <v>1581</v>
      </c>
      <c r="J293" t="s">
        <v>1870</v>
      </c>
      <c r="K293" t="s">
        <v>1870</v>
      </c>
      <c r="L293" s="246" t="s">
        <v>1398</v>
      </c>
      <c r="M293" s="7" t="s">
        <v>2131</v>
      </c>
      <c r="N293" t="s">
        <v>1870</v>
      </c>
      <c r="O293" s="247" t="s">
        <v>2035</v>
      </c>
      <c r="P293" s="3">
        <v>85.55</v>
      </c>
      <c r="Q293" s="3">
        <v>0</v>
      </c>
    </row>
    <row r="294" spans="1:18" x14ac:dyDescent="0.3">
      <c r="A294" s="249" t="s">
        <v>1870</v>
      </c>
      <c r="B294" s="246">
        <v>410</v>
      </c>
      <c r="C294" t="s">
        <v>1870</v>
      </c>
      <c r="D294" t="s">
        <v>1870</v>
      </c>
      <c r="E294" s="246" t="s">
        <v>48</v>
      </c>
      <c r="F294">
        <v>0</v>
      </c>
      <c r="G294" t="s">
        <v>1870</v>
      </c>
      <c r="H294" s="248" t="s">
        <v>918</v>
      </c>
      <c r="I294" t="s">
        <v>1581</v>
      </c>
      <c r="J294" t="s">
        <v>1870</v>
      </c>
      <c r="K294" t="s">
        <v>1870</v>
      </c>
      <c r="L294" s="246" t="s">
        <v>1397</v>
      </c>
      <c r="M294" t="s">
        <v>2131</v>
      </c>
      <c r="N294" t="s">
        <v>1870</v>
      </c>
      <c r="O294" s="247" t="s">
        <v>1582</v>
      </c>
      <c r="P294" s="3">
        <v>156099.65</v>
      </c>
      <c r="Q294" s="3">
        <v>30000</v>
      </c>
    </row>
    <row r="295" spans="1:18" x14ac:dyDescent="0.3">
      <c r="A295" s="249" t="s">
        <v>1870</v>
      </c>
      <c r="B295" s="246">
        <v>410</v>
      </c>
      <c r="C295" t="s">
        <v>1870</v>
      </c>
      <c r="D295" t="s">
        <v>1870</v>
      </c>
      <c r="E295" s="246" t="s">
        <v>108</v>
      </c>
      <c r="F295">
        <v>0</v>
      </c>
      <c r="G295" t="s">
        <v>1870</v>
      </c>
      <c r="H295" s="248" t="s">
        <v>920</v>
      </c>
      <c r="I295" t="s">
        <v>1581</v>
      </c>
      <c r="J295" t="s">
        <v>1870</v>
      </c>
      <c r="K295" t="s">
        <v>1870</v>
      </c>
      <c r="L295" s="246" t="s">
        <v>1423</v>
      </c>
      <c r="M295" t="s">
        <v>2131</v>
      </c>
      <c r="N295" t="s">
        <v>1870</v>
      </c>
      <c r="O295" s="247" t="s">
        <v>1547</v>
      </c>
      <c r="P295" s="3">
        <v>-44846.45</v>
      </c>
      <c r="Q295" s="3">
        <v>-35000</v>
      </c>
    </row>
    <row r="296" spans="1:18" x14ac:dyDescent="0.3">
      <c r="A296" s="249" t="s">
        <v>1870</v>
      </c>
      <c r="B296" s="246">
        <v>420</v>
      </c>
      <c r="C296" t="s">
        <v>1870</v>
      </c>
      <c r="D296" t="s">
        <v>1870</v>
      </c>
      <c r="E296" s="246" t="s">
        <v>48</v>
      </c>
      <c r="F296">
        <v>0</v>
      </c>
      <c r="G296" t="s">
        <v>1870</v>
      </c>
      <c r="H296" s="248" t="s">
        <v>923</v>
      </c>
      <c r="I296" s="246" t="s">
        <v>1444</v>
      </c>
      <c r="J296" t="s">
        <v>1870</v>
      </c>
      <c r="K296" t="s">
        <v>1870</v>
      </c>
      <c r="L296" s="246" t="s">
        <v>1398</v>
      </c>
      <c r="M296" t="s">
        <v>2131</v>
      </c>
      <c r="N296" t="s">
        <v>1870</v>
      </c>
      <c r="O296" s="247" t="s">
        <v>2036</v>
      </c>
      <c r="P296" s="3">
        <v>157316.25</v>
      </c>
      <c r="Q296" s="3">
        <v>132000</v>
      </c>
      <c r="R296" s="3">
        <v>80000</v>
      </c>
    </row>
    <row r="297" spans="1:18" x14ac:dyDescent="0.3">
      <c r="A297" s="249" t="s">
        <v>1870</v>
      </c>
      <c r="B297" s="246">
        <v>420</v>
      </c>
      <c r="C297" t="s">
        <v>1870</v>
      </c>
      <c r="D297" t="s">
        <v>1870</v>
      </c>
      <c r="E297" s="246" t="s">
        <v>48</v>
      </c>
      <c r="F297">
        <v>0</v>
      </c>
      <c r="G297" t="s">
        <v>1870</v>
      </c>
      <c r="H297" s="248" t="s">
        <v>923</v>
      </c>
      <c r="I297" s="246" t="s">
        <v>1444</v>
      </c>
      <c r="J297" t="s">
        <v>1870</v>
      </c>
      <c r="K297" t="s">
        <v>1870</v>
      </c>
      <c r="L297" s="246" t="s">
        <v>1398</v>
      </c>
      <c r="M297" s="246" t="s">
        <v>2132</v>
      </c>
      <c r="N297" t="s">
        <v>1870</v>
      </c>
      <c r="O297" s="247" t="s">
        <v>2062</v>
      </c>
      <c r="Q297" s="3">
        <v>0</v>
      </c>
      <c r="R297" s="3">
        <v>50000</v>
      </c>
    </row>
    <row r="298" spans="1:18" x14ac:dyDescent="0.3">
      <c r="A298" s="249" t="s">
        <v>1870</v>
      </c>
      <c r="B298" s="246">
        <v>420</v>
      </c>
      <c r="C298" t="s">
        <v>1870</v>
      </c>
      <c r="D298" t="s">
        <v>1870</v>
      </c>
      <c r="E298" s="246" t="s">
        <v>48</v>
      </c>
      <c r="F298">
        <v>0</v>
      </c>
      <c r="G298" t="s">
        <v>1870</v>
      </c>
      <c r="H298" s="248" t="s">
        <v>923</v>
      </c>
      <c r="I298" s="246" t="s">
        <v>1444</v>
      </c>
      <c r="J298" t="s">
        <v>1870</v>
      </c>
      <c r="K298" t="s">
        <v>1870</v>
      </c>
      <c r="L298" s="246" t="s">
        <v>1398</v>
      </c>
      <c r="M298" s="246" t="s">
        <v>2133</v>
      </c>
      <c r="N298" t="s">
        <v>1870</v>
      </c>
      <c r="O298" s="247" t="s">
        <v>2046</v>
      </c>
      <c r="Q298" s="3">
        <v>0</v>
      </c>
      <c r="R298" s="3">
        <v>18000</v>
      </c>
    </row>
    <row r="299" spans="1:18" x14ac:dyDescent="0.3">
      <c r="A299" s="249" t="s">
        <v>1870</v>
      </c>
      <c r="B299" s="246">
        <v>420</v>
      </c>
      <c r="C299" t="s">
        <v>1870</v>
      </c>
      <c r="D299" t="s">
        <v>1870</v>
      </c>
      <c r="E299" s="7" t="s">
        <v>164</v>
      </c>
      <c r="F299">
        <v>0</v>
      </c>
      <c r="G299" t="s">
        <v>1870</v>
      </c>
      <c r="H299" t="s">
        <v>925</v>
      </c>
      <c r="I299" s="7" t="s">
        <v>1489</v>
      </c>
      <c r="J299" t="s">
        <v>1870</v>
      </c>
      <c r="K299" t="s">
        <v>1870</v>
      </c>
      <c r="L299" s="7" t="s">
        <v>1489</v>
      </c>
      <c r="M299" s="7" t="s">
        <v>1489</v>
      </c>
      <c r="N299" t="s">
        <v>1870</v>
      </c>
      <c r="O299" t="s">
        <v>1489</v>
      </c>
      <c r="Q299" s="3">
        <v>0</v>
      </c>
    </row>
    <row r="300" spans="1:18" x14ac:dyDescent="0.3">
      <c r="A300" s="249" t="s">
        <v>1870</v>
      </c>
      <c r="B300" s="246">
        <v>420</v>
      </c>
      <c r="C300" t="s">
        <v>1870</v>
      </c>
      <c r="D300" t="s">
        <v>1870</v>
      </c>
      <c r="E300" s="246" t="s">
        <v>96</v>
      </c>
      <c r="F300">
        <v>0</v>
      </c>
      <c r="G300" t="s">
        <v>1870</v>
      </c>
      <c r="H300" s="248" t="s">
        <v>927</v>
      </c>
      <c r="I300" s="246" t="s">
        <v>1795</v>
      </c>
      <c r="J300" t="s">
        <v>1870</v>
      </c>
      <c r="K300" t="s">
        <v>1870</v>
      </c>
      <c r="L300" s="246" t="s">
        <v>1607</v>
      </c>
      <c r="M300" s="246" t="s">
        <v>2139</v>
      </c>
      <c r="N300" t="s">
        <v>1870</v>
      </c>
      <c r="O300" s="247" t="s">
        <v>1608</v>
      </c>
      <c r="P300" s="3">
        <v>170014.85</v>
      </c>
      <c r="Q300" s="3">
        <v>0</v>
      </c>
    </row>
    <row r="301" spans="1:18" x14ac:dyDescent="0.3">
      <c r="A301" s="249" t="s">
        <v>1870</v>
      </c>
      <c r="B301" s="246">
        <v>420</v>
      </c>
      <c r="C301" t="s">
        <v>1870</v>
      </c>
      <c r="D301" t="s">
        <v>1870</v>
      </c>
      <c r="E301" s="7" t="s">
        <v>6</v>
      </c>
      <c r="F301">
        <v>0</v>
      </c>
      <c r="G301" t="s">
        <v>1870</v>
      </c>
      <c r="H301" t="s">
        <v>929</v>
      </c>
      <c r="I301" t="s">
        <v>1489</v>
      </c>
      <c r="J301" t="s">
        <v>1870</v>
      </c>
      <c r="K301" t="s">
        <v>1870</v>
      </c>
      <c r="L301" t="s">
        <v>1489</v>
      </c>
      <c r="M301" t="s">
        <v>1489</v>
      </c>
      <c r="N301" t="s">
        <v>1870</v>
      </c>
      <c r="O301" t="s">
        <v>1489</v>
      </c>
      <c r="Q301" s="3">
        <v>0</v>
      </c>
    </row>
    <row r="302" spans="1:18" x14ac:dyDescent="0.3">
      <c r="A302" s="249" t="s">
        <v>1870</v>
      </c>
      <c r="B302" s="246">
        <v>420</v>
      </c>
      <c r="C302" t="s">
        <v>1870</v>
      </c>
      <c r="D302" t="s">
        <v>1870</v>
      </c>
      <c r="E302" s="246" t="s">
        <v>61</v>
      </c>
      <c r="F302">
        <v>0</v>
      </c>
      <c r="G302" t="s">
        <v>1870</v>
      </c>
      <c r="H302" s="248" t="s">
        <v>931</v>
      </c>
      <c r="I302" s="246" t="s">
        <v>1444</v>
      </c>
      <c r="J302" t="s">
        <v>1870</v>
      </c>
      <c r="K302" t="s">
        <v>1870</v>
      </c>
      <c r="L302" s="246" t="s">
        <v>1443</v>
      </c>
      <c r="M302" s="246" t="s">
        <v>2131</v>
      </c>
      <c r="N302" t="s">
        <v>1870</v>
      </c>
      <c r="O302" s="247" t="s">
        <v>2033</v>
      </c>
      <c r="P302" s="3">
        <v>-66120.25</v>
      </c>
      <c r="Q302" s="3">
        <v>0</v>
      </c>
      <c r="R302" s="3">
        <v>0</v>
      </c>
    </row>
    <row r="303" spans="1:18" x14ac:dyDescent="0.3">
      <c r="A303" s="249" t="s">
        <v>1870</v>
      </c>
      <c r="B303" s="246">
        <v>420</v>
      </c>
      <c r="C303" t="s">
        <v>1870</v>
      </c>
      <c r="D303" t="s">
        <v>1870</v>
      </c>
      <c r="E303" s="246" t="s">
        <v>64</v>
      </c>
      <c r="F303">
        <v>0</v>
      </c>
      <c r="G303" t="s">
        <v>1870</v>
      </c>
      <c r="H303" s="248" t="s">
        <v>933</v>
      </c>
      <c r="I303" s="246" t="s">
        <v>1710</v>
      </c>
      <c r="J303" t="s">
        <v>1870</v>
      </c>
      <c r="K303" t="s">
        <v>1870</v>
      </c>
      <c r="L303" s="246" t="s">
        <v>1711</v>
      </c>
      <c r="M303" t="s">
        <v>2131</v>
      </c>
      <c r="N303" t="s">
        <v>1870</v>
      </c>
      <c r="O303" s="247" t="s">
        <v>1712</v>
      </c>
      <c r="P303" s="3">
        <v>-170014.85</v>
      </c>
      <c r="Q303" s="3">
        <v>0</v>
      </c>
    </row>
    <row r="304" spans="1:18" x14ac:dyDescent="0.3">
      <c r="A304" s="249" t="s">
        <v>1870</v>
      </c>
      <c r="B304" s="246">
        <v>430</v>
      </c>
      <c r="C304" t="s">
        <v>1870</v>
      </c>
      <c r="D304" t="s">
        <v>1870</v>
      </c>
      <c r="E304" s="246" t="s">
        <v>3</v>
      </c>
      <c r="F304">
        <v>0</v>
      </c>
      <c r="G304" t="s">
        <v>1870</v>
      </c>
      <c r="H304" s="248" t="s">
        <v>936</v>
      </c>
      <c r="I304" s="246" t="s">
        <v>1587</v>
      </c>
      <c r="J304" t="s">
        <v>1870</v>
      </c>
      <c r="K304" t="s">
        <v>1870</v>
      </c>
      <c r="L304" s="246" t="s">
        <v>1410</v>
      </c>
      <c r="M304" t="s">
        <v>2131</v>
      </c>
      <c r="N304" t="s">
        <v>1870</v>
      </c>
      <c r="O304" s="247" t="s">
        <v>1411</v>
      </c>
      <c r="P304" s="3">
        <v>225166.25</v>
      </c>
      <c r="Q304" s="3">
        <v>206000</v>
      </c>
    </row>
    <row r="305" spans="1:17" x14ac:dyDescent="0.3">
      <c r="A305" s="249" t="s">
        <v>1870</v>
      </c>
      <c r="B305" s="246">
        <v>430</v>
      </c>
      <c r="C305" t="s">
        <v>1870</v>
      </c>
      <c r="D305" t="s">
        <v>1870</v>
      </c>
      <c r="E305" s="246" t="s">
        <v>3</v>
      </c>
      <c r="F305">
        <v>0</v>
      </c>
      <c r="G305" t="s">
        <v>1870</v>
      </c>
      <c r="H305" s="248" t="s">
        <v>936</v>
      </c>
      <c r="I305" s="246" t="s">
        <v>1587</v>
      </c>
      <c r="J305" t="s">
        <v>1870</v>
      </c>
      <c r="K305" t="s">
        <v>1870</v>
      </c>
      <c r="L305" s="246" t="s">
        <v>1410</v>
      </c>
      <c r="M305" s="246" t="s">
        <v>2138</v>
      </c>
      <c r="N305" t="s">
        <v>1870</v>
      </c>
      <c r="O305" s="247" t="s">
        <v>1424</v>
      </c>
      <c r="Q305" s="3">
        <v>0</v>
      </c>
    </row>
    <row r="306" spans="1:17" x14ac:dyDescent="0.3">
      <c r="A306" s="249" t="s">
        <v>1870</v>
      </c>
      <c r="B306" s="246">
        <v>430</v>
      </c>
      <c r="C306" t="s">
        <v>1870</v>
      </c>
      <c r="D306" t="s">
        <v>1870</v>
      </c>
      <c r="E306" s="246" t="s">
        <v>16</v>
      </c>
      <c r="F306">
        <v>0</v>
      </c>
      <c r="G306" t="s">
        <v>1870</v>
      </c>
      <c r="H306" s="248" t="s">
        <v>938</v>
      </c>
      <c r="I306" t="s">
        <v>1587</v>
      </c>
      <c r="J306" t="s">
        <v>1870</v>
      </c>
      <c r="K306" t="s">
        <v>1870</v>
      </c>
      <c r="L306" s="246" t="s">
        <v>1367</v>
      </c>
      <c r="M306" s="246" t="s">
        <v>2131</v>
      </c>
      <c r="N306" t="s">
        <v>1870</v>
      </c>
      <c r="O306" s="247" t="s">
        <v>1378</v>
      </c>
      <c r="P306" s="3">
        <v>20885.2</v>
      </c>
      <c r="Q306" s="3">
        <v>19500</v>
      </c>
    </row>
    <row r="307" spans="1:17" x14ac:dyDescent="0.3">
      <c r="A307" s="249" t="s">
        <v>1870</v>
      </c>
      <c r="B307" s="246">
        <v>430</v>
      </c>
      <c r="C307" t="s">
        <v>1870</v>
      </c>
      <c r="D307" t="s">
        <v>1870</v>
      </c>
      <c r="E307" s="246" t="s">
        <v>16</v>
      </c>
      <c r="F307">
        <v>0</v>
      </c>
      <c r="G307" t="s">
        <v>1870</v>
      </c>
      <c r="H307" s="248" t="s">
        <v>938</v>
      </c>
      <c r="I307" t="s">
        <v>1587</v>
      </c>
      <c r="J307" t="s">
        <v>1870</v>
      </c>
      <c r="K307" t="s">
        <v>1870</v>
      </c>
      <c r="L307" s="246" t="s">
        <v>1413</v>
      </c>
      <c r="M307" t="s">
        <v>2131</v>
      </c>
      <c r="N307" t="s">
        <v>1870</v>
      </c>
      <c r="O307" s="247" t="s">
        <v>1414</v>
      </c>
      <c r="P307" s="3">
        <v>0</v>
      </c>
      <c r="Q307" s="3">
        <v>0</v>
      </c>
    </row>
    <row r="308" spans="1:17" x14ac:dyDescent="0.3">
      <c r="A308" s="249" t="s">
        <v>1870</v>
      </c>
      <c r="B308" s="246">
        <v>430</v>
      </c>
      <c r="C308" t="s">
        <v>1870</v>
      </c>
      <c r="D308" t="s">
        <v>1870</v>
      </c>
      <c r="E308" s="246" t="s">
        <v>38</v>
      </c>
      <c r="F308">
        <v>0</v>
      </c>
      <c r="G308" t="s">
        <v>1870</v>
      </c>
      <c r="H308" s="248" t="s">
        <v>940</v>
      </c>
      <c r="I308" t="s">
        <v>1587</v>
      </c>
      <c r="J308" t="s">
        <v>1870</v>
      </c>
      <c r="K308" t="s">
        <v>1870</v>
      </c>
      <c r="L308" s="246" t="s">
        <v>1386</v>
      </c>
      <c r="M308" t="s">
        <v>2131</v>
      </c>
      <c r="N308" t="s">
        <v>1870</v>
      </c>
      <c r="O308" s="247" t="s">
        <v>1387</v>
      </c>
      <c r="P308" s="3">
        <v>9956.9500000000007</v>
      </c>
      <c r="Q308" s="3">
        <v>11500</v>
      </c>
    </row>
    <row r="309" spans="1:17" x14ac:dyDescent="0.3">
      <c r="A309" s="249" t="s">
        <v>1870</v>
      </c>
      <c r="B309" s="246">
        <v>430</v>
      </c>
      <c r="C309" t="s">
        <v>1870</v>
      </c>
      <c r="D309" t="s">
        <v>1870</v>
      </c>
      <c r="E309" s="246" t="s">
        <v>19</v>
      </c>
      <c r="F309">
        <v>0</v>
      </c>
      <c r="G309" t="s">
        <v>1870</v>
      </c>
      <c r="H309" s="248" t="s">
        <v>942</v>
      </c>
      <c r="I309" t="s">
        <v>1587</v>
      </c>
      <c r="J309" t="s">
        <v>1870</v>
      </c>
      <c r="K309" t="s">
        <v>1870</v>
      </c>
      <c r="L309" s="246" t="s">
        <v>1375</v>
      </c>
      <c r="M309" t="s">
        <v>2131</v>
      </c>
      <c r="N309" t="s">
        <v>1870</v>
      </c>
      <c r="O309" s="247" t="s">
        <v>1379</v>
      </c>
      <c r="P309" s="3">
        <v>7150.8</v>
      </c>
      <c r="Q309" s="3">
        <v>6600</v>
      </c>
    </row>
    <row r="310" spans="1:17" x14ac:dyDescent="0.3">
      <c r="A310" s="249" t="s">
        <v>1870</v>
      </c>
      <c r="B310" s="246">
        <v>430</v>
      </c>
      <c r="C310" t="s">
        <v>1870</v>
      </c>
      <c r="D310" t="s">
        <v>1870</v>
      </c>
      <c r="E310" s="246" t="s">
        <v>22</v>
      </c>
      <c r="F310">
        <v>0</v>
      </c>
      <c r="G310" t="s">
        <v>1870</v>
      </c>
      <c r="H310" s="248" t="s">
        <v>944</v>
      </c>
      <c r="I310" t="s">
        <v>1587</v>
      </c>
      <c r="J310" t="s">
        <v>1870</v>
      </c>
      <c r="K310" t="s">
        <v>1870</v>
      </c>
      <c r="L310" s="246" t="s">
        <v>1380</v>
      </c>
      <c r="M310" t="s">
        <v>2131</v>
      </c>
      <c r="N310" t="s">
        <v>1870</v>
      </c>
      <c r="O310" s="247" t="s">
        <v>1381</v>
      </c>
      <c r="Q310" s="3">
        <v>0</v>
      </c>
    </row>
    <row r="311" spans="1:17" x14ac:dyDescent="0.3">
      <c r="A311" s="249" t="s">
        <v>1870</v>
      </c>
      <c r="B311" s="246">
        <v>430</v>
      </c>
      <c r="C311" t="s">
        <v>1870</v>
      </c>
      <c r="D311" t="s">
        <v>1870</v>
      </c>
      <c r="E311" s="246" t="s">
        <v>22</v>
      </c>
      <c r="F311">
        <v>0</v>
      </c>
      <c r="G311" t="s">
        <v>1870</v>
      </c>
      <c r="H311" s="248" t="s">
        <v>944</v>
      </c>
      <c r="I311" t="s">
        <v>1587</v>
      </c>
      <c r="J311" t="s">
        <v>1870</v>
      </c>
      <c r="K311" t="s">
        <v>1870</v>
      </c>
      <c r="L311" s="246" t="s">
        <v>1393</v>
      </c>
      <c r="M311" t="s">
        <v>2131</v>
      </c>
      <c r="N311" t="s">
        <v>1870</v>
      </c>
      <c r="O311" s="247" t="s">
        <v>2073</v>
      </c>
      <c r="P311" s="3">
        <v>997.9</v>
      </c>
      <c r="Q311" s="3">
        <v>2500</v>
      </c>
    </row>
    <row r="312" spans="1:17" x14ac:dyDescent="0.3">
      <c r="A312" s="249" t="s">
        <v>1870</v>
      </c>
      <c r="B312" s="246">
        <v>430</v>
      </c>
      <c r="C312" t="s">
        <v>1870</v>
      </c>
      <c r="D312" t="s">
        <v>1870</v>
      </c>
      <c r="E312" s="246" t="s">
        <v>81</v>
      </c>
      <c r="F312">
        <v>0</v>
      </c>
      <c r="G312" t="s">
        <v>1870</v>
      </c>
      <c r="H312" s="248" t="s">
        <v>946</v>
      </c>
      <c r="I312" t="s">
        <v>1587</v>
      </c>
      <c r="J312" t="s">
        <v>1870</v>
      </c>
      <c r="K312" t="s">
        <v>1870</v>
      </c>
      <c r="L312" s="246" t="s">
        <v>1368</v>
      </c>
      <c r="M312" t="s">
        <v>2131</v>
      </c>
      <c r="N312" t="s">
        <v>1870</v>
      </c>
      <c r="O312" s="247" t="s">
        <v>1392</v>
      </c>
      <c r="P312" s="3">
        <v>1215</v>
      </c>
      <c r="Q312" s="3">
        <v>1500</v>
      </c>
    </row>
    <row r="313" spans="1:17" x14ac:dyDescent="0.3">
      <c r="A313" s="249" t="s">
        <v>1870</v>
      </c>
      <c r="B313" s="246">
        <v>430</v>
      </c>
      <c r="C313" t="s">
        <v>1870</v>
      </c>
      <c r="D313" t="s">
        <v>1870</v>
      </c>
      <c r="E313" s="246" t="s">
        <v>81</v>
      </c>
      <c r="F313">
        <v>0</v>
      </c>
      <c r="G313" t="s">
        <v>1870</v>
      </c>
      <c r="H313" s="248" t="s">
        <v>946</v>
      </c>
      <c r="I313" t="s">
        <v>1587</v>
      </c>
      <c r="J313" t="s">
        <v>1870</v>
      </c>
      <c r="K313" t="s">
        <v>1870</v>
      </c>
      <c r="L313" s="246" t="s">
        <v>1540</v>
      </c>
      <c r="M313" t="s">
        <v>2131</v>
      </c>
      <c r="N313" t="s">
        <v>1870</v>
      </c>
      <c r="O313" s="247" t="s">
        <v>1543</v>
      </c>
      <c r="Q313" s="3">
        <v>0</v>
      </c>
    </row>
    <row r="314" spans="1:17" x14ac:dyDescent="0.3">
      <c r="A314" s="249" t="s">
        <v>1870</v>
      </c>
      <c r="B314" s="246">
        <v>430</v>
      </c>
      <c r="C314" t="s">
        <v>1870</v>
      </c>
      <c r="D314" t="s">
        <v>1870</v>
      </c>
      <c r="E314" s="246" t="s">
        <v>25</v>
      </c>
      <c r="F314">
        <v>0</v>
      </c>
      <c r="G314" t="s">
        <v>1870</v>
      </c>
      <c r="H314" s="248" t="s">
        <v>948</v>
      </c>
      <c r="I314" t="s">
        <v>1587</v>
      </c>
      <c r="J314" t="s">
        <v>1870</v>
      </c>
      <c r="K314" t="s">
        <v>1870</v>
      </c>
      <c r="L314" s="246" t="s">
        <v>1426</v>
      </c>
      <c r="M314" t="s">
        <v>2131</v>
      </c>
      <c r="N314" t="s">
        <v>1870</v>
      </c>
      <c r="O314" s="247" t="s">
        <v>1830</v>
      </c>
      <c r="P314" s="3">
        <v>47309.65</v>
      </c>
      <c r="Q314" s="3">
        <v>45000</v>
      </c>
    </row>
    <row r="315" spans="1:17" x14ac:dyDescent="0.3">
      <c r="A315" s="249" t="s">
        <v>1870</v>
      </c>
      <c r="B315" s="246">
        <v>430</v>
      </c>
      <c r="C315" t="s">
        <v>1870</v>
      </c>
      <c r="D315" t="s">
        <v>1870</v>
      </c>
      <c r="E315" s="246" t="s">
        <v>25</v>
      </c>
      <c r="F315" s="246">
        <v>1</v>
      </c>
      <c r="G315" t="s">
        <v>1870</v>
      </c>
      <c r="H315" s="248" t="s">
        <v>950</v>
      </c>
      <c r="I315" t="s">
        <v>1587</v>
      </c>
      <c r="J315" t="s">
        <v>1870</v>
      </c>
      <c r="K315" t="s">
        <v>1870</v>
      </c>
      <c r="L315" s="246" t="s">
        <v>1590</v>
      </c>
      <c r="M315" s="246" t="s">
        <v>2133</v>
      </c>
      <c r="N315" t="s">
        <v>1870</v>
      </c>
      <c r="O315" s="247" t="s">
        <v>2068</v>
      </c>
      <c r="P315" s="3">
        <v>7239.15</v>
      </c>
      <c r="Q315" s="3">
        <v>15000</v>
      </c>
    </row>
    <row r="316" spans="1:17" x14ac:dyDescent="0.3">
      <c r="A316" s="249" t="s">
        <v>1870</v>
      </c>
      <c r="B316" s="246">
        <v>430</v>
      </c>
      <c r="C316" t="s">
        <v>1870</v>
      </c>
      <c r="D316" t="s">
        <v>1870</v>
      </c>
      <c r="E316" s="246" t="s">
        <v>25</v>
      </c>
      <c r="F316" s="246">
        <v>1</v>
      </c>
      <c r="G316" t="s">
        <v>1870</v>
      </c>
      <c r="H316" s="248" t="s">
        <v>950</v>
      </c>
      <c r="I316" t="s">
        <v>1587</v>
      </c>
      <c r="J316" t="s">
        <v>1870</v>
      </c>
      <c r="K316" t="s">
        <v>1870</v>
      </c>
      <c r="L316" s="246" t="s">
        <v>1590</v>
      </c>
      <c r="M316" s="246" t="s">
        <v>2134</v>
      </c>
      <c r="N316" t="s">
        <v>1870</v>
      </c>
      <c r="O316" s="247" t="s">
        <v>1591</v>
      </c>
      <c r="Q316" s="3">
        <v>0</v>
      </c>
    </row>
    <row r="317" spans="1:17" x14ac:dyDescent="0.3">
      <c r="A317" s="249" t="s">
        <v>1870</v>
      </c>
      <c r="B317" s="246">
        <v>430</v>
      </c>
      <c r="C317" t="s">
        <v>1870</v>
      </c>
      <c r="D317" t="s">
        <v>1870</v>
      </c>
      <c r="E317" s="246" t="s">
        <v>159</v>
      </c>
      <c r="F317" s="246">
        <v>0</v>
      </c>
      <c r="G317" t="s">
        <v>1870</v>
      </c>
      <c r="H317" s="248" t="s">
        <v>952</v>
      </c>
      <c r="I317" t="s">
        <v>1587</v>
      </c>
      <c r="J317" t="s">
        <v>1870</v>
      </c>
      <c r="K317" t="s">
        <v>1870</v>
      </c>
      <c r="L317" s="246" t="s">
        <v>1500</v>
      </c>
      <c r="M317" s="246" t="s">
        <v>2132</v>
      </c>
      <c r="N317" t="s">
        <v>1870</v>
      </c>
      <c r="O317" s="247" t="s">
        <v>1593</v>
      </c>
      <c r="P317" s="3">
        <v>10146.200000000001</v>
      </c>
      <c r="Q317" s="3">
        <v>19000</v>
      </c>
    </row>
    <row r="318" spans="1:17" x14ac:dyDescent="0.3">
      <c r="A318" s="249" t="s">
        <v>1870</v>
      </c>
      <c r="B318" s="246">
        <v>430</v>
      </c>
      <c r="C318" t="s">
        <v>1870</v>
      </c>
      <c r="D318" t="s">
        <v>1870</v>
      </c>
      <c r="E318" s="246" t="s">
        <v>439</v>
      </c>
      <c r="F318">
        <v>0</v>
      </c>
      <c r="G318" t="s">
        <v>1870</v>
      </c>
      <c r="H318" s="248" t="s">
        <v>954</v>
      </c>
      <c r="I318" t="s">
        <v>1587</v>
      </c>
      <c r="J318" t="s">
        <v>1870</v>
      </c>
      <c r="K318" t="s">
        <v>1870</v>
      </c>
      <c r="L318" s="246" t="s">
        <v>1426</v>
      </c>
      <c r="M318" s="246" t="s">
        <v>2131</v>
      </c>
      <c r="N318" t="s">
        <v>1870</v>
      </c>
      <c r="O318" s="247" t="s">
        <v>1830</v>
      </c>
      <c r="P318" s="3">
        <v>31146.35</v>
      </c>
      <c r="Q318" s="3">
        <v>17500</v>
      </c>
    </row>
    <row r="319" spans="1:17" x14ac:dyDescent="0.3">
      <c r="A319" s="249" t="s">
        <v>1870</v>
      </c>
      <c r="B319" s="246">
        <v>430</v>
      </c>
      <c r="C319" t="s">
        <v>1870</v>
      </c>
      <c r="D319" t="s">
        <v>1870</v>
      </c>
      <c r="E319" s="246" t="s">
        <v>439</v>
      </c>
      <c r="F319">
        <v>0</v>
      </c>
      <c r="G319" t="s">
        <v>1870</v>
      </c>
      <c r="H319" s="248" t="s">
        <v>954</v>
      </c>
      <c r="I319" t="s">
        <v>1587</v>
      </c>
      <c r="J319" t="s">
        <v>1870</v>
      </c>
      <c r="K319" t="s">
        <v>1870</v>
      </c>
      <c r="L319" s="246" t="s">
        <v>1493</v>
      </c>
      <c r="M319" t="s">
        <v>2131</v>
      </c>
      <c r="N319" t="s">
        <v>1870</v>
      </c>
      <c r="O319" s="247" t="s">
        <v>1494</v>
      </c>
      <c r="Q319" s="3">
        <v>0</v>
      </c>
    </row>
    <row r="320" spans="1:17" x14ac:dyDescent="0.3">
      <c r="A320" s="249" t="s">
        <v>1870</v>
      </c>
      <c r="B320" s="246">
        <v>430</v>
      </c>
      <c r="C320" t="s">
        <v>1870</v>
      </c>
      <c r="D320" t="s">
        <v>1870</v>
      </c>
      <c r="E320" s="246" t="s">
        <v>131</v>
      </c>
      <c r="F320">
        <v>0</v>
      </c>
      <c r="G320" t="s">
        <v>1870</v>
      </c>
      <c r="H320" s="248" t="s">
        <v>956</v>
      </c>
      <c r="I320" t="s">
        <v>1587</v>
      </c>
      <c r="J320" t="s">
        <v>1870</v>
      </c>
      <c r="K320" t="s">
        <v>1870</v>
      </c>
      <c r="L320" s="246" t="s">
        <v>1590</v>
      </c>
      <c r="M320" t="s">
        <v>2131</v>
      </c>
      <c r="N320" t="s">
        <v>1870</v>
      </c>
      <c r="O320" s="247" t="s">
        <v>1604</v>
      </c>
      <c r="P320" s="3">
        <v>69279.03</v>
      </c>
      <c r="Q320" s="3">
        <v>50000</v>
      </c>
    </row>
    <row r="321" spans="1:17" x14ac:dyDescent="0.3">
      <c r="A321" s="249" t="s">
        <v>1870</v>
      </c>
      <c r="B321" s="246">
        <v>430</v>
      </c>
      <c r="C321" t="s">
        <v>1870</v>
      </c>
      <c r="D321" t="s">
        <v>1870</v>
      </c>
      <c r="E321" s="246" t="s">
        <v>131</v>
      </c>
      <c r="F321">
        <v>0</v>
      </c>
      <c r="G321" t="s">
        <v>1870</v>
      </c>
      <c r="H321" s="248" t="s">
        <v>958</v>
      </c>
      <c r="I321" s="246" t="s">
        <v>1595</v>
      </c>
      <c r="J321" t="s">
        <v>1870</v>
      </c>
      <c r="K321" t="s">
        <v>1870</v>
      </c>
      <c r="L321" s="246" t="s">
        <v>1426</v>
      </c>
      <c r="M321" t="s">
        <v>2131</v>
      </c>
      <c r="N321" t="s">
        <v>1870</v>
      </c>
      <c r="O321" s="247" t="s">
        <v>2087</v>
      </c>
      <c r="P321" s="3">
        <v>7350.3</v>
      </c>
      <c r="Q321" s="3">
        <v>8000</v>
      </c>
    </row>
    <row r="322" spans="1:17" x14ac:dyDescent="0.3">
      <c r="A322" s="249" t="s">
        <v>1870</v>
      </c>
      <c r="B322" s="246">
        <v>430</v>
      </c>
      <c r="C322" t="s">
        <v>1870</v>
      </c>
      <c r="D322" t="s">
        <v>1870</v>
      </c>
      <c r="E322" s="246" t="s">
        <v>131</v>
      </c>
      <c r="F322">
        <v>0</v>
      </c>
      <c r="G322" t="s">
        <v>1870</v>
      </c>
      <c r="H322" s="248" t="s">
        <v>958</v>
      </c>
      <c r="I322" s="246" t="s">
        <v>1595</v>
      </c>
      <c r="J322" t="s">
        <v>1870</v>
      </c>
      <c r="K322" t="s">
        <v>1870</v>
      </c>
      <c r="L322" s="246" t="s">
        <v>1570</v>
      </c>
      <c r="M322" t="s">
        <v>2131</v>
      </c>
      <c r="N322" t="s">
        <v>1870</v>
      </c>
      <c r="O322" s="247" t="s">
        <v>1571</v>
      </c>
      <c r="Q322" s="3">
        <v>0</v>
      </c>
    </row>
    <row r="323" spans="1:17" x14ac:dyDescent="0.3">
      <c r="A323" s="249" t="s">
        <v>1870</v>
      </c>
      <c r="B323" s="246">
        <v>430</v>
      </c>
      <c r="C323" t="s">
        <v>1870</v>
      </c>
      <c r="D323" t="s">
        <v>1870</v>
      </c>
      <c r="E323" s="246" t="s">
        <v>131</v>
      </c>
      <c r="F323" s="246">
        <v>1</v>
      </c>
      <c r="G323" t="s">
        <v>1870</v>
      </c>
      <c r="H323" s="248" t="s">
        <v>960</v>
      </c>
      <c r="I323" s="246" t="s">
        <v>1598</v>
      </c>
      <c r="J323" t="s">
        <v>1870</v>
      </c>
      <c r="K323" t="s">
        <v>1870</v>
      </c>
      <c r="L323" s="246" t="s">
        <v>1590</v>
      </c>
      <c r="M323" s="246" t="s">
        <v>2135</v>
      </c>
      <c r="N323" t="s">
        <v>1870</v>
      </c>
      <c r="O323" s="247" t="s">
        <v>2013</v>
      </c>
      <c r="P323" s="3">
        <v>4577.3</v>
      </c>
      <c r="Q323" s="3">
        <v>4000</v>
      </c>
    </row>
    <row r="324" spans="1:17" x14ac:dyDescent="0.3">
      <c r="A324" s="249" t="s">
        <v>1870</v>
      </c>
      <c r="B324" s="246">
        <v>430</v>
      </c>
      <c r="C324" t="s">
        <v>1870</v>
      </c>
      <c r="D324" t="s">
        <v>1870</v>
      </c>
      <c r="E324" s="246" t="s">
        <v>131</v>
      </c>
      <c r="F324" s="246">
        <v>2</v>
      </c>
      <c r="G324" t="s">
        <v>1870</v>
      </c>
      <c r="H324" s="248" t="s">
        <v>962</v>
      </c>
      <c r="I324" s="246" t="s">
        <v>1587</v>
      </c>
      <c r="J324" t="s">
        <v>1870</v>
      </c>
      <c r="K324" t="s">
        <v>1870</v>
      </c>
      <c r="L324" t="s">
        <v>1590</v>
      </c>
      <c r="M324" s="246" t="s">
        <v>2132</v>
      </c>
      <c r="N324" t="s">
        <v>1870</v>
      </c>
      <c r="O324" s="247" t="s">
        <v>2014</v>
      </c>
      <c r="P324" s="3">
        <v>4006.21</v>
      </c>
      <c r="Q324" s="3">
        <v>20000</v>
      </c>
    </row>
    <row r="325" spans="1:17" x14ac:dyDescent="0.3">
      <c r="A325" s="249" t="s">
        <v>1870</v>
      </c>
      <c r="B325" s="246">
        <v>430</v>
      </c>
      <c r="C325" t="s">
        <v>1870</v>
      </c>
      <c r="D325" t="s">
        <v>1870</v>
      </c>
      <c r="E325" s="246" t="s">
        <v>123</v>
      </c>
      <c r="F325" s="246">
        <v>0</v>
      </c>
      <c r="G325" t="s">
        <v>1870</v>
      </c>
      <c r="H325" s="248" t="s">
        <v>964</v>
      </c>
      <c r="I325" t="s">
        <v>1587</v>
      </c>
      <c r="J325" t="s">
        <v>1870</v>
      </c>
      <c r="K325" t="s">
        <v>1870</v>
      </c>
      <c r="L325" s="246" t="s">
        <v>1426</v>
      </c>
      <c r="M325" t="s">
        <v>2132</v>
      </c>
      <c r="N325" t="s">
        <v>1870</v>
      </c>
      <c r="O325" s="247" t="s">
        <v>2042</v>
      </c>
      <c r="P325" s="3">
        <v>47774.45</v>
      </c>
      <c r="Q325" s="3">
        <v>32500</v>
      </c>
    </row>
    <row r="326" spans="1:17" x14ac:dyDescent="0.3">
      <c r="A326" s="249" t="s">
        <v>1870</v>
      </c>
      <c r="B326" s="246">
        <v>430</v>
      </c>
      <c r="C326" t="s">
        <v>1870</v>
      </c>
      <c r="D326" t="s">
        <v>1870</v>
      </c>
      <c r="E326" s="246" t="s">
        <v>123</v>
      </c>
      <c r="F326" s="246">
        <v>0</v>
      </c>
      <c r="G326" t="s">
        <v>1870</v>
      </c>
      <c r="H326" s="248" t="s">
        <v>964</v>
      </c>
      <c r="I326" t="s">
        <v>1587</v>
      </c>
      <c r="J326" t="s">
        <v>1870</v>
      </c>
      <c r="K326" t="s">
        <v>1870</v>
      </c>
      <c r="L326" s="246" t="s">
        <v>1601</v>
      </c>
      <c r="M326" s="246" t="s">
        <v>2131</v>
      </c>
      <c r="N326" t="s">
        <v>1870</v>
      </c>
      <c r="O326" s="247" t="s">
        <v>1602</v>
      </c>
      <c r="Q326" s="3">
        <v>0</v>
      </c>
    </row>
    <row r="327" spans="1:17" x14ac:dyDescent="0.3">
      <c r="A327" s="249" t="s">
        <v>1870</v>
      </c>
      <c r="B327" s="246">
        <v>430</v>
      </c>
      <c r="C327" t="s">
        <v>1870</v>
      </c>
      <c r="D327" t="s">
        <v>1870</v>
      </c>
      <c r="E327" s="246" t="s">
        <v>123</v>
      </c>
      <c r="F327" s="246">
        <v>0</v>
      </c>
      <c r="G327" t="s">
        <v>1870</v>
      </c>
      <c r="H327" s="248" t="s">
        <v>964</v>
      </c>
      <c r="I327" t="s">
        <v>1587</v>
      </c>
      <c r="J327" t="s">
        <v>1870</v>
      </c>
      <c r="K327" t="s">
        <v>1870</v>
      </c>
      <c r="L327" s="246" t="s">
        <v>1601</v>
      </c>
      <c r="M327" s="246" t="s">
        <v>2132</v>
      </c>
      <c r="N327" t="s">
        <v>1870</v>
      </c>
      <c r="O327" s="247" t="s">
        <v>1603</v>
      </c>
      <c r="Q327" s="3">
        <v>0</v>
      </c>
    </row>
    <row r="328" spans="1:17" x14ac:dyDescent="0.3">
      <c r="A328" s="249" t="s">
        <v>1870</v>
      </c>
      <c r="B328" s="246">
        <v>430</v>
      </c>
      <c r="C328" t="s">
        <v>1870</v>
      </c>
      <c r="D328" t="s">
        <v>1870</v>
      </c>
      <c r="E328" s="246" t="s">
        <v>48</v>
      </c>
      <c r="F328">
        <v>0</v>
      </c>
      <c r="G328" t="s">
        <v>1870</v>
      </c>
      <c r="H328" s="248" t="s">
        <v>966</v>
      </c>
      <c r="I328" t="s">
        <v>1587</v>
      </c>
      <c r="J328" t="s">
        <v>1870</v>
      </c>
      <c r="K328" t="s">
        <v>1870</v>
      </c>
      <c r="L328" s="246" t="s">
        <v>1418</v>
      </c>
      <c r="M328" s="246" t="s">
        <v>2131</v>
      </c>
      <c r="N328" t="s">
        <v>1870</v>
      </c>
      <c r="O328" s="247" t="s">
        <v>2091</v>
      </c>
      <c r="P328" s="3">
        <v>9771.2000000000007</v>
      </c>
      <c r="Q328" s="3">
        <v>9500</v>
      </c>
    </row>
    <row r="329" spans="1:17" x14ac:dyDescent="0.3">
      <c r="A329" s="249" t="s">
        <v>1870</v>
      </c>
      <c r="B329" s="246">
        <v>430</v>
      </c>
      <c r="C329" t="s">
        <v>1870</v>
      </c>
      <c r="D329" t="s">
        <v>1870</v>
      </c>
      <c r="E329" s="246" t="s">
        <v>48</v>
      </c>
      <c r="F329">
        <v>0</v>
      </c>
      <c r="G329" t="s">
        <v>1870</v>
      </c>
      <c r="H329" s="248" t="s">
        <v>966</v>
      </c>
      <c r="I329" t="s">
        <v>1587</v>
      </c>
      <c r="J329" t="s">
        <v>1870</v>
      </c>
      <c r="K329" t="s">
        <v>1870</v>
      </c>
      <c r="L329" s="246" t="s">
        <v>1535</v>
      </c>
      <c r="M329" t="s">
        <v>2131</v>
      </c>
      <c r="N329" t="s">
        <v>1870</v>
      </c>
      <c r="O329" s="247" t="s">
        <v>1606</v>
      </c>
      <c r="Q329" s="3">
        <v>0</v>
      </c>
    </row>
    <row r="330" spans="1:17" x14ac:dyDescent="0.3">
      <c r="A330" s="249" t="s">
        <v>1870</v>
      </c>
      <c r="B330" s="246">
        <v>430</v>
      </c>
      <c r="C330" t="s">
        <v>1870</v>
      </c>
      <c r="D330" t="s">
        <v>1870</v>
      </c>
      <c r="E330" s="246" t="s">
        <v>164</v>
      </c>
      <c r="F330">
        <v>0</v>
      </c>
      <c r="G330" t="s">
        <v>1870</v>
      </c>
      <c r="H330" s="248" t="s">
        <v>970</v>
      </c>
      <c r="I330" t="s">
        <v>1587</v>
      </c>
      <c r="J330" t="s">
        <v>1870</v>
      </c>
      <c r="K330" t="s">
        <v>1870</v>
      </c>
      <c r="L330" s="246" t="s">
        <v>1508</v>
      </c>
      <c r="M330" s="246" t="s">
        <v>2139</v>
      </c>
      <c r="N330" t="s">
        <v>1870</v>
      </c>
      <c r="O330" s="247" t="s">
        <v>1509</v>
      </c>
      <c r="P330" s="3">
        <v>80000</v>
      </c>
      <c r="Q330" s="3">
        <v>80000</v>
      </c>
    </row>
    <row r="331" spans="1:17" x14ac:dyDescent="0.3">
      <c r="A331" s="249" t="s">
        <v>1870</v>
      </c>
      <c r="B331" s="246">
        <v>430</v>
      </c>
      <c r="C331" t="s">
        <v>1870</v>
      </c>
      <c r="D331" t="s">
        <v>1870</v>
      </c>
      <c r="E331" s="246" t="s">
        <v>164</v>
      </c>
      <c r="F331">
        <v>0</v>
      </c>
      <c r="G331" t="s">
        <v>1870</v>
      </c>
      <c r="H331" t="s">
        <v>968</v>
      </c>
      <c r="I331" s="7" t="s">
        <v>1489</v>
      </c>
      <c r="J331" t="s">
        <v>1870</v>
      </c>
      <c r="K331" t="s">
        <v>1870</v>
      </c>
      <c r="L331" s="7" t="s">
        <v>1489</v>
      </c>
      <c r="M331" s="7" t="s">
        <v>1489</v>
      </c>
      <c r="N331" t="s">
        <v>1870</v>
      </c>
      <c r="O331" t="s">
        <v>1489</v>
      </c>
      <c r="Q331" s="3">
        <v>0</v>
      </c>
    </row>
    <row r="332" spans="1:17" x14ac:dyDescent="0.3">
      <c r="A332" s="249" t="s">
        <v>1870</v>
      </c>
      <c r="B332" s="246">
        <v>430</v>
      </c>
      <c r="C332" t="s">
        <v>1870</v>
      </c>
      <c r="D332" t="s">
        <v>1870</v>
      </c>
      <c r="E332" s="246" t="s">
        <v>164</v>
      </c>
      <c r="F332" s="7">
        <v>1</v>
      </c>
      <c r="G332" t="s">
        <v>1870</v>
      </c>
      <c r="H332" t="s">
        <v>972</v>
      </c>
      <c r="I332" t="s">
        <v>1489</v>
      </c>
      <c r="J332" t="s">
        <v>1870</v>
      </c>
      <c r="K332" t="s">
        <v>1870</v>
      </c>
      <c r="L332" t="s">
        <v>1489</v>
      </c>
      <c r="M332" t="s">
        <v>1489</v>
      </c>
      <c r="N332" t="s">
        <v>1870</v>
      </c>
      <c r="O332" t="s">
        <v>1489</v>
      </c>
      <c r="Q332" s="3">
        <v>0</v>
      </c>
    </row>
    <row r="333" spans="1:17" x14ac:dyDescent="0.3">
      <c r="A333" s="249" t="s">
        <v>1870</v>
      </c>
      <c r="B333" s="246">
        <v>430</v>
      </c>
      <c r="C333" t="s">
        <v>1870</v>
      </c>
      <c r="D333" t="s">
        <v>1870</v>
      </c>
      <c r="E333" s="246" t="s">
        <v>164</v>
      </c>
      <c r="F333" s="7">
        <v>2</v>
      </c>
      <c r="G333" t="s">
        <v>1870</v>
      </c>
      <c r="H333" t="s">
        <v>974</v>
      </c>
      <c r="I333" t="s">
        <v>1489</v>
      </c>
      <c r="J333" t="s">
        <v>1870</v>
      </c>
      <c r="K333" t="s">
        <v>1870</v>
      </c>
      <c r="L333" t="s">
        <v>1489</v>
      </c>
      <c r="M333" t="s">
        <v>1489</v>
      </c>
      <c r="N333" t="s">
        <v>1870</v>
      </c>
      <c r="O333" t="s">
        <v>1489</v>
      </c>
      <c r="Q333" s="3">
        <v>0</v>
      </c>
    </row>
    <row r="334" spans="1:17" x14ac:dyDescent="0.3">
      <c r="A334" s="249" t="s">
        <v>1870</v>
      </c>
      <c r="B334" s="246">
        <v>430</v>
      </c>
      <c r="C334" t="s">
        <v>1870</v>
      </c>
      <c r="D334" t="s">
        <v>1870</v>
      </c>
      <c r="E334" s="246" t="s">
        <v>164</v>
      </c>
      <c r="F334" s="7">
        <v>3</v>
      </c>
      <c r="G334" t="s">
        <v>1870</v>
      </c>
      <c r="H334" t="s">
        <v>976</v>
      </c>
      <c r="I334" t="s">
        <v>1489</v>
      </c>
      <c r="J334" t="s">
        <v>1870</v>
      </c>
      <c r="K334" t="s">
        <v>1870</v>
      </c>
      <c r="L334" t="s">
        <v>1489</v>
      </c>
      <c r="M334" t="s">
        <v>1489</v>
      </c>
      <c r="N334" t="s">
        <v>1870</v>
      </c>
      <c r="O334" t="s">
        <v>1489</v>
      </c>
      <c r="Q334" s="3">
        <v>0</v>
      </c>
    </row>
    <row r="335" spans="1:17" x14ac:dyDescent="0.3">
      <c r="A335" s="249" t="s">
        <v>1870</v>
      </c>
      <c r="B335" s="246">
        <v>430</v>
      </c>
      <c r="C335" t="s">
        <v>1870</v>
      </c>
      <c r="D335" t="s">
        <v>1870</v>
      </c>
      <c r="E335" s="246" t="s">
        <v>164</v>
      </c>
      <c r="F335" s="7">
        <v>4</v>
      </c>
      <c r="G335" t="s">
        <v>1870</v>
      </c>
      <c r="H335" t="s">
        <v>978</v>
      </c>
      <c r="I335" t="s">
        <v>1489</v>
      </c>
      <c r="J335" t="s">
        <v>1870</v>
      </c>
      <c r="K335" t="s">
        <v>1870</v>
      </c>
      <c r="L335" t="s">
        <v>1489</v>
      </c>
      <c r="M335" t="s">
        <v>1489</v>
      </c>
      <c r="N335" t="s">
        <v>1870</v>
      </c>
      <c r="O335" t="s">
        <v>1489</v>
      </c>
      <c r="Q335" s="3">
        <v>0</v>
      </c>
    </row>
    <row r="336" spans="1:17" x14ac:dyDescent="0.3">
      <c r="A336" s="249" t="s">
        <v>1870</v>
      </c>
      <c r="B336" s="246">
        <v>430</v>
      </c>
      <c r="C336" t="s">
        <v>1870</v>
      </c>
      <c r="D336" t="s">
        <v>1870</v>
      </c>
      <c r="E336" s="246" t="s">
        <v>164</v>
      </c>
      <c r="F336" s="246">
        <v>5</v>
      </c>
      <c r="G336" t="s">
        <v>1870</v>
      </c>
      <c r="H336" s="248" t="s">
        <v>980</v>
      </c>
      <c r="I336" s="7" t="s">
        <v>1587</v>
      </c>
      <c r="J336" t="s">
        <v>1870</v>
      </c>
      <c r="K336" t="s">
        <v>1870</v>
      </c>
      <c r="L336" s="7" t="s">
        <v>1508</v>
      </c>
      <c r="M336" s="7" t="s">
        <v>2139</v>
      </c>
      <c r="N336" t="s">
        <v>1870</v>
      </c>
      <c r="O336" s="247" t="s">
        <v>1509</v>
      </c>
      <c r="P336" s="3">
        <v>11900</v>
      </c>
      <c r="Q336" s="3">
        <v>11900</v>
      </c>
    </row>
    <row r="337" spans="1:18" x14ac:dyDescent="0.3">
      <c r="A337" s="249" t="s">
        <v>1870</v>
      </c>
      <c r="B337" s="246">
        <v>430</v>
      </c>
      <c r="C337" t="s">
        <v>1870</v>
      </c>
      <c r="D337" t="s">
        <v>1870</v>
      </c>
      <c r="E337" s="246" t="s">
        <v>96</v>
      </c>
      <c r="F337" s="246">
        <v>0</v>
      </c>
      <c r="G337" t="s">
        <v>1870</v>
      </c>
      <c r="H337" s="248" t="s">
        <v>982</v>
      </c>
      <c r="I337" t="s">
        <v>1587</v>
      </c>
      <c r="J337" t="s">
        <v>1870</v>
      </c>
      <c r="K337" t="s">
        <v>1870</v>
      </c>
      <c r="L337" s="246" t="s">
        <v>1607</v>
      </c>
      <c r="M337" t="s">
        <v>2139</v>
      </c>
      <c r="N337" t="s">
        <v>1870</v>
      </c>
      <c r="O337" s="247" t="s">
        <v>1608</v>
      </c>
      <c r="P337" s="3">
        <v>241549.31</v>
      </c>
      <c r="Q337" s="3">
        <v>0</v>
      </c>
    </row>
    <row r="338" spans="1:18" x14ac:dyDescent="0.3">
      <c r="A338" s="249" t="s">
        <v>1870</v>
      </c>
      <c r="B338" s="246">
        <v>430</v>
      </c>
      <c r="C338" t="s">
        <v>1870</v>
      </c>
      <c r="D338" t="s">
        <v>1870</v>
      </c>
      <c r="E338" s="246" t="s">
        <v>183</v>
      </c>
      <c r="F338">
        <v>0</v>
      </c>
      <c r="G338" t="s">
        <v>1870</v>
      </c>
      <c r="H338" s="248" t="s">
        <v>984</v>
      </c>
      <c r="I338" t="s">
        <v>1587</v>
      </c>
      <c r="J338" t="s">
        <v>1870</v>
      </c>
      <c r="K338" t="s">
        <v>1870</v>
      </c>
      <c r="L338" s="246" t="s">
        <v>1535</v>
      </c>
      <c r="M338" s="246" t="s">
        <v>2132</v>
      </c>
      <c r="N338" t="s">
        <v>1870</v>
      </c>
      <c r="O338" s="247" t="s">
        <v>2077</v>
      </c>
      <c r="P338" s="3">
        <v>15250.1</v>
      </c>
      <c r="Q338" s="3">
        <v>10000</v>
      </c>
    </row>
    <row r="339" spans="1:18" x14ac:dyDescent="0.3">
      <c r="A339" s="249" t="s">
        <v>1870</v>
      </c>
      <c r="B339" s="246">
        <v>430</v>
      </c>
      <c r="C339" t="s">
        <v>1870</v>
      </c>
      <c r="D339" t="s">
        <v>1870</v>
      </c>
      <c r="E339" s="7" t="s">
        <v>6</v>
      </c>
      <c r="F339">
        <v>0</v>
      </c>
      <c r="G339" t="s">
        <v>1870</v>
      </c>
      <c r="H339" t="s">
        <v>986</v>
      </c>
      <c r="I339" s="7" t="s">
        <v>1489</v>
      </c>
      <c r="J339" t="s">
        <v>1870</v>
      </c>
      <c r="K339" t="s">
        <v>1870</v>
      </c>
      <c r="L339" s="7" t="s">
        <v>1489</v>
      </c>
      <c r="M339" s="7" t="s">
        <v>1489</v>
      </c>
      <c r="N339" t="s">
        <v>1870</v>
      </c>
      <c r="O339" t="s">
        <v>1489</v>
      </c>
      <c r="Q339" s="3">
        <v>0</v>
      </c>
    </row>
    <row r="340" spans="1:18" x14ac:dyDescent="0.3">
      <c r="A340" s="249" t="s">
        <v>1870</v>
      </c>
      <c r="B340" s="246">
        <v>430</v>
      </c>
      <c r="C340" t="s">
        <v>1870</v>
      </c>
      <c r="D340" t="s">
        <v>1870</v>
      </c>
      <c r="E340" s="7" t="s">
        <v>6</v>
      </c>
      <c r="F340" s="7">
        <v>1</v>
      </c>
      <c r="G340" t="s">
        <v>1870</v>
      </c>
      <c r="H340" t="s">
        <v>988</v>
      </c>
      <c r="I340" t="s">
        <v>1489</v>
      </c>
      <c r="J340" t="s">
        <v>1870</v>
      </c>
      <c r="K340" t="s">
        <v>1870</v>
      </c>
      <c r="L340" t="s">
        <v>1489</v>
      </c>
      <c r="M340" t="s">
        <v>1489</v>
      </c>
      <c r="N340" t="s">
        <v>1870</v>
      </c>
      <c r="O340" t="s">
        <v>1489</v>
      </c>
      <c r="Q340" s="3">
        <v>0</v>
      </c>
    </row>
    <row r="341" spans="1:18" x14ac:dyDescent="0.3">
      <c r="A341" s="249" t="s">
        <v>1870</v>
      </c>
      <c r="B341" s="246">
        <v>430</v>
      </c>
      <c r="C341" t="s">
        <v>1870</v>
      </c>
      <c r="D341" t="s">
        <v>1870</v>
      </c>
      <c r="E341" s="7" t="s">
        <v>28</v>
      </c>
      <c r="F341">
        <v>1</v>
      </c>
      <c r="G341" t="s">
        <v>1870</v>
      </c>
      <c r="H341" t="s">
        <v>990</v>
      </c>
      <c r="I341" t="s">
        <v>1489</v>
      </c>
      <c r="J341" t="s">
        <v>1870</v>
      </c>
      <c r="K341" t="s">
        <v>1870</v>
      </c>
      <c r="L341" t="s">
        <v>1489</v>
      </c>
      <c r="M341" t="s">
        <v>1489</v>
      </c>
      <c r="N341" t="s">
        <v>1870</v>
      </c>
      <c r="O341" t="s">
        <v>1489</v>
      </c>
      <c r="Q341" s="3">
        <v>0</v>
      </c>
    </row>
    <row r="342" spans="1:18" x14ac:dyDescent="0.3">
      <c r="A342" s="249" t="s">
        <v>1870</v>
      </c>
      <c r="B342" s="246">
        <v>430</v>
      </c>
      <c r="C342" t="s">
        <v>1870</v>
      </c>
      <c r="D342" t="s">
        <v>1870</v>
      </c>
      <c r="E342" s="7" t="s">
        <v>28</v>
      </c>
      <c r="F342" s="7">
        <v>2</v>
      </c>
      <c r="G342" t="s">
        <v>1870</v>
      </c>
      <c r="H342" t="s">
        <v>992</v>
      </c>
      <c r="I342" t="s">
        <v>1489</v>
      </c>
      <c r="J342" t="s">
        <v>1870</v>
      </c>
      <c r="K342" t="s">
        <v>1870</v>
      </c>
      <c r="L342" t="s">
        <v>1489</v>
      </c>
      <c r="M342" t="s">
        <v>1489</v>
      </c>
      <c r="N342" t="s">
        <v>1870</v>
      </c>
      <c r="O342" t="s">
        <v>1489</v>
      </c>
      <c r="Q342" s="3">
        <v>0</v>
      </c>
    </row>
    <row r="343" spans="1:18" x14ac:dyDescent="0.3">
      <c r="A343" s="249" t="s">
        <v>1870</v>
      </c>
      <c r="B343" s="246">
        <v>430</v>
      </c>
      <c r="C343" t="s">
        <v>1870</v>
      </c>
      <c r="D343" t="s">
        <v>1870</v>
      </c>
      <c r="E343" s="7" t="s">
        <v>329</v>
      </c>
      <c r="F343" s="7">
        <v>1</v>
      </c>
      <c r="G343" t="s">
        <v>1870</v>
      </c>
      <c r="H343" t="s">
        <v>994</v>
      </c>
      <c r="I343" t="s">
        <v>1489</v>
      </c>
      <c r="J343" t="s">
        <v>1870</v>
      </c>
      <c r="K343" t="s">
        <v>1870</v>
      </c>
      <c r="L343" t="s">
        <v>1489</v>
      </c>
      <c r="M343" t="s">
        <v>1489</v>
      </c>
      <c r="N343" t="s">
        <v>1870</v>
      </c>
      <c r="O343" t="s">
        <v>1489</v>
      </c>
      <c r="Q343" s="3">
        <v>0</v>
      </c>
    </row>
    <row r="344" spans="1:18" x14ac:dyDescent="0.3">
      <c r="A344" s="249" t="s">
        <v>1870</v>
      </c>
      <c r="B344" s="246">
        <v>430</v>
      </c>
      <c r="C344" t="s">
        <v>1870</v>
      </c>
      <c r="D344" t="s">
        <v>1870</v>
      </c>
      <c r="E344" s="246" t="s">
        <v>61</v>
      </c>
      <c r="F344" s="7">
        <v>0</v>
      </c>
      <c r="G344" t="s">
        <v>1870</v>
      </c>
      <c r="H344" s="248" t="s">
        <v>996</v>
      </c>
      <c r="I344" s="7" t="s">
        <v>1587</v>
      </c>
      <c r="J344" t="s">
        <v>1870</v>
      </c>
      <c r="K344" t="s">
        <v>1870</v>
      </c>
      <c r="L344" s="246" t="s">
        <v>1580</v>
      </c>
      <c r="M344" s="246" t="s">
        <v>2131</v>
      </c>
      <c r="N344" t="s">
        <v>1870</v>
      </c>
      <c r="O344" s="247" t="s">
        <v>1610</v>
      </c>
      <c r="P344" s="3">
        <v>-14269.05</v>
      </c>
      <c r="Q344" s="3">
        <v>0</v>
      </c>
    </row>
    <row r="345" spans="1:18" x14ac:dyDescent="0.3">
      <c r="A345" s="249" t="s">
        <v>1870</v>
      </c>
      <c r="B345" s="246">
        <v>430</v>
      </c>
      <c r="C345" t="s">
        <v>1870</v>
      </c>
      <c r="D345" t="s">
        <v>1870</v>
      </c>
      <c r="E345" s="246" t="s">
        <v>61</v>
      </c>
      <c r="F345" s="246">
        <v>1</v>
      </c>
      <c r="G345" t="s">
        <v>1870</v>
      </c>
      <c r="H345" s="248" t="s">
        <v>998</v>
      </c>
      <c r="I345" t="s">
        <v>1587</v>
      </c>
      <c r="J345" t="s">
        <v>1870</v>
      </c>
      <c r="K345" t="s">
        <v>1870</v>
      </c>
      <c r="L345" t="s">
        <v>1580</v>
      </c>
      <c r="M345" t="s">
        <v>2131</v>
      </c>
      <c r="N345" t="s">
        <v>1870</v>
      </c>
      <c r="O345" s="247" t="s">
        <v>1610</v>
      </c>
      <c r="P345" s="3">
        <v>-3424.55</v>
      </c>
      <c r="Q345" s="3">
        <v>0</v>
      </c>
    </row>
    <row r="346" spans="1:18" x14ac:dyDescent="0.3">
      <c r="A346" s="249" t="s">
        <v>1870</v>
      </c>
      <c r="B346" s="246">
        <v>430</v>
      </c>
      <c r="C346" t="s">
        <v>1870</v>
      </c>
      <c r="D346" t="s">
        <v>1870</v>
      </c>
      <c r="E346" s="7" t="s">
        <v>175</v>
      </c>
      <c r="F346" s="7">
        <v>7</v>
      </c>
      <c r="G346" t="s">
        <v>1870</v>
      </c>
      <c r="H346" t="s">
        <v>1000</v>
      </c>
      <c r="I346" s="7" t="s">
        <v>1489</v>
      </c>
      <c r="J346" t="s">
        <v>1870</v>
      </c>
      <c r="K346" t="s">
        <v>1870</v>
      </c>
      <c r="L346" s="7" t="s">
        <v>1489</v>
      </c>
      <c r="M346" s="7" t="s">
        <v>1489</v>
      </c>
      <c r="N346" t="s">
        <v>1870</v>
      </c>
      <c r="O346" t="s">
        <v>1489</v>
      </c>
      <c r="Q346" s="3">
        <v>0</v>
      </c>
    </row>
    <row r="347" spans="1:18" x14ac:dyDescent="0.3">
      <c r="A347" s="249" t="s">
        <v>1870</v>
      </c>
      <c r="B347" s="246">
        <v>430</v>
      </c>
      <c r="C347" t="s">
        <v>1870</v>
      </c>
      <c r="D347" t="s">
        <v>1870</v>
      </c>
      <c r="E347" s="7" t="s">
        <v>351</v>
      </c>
      <c r="F347" s="7">
        <v>0</v>
      </c>
      <c r="G347" t="s">
        <v>1870</v>
      </c>
      <c r="H347" t="s">
        <v>1002</v>
      </c>
      <c r="I347" t="s">
        <v>1489</v>
      </c>
      <c r="J347" t="s">
        <v>1870</v>
      </c>
      <c r="K347" t="s">
        <v>1870</v>
      </c>
      <c r="L347" t="s">
        <v>1489</v>
      </c>
      <c r="M347" t="s">
        <v>1489</v>
      </c>
      <c r="N347" t="s">
        <v>1870</v>
      </c>
      <c r="O347" t="s">
        <v>1489</v>
      </c>
      <c r="Q347" s="3">
        <v>0</v>
      </c>
    </row>
    <row r="348" spans="1:18" x14ac:dyDescent="0.3">
      <c r="A348" s="249" t="s">
        <v>1870</v>
      </c>
      <c r="B348" s="246">
        <v>430</v>
      </c>
      <c r="C348" t="s">
        <v>1870</v>
      </c>
      <c r="D348" t="s">
        <v>1870</v>
      </c>
      <c r="E348" s="246" t="s">
        <v>64</v>
      </c>
      <c r="F348" s="246">
        <v>0</v>
      </c>
      <c r="G348" t="s">
        <v>1870</v>
      </c>
      <c r="H348" s="248" t="s">
        <v>1004</v>
      </c>
      <c r="I348" s="246" t="s">
        <v>1710</v>
      </c>
      <c r="J348" t="s">
        <v>1870</v>
      </c>
      <c r="K348" t="s">
        <v>1870</v>
      </c>
      <c r="L348" s="246" t="s">
        <v>1711</v>
      </c>
      <c r="M348" s="7" t="s">
        <v>2131</v>
      </c>
      <c r="N348" t="s">
        <v>1870</v>
      </c>
      <c r="O348" s="247" t="s">
        <v>1712</v>
      </c>
      <c r="P348" s="3">
        <v>-241549.31</v>
      </c>
      <c r="Q348" s="3">
        <v>0</v>
      </c>
    </row>
    <row r="349" spans="1:18" x14ac:dyDescent="0.3">
      <c r="A349" s="249" t="s">
        <v>1870</v>
      </c>
      <c r="B349" s="246">
        <v>430</v>
      </c>
      <c r="C349" t="s">
        <v>1870</v>
      </c>
      <c r="D349" t="s">
        <v>1870</v>
      </c>
      <c r="E349" s="7" t="s">
        <v>67</v>
      </c>
      <c r="F349">
        <v>0</v>
      </c>
      <c r="G349" t="s">
        <v>1870</v>
      </c>
      <c r="H349" t="s">
        <v>1006</v>
      </c>
      <c r="I349" s="7" t="s">
        <v>1489</v>
      </c>
      <c r="J349" t="s">
        <v>1870</v>
      </c>
      <c r="K349" t="s">
        <v>1870</v>
      </c>
      <c r="L349" s="7" t="s">
        <v>1489</v>
      </c>
      <c r="M349" s="7" t="s">
        <v>1489</v>
      </c>
      <c r="N349" t="s">
        <v>1870</v>
      </c>
      <c r="O349" t="s">
        <v>1489</v>
      </c>
      <c r="Q349" s="3">
        <v>0</v>
      </c>
    </row>
    <row r="350" spans="1:18" x14ac:dyDescent="0.3">
      <c r="A350" s="249" t="s">
        <v>1870</v>
      </c>
      <c r="B350" s="246">
        <v>440</v>
      </c>
      <c r="C350" t="s">
        <v>1870</v>
      </c>
      <c r="D350" t="s">
        <v>1870</v>
      </c>
      <c r="E350" s="246" t="s">
        <v>3</v>
      </c>
      <c r="F350">
        <v>0</v>
      </c>
      <c r="G350" t="s">
        <v>1870</v>
      </c>
      <c r="H350" s="248" t="s">
        <v>1009</v>
      </c>
      <c r="I350" s="246" t="s">
        <v>1587</v>
      </c>
      <c r="J350" t="s">
        <v>1870</v>
      </c>
      <c r="K350" t="s">
        <v>1870</v>
      </c>
      <c r="L350" s="246" t="s">
        <v>1410</v>
      </c>
      <c r="M350" s="7" t="s">
        <v>2131</v>
      </c>
      <c r="N350" t="s">
        <v>1870</v>
      </c>
      <c r="O350" s="247" t="s">
        <v>1411</v>
      </c>
      <c r="P350" s="3">
        <v>28572.3</v>
      </c>
      <c r="Q350" s="3">
        <v>26000</v>
      </c>
      <c r="R350" s="3">
        <v>0</v>
      </c>
    </row>
    <row r="351" spans="1:18" x14ac:dyDescent="0.3">
      <c r="A351" s="249" t="s">
        <v>1870</v>
      </c>
      <c r="B351" s="246">
        <v>440</v>
      </c>
      <c r="C351" t="s">
        <v>1870</v>
      </c>
      <c r="D351" t="s">
        <v>1870</v>
      </c>
      <c r="E351" s="246" t="s">
        <v>3</v>
      </c>
      <c r="F351">
        <v>0</v>
      </c>
      <c r="G351" t="s">
        <v>1870</v>
      </c>
      <c r="H351" s="248" t="s">
        <v>1009</v>
      </c>
      <c r="I351" s="246" t="s">
        <v>1587</v>
      </c>
      <c r="J351" t="s">
        <v>1870</v>
      </c>
      <c r="K351" t="s">
        <v>1870</v>
      </c>
      <c r="L351" s="246" t="s">
        <v>1410</v>
      </c>
      <c r="M351" s="246" t="s">
        <v>2138</v>
      </c>
      <c r="N351" t="s">
        <v>1870</v>
      </c>
      <c r="O351" s="247" t="s">
        <v>1424</v>
      </c>
      <c r="Q351" s="3">
        <v>0</v>
      </c>
    </row>
    <row r="352" spans="1:18" x14ac:dyDescent="0.3">
      <c r="A352" s="249" t="s">
        <v>1870</v>
      </c>
      <c r="B352" s="246">
        <v>440</v>
      </c>
      <c r="C352" t="s">
        <v>1870</v>
      </c>
      <c r="D352" t="s">
        <v>1870</v>
      </c>
      <c r="E352" s="246" t="s">
        <v>16</v>
      </c>
      <c r="F352">
        <v>0</v>
      </c>
      <c r="G352" t="s">
        <v>1870</v>
      </c>
      <c r="H352" s="248" t="s">
        <v>1011</v>
      </c>
      <c r="I352" t="s">
        <v>1587</v>
      </c>
      <c r="J352" t="s">
        <v>1870</v>
      </c>
      <c r="K352" t="s">
        <v>1870</v>
      </c>
      <c r="L352" s="246" t="s">
        <v>1367</v>
      </c>
      <c r="M352" s="246" t="s">
        <v>2131</v>
      </c>
      <c r="N352" t="s">
        <v>1870</v>
      </c>
      <c r="O352" s="247" t="s">
        <v>1378</v>
      </c>
      <c r="P352" s="3">
        <v>2733.35</v>
      </c>
      <c r="Q352" s="3">
        <v>2500</v>
      </c>
    </row>
    <row r="353" spans="1:17" x14ac:dyDescent="0.3">
      <c r="A353" s="249" t="s">
        <v>1870</v>
      </c>
      <c r="B353" s="246">
        <v>440</v>
      </c>
      <c r="C353" t="s">
        <v>1870</v>
      </c>
      <c r="D353" t="s">
        <v>1870</v>
      </c>
      <c r="E353" s="246" t="s">
        <v>16</v>
      </c>
      <c r="F353">
        <v>0</v>
      </c>
      <c r="G353" t="s">
        <v>1870</v>
      </c>
      <c r="H353" s="248" t="s">
        <v>1011</v>
      </c>
      <c r="I353" t="s">
        <v>1587</v>
      </c>
      <c r="J353" t="s">
        <v>1870</v>
      </c>
      <c r="K353" t="s">
        <v>1870</v>
      </c>
      <c r="L353" s="246" t="s">
        <v>1413</v>
      </c>
      <c r="M353" t="s">
        <v>2131</v>
      </c>
      <c r="N353" t="s">
        <v>1870</v>
      </c>
      <c r="O353" s="247" t="s">
        <v>1414</v>
      </c>
      <c r="Q353" s="3">
        <v>0</v>
      </c>
    </row>
    <row r="354" spans="1:17" x14ac:dyDescent="0.3">
      <c r="A354" s="249" t="s">
        <v>1870</v>
      </c>
      <c r="B354" s="246">
        <v>440</v>
      </c>
      <c r="C354" t="s">
        <v>1870</v>
      </c>
      <c r="D354" t="s">
        <v>1870</v>
      </c>
      <c r="E354" s="246" t="s">
        <v>38</v>
      </c>
      <c r="F354">
        <v>0</v>
      </c>
      <c r="G354" t="s">
        <v>1870</v>
      </c>
      <c r="H354" s="248" t="s">
        <v>1013</v>
      </c>
      <c r="I354" t="s">
        <v>1587</v>
      </c>
      <c r="J354" t="s">
        <v>1870</v>
      </c>
      <c r="K354" t="s">
        <v>1870</v>
      </c>
      <c r="L354" s="246" t="s">
        <v>1386</v>
      </c>
      <c r="M354" t="s">
        <v>2131</v>
      </c>
      <c r="N354" t="s">
        <v>1870</v>
      </c>
      <c r="O354" s="247" t="s">
        <v>1387</v>
      </c>
      <c r="P354" s="3">
        <v>1431.6</v>
      </c>
      <c r="Q354" s="3">
        <v>1700</v>
      </c>
    </row>
    <row r="355" spans="1:17" x14ac:dyDescent="0.3">
      <c r="A355" s="249" t="s">
        <v>1870</v>
      </c>
      <c r="B355" s="246">
        <v>440</v>
      </c>
      <c r="C355" t="s">
        <v>1870</v>
      </c>
      <c r="D355" t="s">
        <v>1870</v>
      </c>
      <c r="E355" s="246" t="s">
        <v>19</v>
      </c>
      <c r="F355">
        <v>0</v>
      </c>
      <c r="G355" t="s">
        <v>1870</v>
      </c>
      <c r="H355" s="248" t="s">
        <v>1015</v>
      </c>
      <c r="I355" t="s">
        <v>1587</v>
      </c>
      <c r="J355" t="s">
        <v>1870</v>
      </c>
      <c r="K355" t="s">
        <v>1870</v>
      </c>
      <c r="L355" s="246" t="s">
        <v>1375</v>
      </c>
      <c r="M355" t="s">
        <v>2131</v>
      </c>
      <c r="N355" t="s">
        <v>1870</v>
      </c>
      <c r="O355" s="247" t="s">
        <v>1379</v>
      </c>
      <c r="P355" s="3">
        <v>906.9</v>
      </c>
      <c r="Q355" s="3">
        <v>850</v>
      </c>
    </row>
    <row r="356" spans="1:17" x14ac:dyDescent="0.3">
      <c r="A356" s="249" t="s">
        <v>1870</v>
      </c>
      <c r="B356" s="246">
        <v>440</v>
      </c>
      <c r="C356" t="s">
        <v>1870</v>
      </c>
      <c r="D356" t="s">
        <v>1870</v>
      </c>
      <c r="E356" s="246" t="s">
        <v>22</v>
      </c>
      <c r="F356">
        <v>0</v>
      </c>
      <c r="G356" t="s">
        <v>1870</v>
      </c>
      <c r="H356" s="248" t="s">
        <v>1017</v>
      </c>
      <c r="I356" t="s">
        <v>1587</v>
      </c>
      <c r="J356" t="s">
        <v>1870</v>
      </c>
      <c r="K356" t="s">
        <v>1870</v>
      </c>
      <c r="L356" s="246" t="s">
        <v>1382</v>
      </c>
      <c r="M356" t="s">
        <v>2131</v>
      </c>
      <c r="N356" t="s">
        <v>1870</v>
      </c>
      <c r="O356" s="247" t="s">
        <v>1383</v>
      </c>
      <c r="Q356" s="3">
        <v>0</v>
      </c>
    </row>
    <row r="357" spans="1:17" x14ac:dyDescent="0.3">
      <c r="A357" s="249" t="s">
        <v>1870</v>
      </c>
      <c r="B357" s="246">
        <v>440</v>
      </c>
      <c r="C357" t="s">
        <v>1870</v>
      </c>
      <c r="D357" t="s">
        <v>1870</v>
      </c>
      <c r="E357" s="246" t="s">
        <v>22</v>
      </c>
      <c r="F357">
        <v>0</v>
      </c>
      <c r="G357" t="s">
        <v>1870</v>
      </c>
      <c r="H357" s="248" t="s">
        <v>1017</v>
      </c>
      <c r="I357" t="s">
        <v>1587</v>
      </c>
      <c r="J357" t="s">
        <v>1870</v>
      </c>
      <c r="K357" t="s">
        <v>1870</v>
      </c>
      <c r="L357" s="246" t="s">
        <v>1368</v>
      </c>
      <c r="M357" t="s">
        <v>2131</v>
      </c>
      <c r="N357" t="s">
        <v>1870</v>
      </c>
      <c r="O357" s="247" t="s">
        <v>1392</v>
      </c>
      <c r="Q357" s="3">
        <v>0</v>
      </c>
    </row>
    <row r="358" spans="1:17" x14ac:dyDescent="0.3">
      <c r="A358" s="249" t="s">
        <v>1870</v>
      </c>
      <c r="B358" s="246">
        <v>440</v>
      </c>
      <c r="C358" t="s">
        <v>1870</v>
      </c>
      <c r="D358" t="s">
        <v>1870</v>
      </c>
      <c r="E358" s="246" t="s">
        <v>22</v>
      </c>
      <c r="F358">
        <v>0</v>
      </c>
      <c r="G358" t="s">
        <v>1870</v>
      </c>
      <c r="H358" s="248" t="s">
        <v>1017</v>
      </c>
      <c r="I358" t="s">
        <v>1587</v>
      </c>
      <c r="J358" t="s">
        <v>1870</v>
      </c>
      <c r="K358" t="s">
        <v>1870</v>
      </c>
      <c r="L358" s="246" t="s">
        <v>1540</v>
      </c>
      <c r="M358" t="s">
        <v>2131</v>
      </c>
      <c r="N358" t="s">
        <v>1870</v>
      </c>
      <c r="O358" s="247" t="s">
        <v>1543</v>
      </c>
      <c r="Q358" s="3">
        <v>0</v>
      </c>
    </row>
    <row r="359" spans="1:17" x14ac:dyDescent="0.3">
      <c r="A359" s="249" t="s">
        <v>1870</v>
      </c>
      <c r="B359" s="246">
        <v>440</v>
      </c>
      <c r="C359" t="s">
        <v>1870</v>
      </c>
      <c r="D359" t="s">
        <v>1870</v>
      </c>
      <c r="E359" s="246" t="s">
        <v>22</v>
      </c>
      <c r="F359">
        <v>0</v>
      </c>
      <c r="G359" t="s">
        <v>1870</v>
      </c>
      <c r="H359" s="248" t="s">
        <v>1017</v>
      </c>
      <c r="I359" t="s">
        <v>1587</v>
      </c>
      <c r="J359" t="s">
        <v>1870</v>
      </c>
      <c r="K359" t="s">
        <v>1870</v>
      </c>
      <c r="L359" s="246" t="s">
        <v>1380</v>
      </c>
      <c r="M359" t="s">
        <v>2131</v>
      </c>
      <c r="N359" t="s">
        <v>1870</v>
      </c>
      <c r="O359" s="247" t="s">
        <v>1381</v>
      </c>
      <c r="Q359" s="3">
        <v>0</v>
      </c>
    </row>
    <row r="360" spans="1:17" x14ac:dyDescent="0.3">
      <c r="A360" s="249" t="s">
        <v>1870</v>
      </c>
      <c r="B360" s="246">
        <v>440</v>
      </c>
      <c r="C360" t="s">
        <v>1870</v>
      </c>
      <c r="D360" t="s">
        <v>1870</v>
      </c>
      <c r="E360" s="246" t="s">
        <v>22</v>
      </c>
      <c r="F360">
        <v>0</v>
      </c>
      <c r="G360" t="s">
        <v>1870</v>
      </c>
      <c r="H360" s="248" t="s">
        <v>1017</v>
      </c>
      <c r="I360" t="s">
        <v>1587</v>
      </c>
      <c r="J360" t="s">
        <v>1870</v>
      </c>
      <c r="K360" t="s">
        <v>1870</v>
      </c>
      <c r="L360" s="246" t="s">
        <v>1393</v>
      </c>
      <c r="M360" t="s">
        <v>2131</v>
      </c>
      <c r="N360" t="s">
        <v>1870</v>
      </c>
      <c r="O360" s="247" t="s">
        <v>2073</v>
      </c>
      <c r="Q360" s="3">
        <v>0</v>
      </c>
    </row>
    <row r="361" spans="1:17" x14ac:dyDescent="0.3">
      <c r="A361" s="249" t="s">
        <v>1870</v>
      </c>
      <c r="B361" s="246">
        <v>440</v>
      </c>
      <c r="C361" t="s">
        <v>1870</v>
      </c>
      <c r="D361" t="s">
        <v>1870</v>
      </c>
      <c r="E361" s="246" t="s">
        <v>25</v>
      </c>
      <c r="F361">
        <v>0</v>
      </c>
      <c r="G361" t="s">
        <v>1870</v>
      </c>
      <c r="H361" s="248" t="s">
        <v>1019</v>
      </c>
      <c r="I361" s="246" t="s">
        <v>1612</v>
      </c>
      <c r="J361" t="s">
        <v>1870</v>
      </c>
      <c r="K361" t="s">
        <v>1870</v>
      </c>
      <c r="L361" s="246" t="s">
        <v>1426</v>
      </c>
      <c r="M361" t="s">
        <v>2131</v>
      </c>
      <c r="N361" t="s">
        <v>1870</v>
      </c>
      <c r="O361" s="247" t="s">
        <v>1830</v>
      </c>
      <c r="P361" s="3">
        <v>68.45</v>
      </c>
      <c r="Q361" s="3">
        <v>0</v>
      </c>
    </row>
    <row r="362" spans="1:17" x14ac:dyDescent="0.3">
      <c r="A362" s="249" t="s">
        <v>1870</v>
      </c>
      <c r="B362" s="246">
        <v>440</v>
      </c>
      <c r="C362" t="s">
        <v>1870</v>
      </c>
      <c r="D362" t="s">
        <v>1870</v>
      </c>
      <c r="E362" s="7" t="s">
        <v>439</v>
      </c>
      <c r="F362">
        <v>0</v>
      </c>
      <c r="G362" t="s">
        <v>1870</v>
      </c>
      <c r="H362" t="s">
        <v>1021</v>
      </c>
      <c r="I362" s="7" t="s">
        <v>1489</v>
      </c>
      <c r="J362" t="s">
        <v>1870</v>
      </c>
      <c r="K362" t="s">
        <v>1870</v>
      </c>
      <c r="L362" s="7" t="s">
        <v>1489</v>
      </c>
      <c r="M362" s="7" t="s">
        <v>1489</v>
      </c>
      <c r="N362" t="s">
        <v>1870</v>
      </c>
      <c r="O362" t="s">
        <v>1489</v>
      </c>
      <c r="Q362" s="3">
        <v>0</v>
      </c>
    </row>
    <row r="363" spans="1:17" x14ac:dyDescent="0.3">
      <c r="A363" s="249" t="s">
        <v>1870</v>
      </c>
      <c r="B363" s="246">
        <v>440</v>
      </c>
      <c r="C363" t="s">
        <v>1870</v>
      </c>
      <c r="D363" t="s">
        <v>1870</v>
      </c>
      <c r="E363" s="246" t="s">
        <v>131</v>
      </c>
      <c r="F363">
        <v>0</v>
      </c>
      <c r="G363" t="s">
        <v>1870</v>
      </c>
      <c r="H363" s="248" t="s">
        <v>1023</v>
      </c>
      <c r="I363" s="246" t="s">
        <v>1615</v>
      </c>
      <c r="J363" t="s">
        <v>1870</v>
      </c>
      <c r="K363" t="s">
        <v>1870</v>
      </c>
      <c r="L363" s="246" t="s">
        <v>1397</v>
      </c>
      <c r="M363" s="7" t="s">
        <v>2131</v>
      </c>
      <c r="N363" t="s">
        <v>1870</v>
      </c>
      <c r="O363" s="247" t="s">
        <v>2041</v>
      </c>
      <c r="Q363" s="3">
        <v>0</v>
      </c>
    </row>
    <row r="364" spans="1:17" x14ac:dyDescent="0.3">
      <c r="A364" s="249" t="s">
        <v>1870</v>
      </c>
      <c r="B364" s="246">
        <v>440</v>
      </c>
      <c r="C364" t="s">
        <v>1870</v>
      </c>
      <c r="D364" t="s">
        <v>1870</v>
      </c>
      <c r="E364" s="246" t="s">
        <v>131</v>
      </c>
      <c r="F364">
        <v>0</v>
      </c>
      <c r="G364" t="s">
        <v>1870</v>
      </c>
      <c r="H364" s="248" t="s">
        <v>1023</v>
      </c>
      <c r="I364" s="246" t="s">
        <v>1612</v>
      </c>
      <c r="J364" t="s">
        <v>1870</v>
      </c>
      <c r="K364" t="s">
        <v>1870</v>
      </c>
      <c r="L364" s="246" t="s">
        <v>1570</v>
      </c>
      <c r="M364" t="s">
        <v>2131</v>
      </c>
      <c r="N364" t="s">
        <v>1870</v>
      </c>
      <c r="O364" s="247" t="s">
        <v>1614</v>
      </c>
      <c r="P364" s="3">
        <v>2758.3</v>
      </c>
      <c r="Q364" s="3">
        <v>25000</v>
      </c>
    </row>
    <row r="365" spans="1:17" x14ac:dyDescent="0.3">
      <c r="A365" s="249" t="s">
        <v>1870</v>
      </c>
      <c r="B365" s="246">
        <v>440</v>
      </c>
      <c r="C365" t="s">
        <v>1870</v>
      </c>
      <c r="D365" t="s">
        <v>1870</v>
      </c>
      <c r="E365" s="7" t="s">
        <v>164</v>
      </c>
      <c r="F365">
        <v>0</v>
      </c>
      <c r="G365" t="s">
        <v>1870</v>
      </c>
      <c r="H365" t="s">
        <v>1025</v>
      </c>
      <c r="I365" s="7" t="s">
        <v>1489</v>
      </c>
      <c r="J365" t="s">
        <v>1870</v>
      </c>
      <c r="K365" t="s">
        <v>1870</v>
      </c>
      <c r="L365" s="7" t="s">
        <v>1489</v>
      </c>
      <c r="M365" s="7" t="s">
        <v>1489</v>
      </c>
      <c r="N365" t="s">
        <v>1870</v>
      </c>
      <c r="O365" t="s">
        <v>1489</v>
      </c>
      <c r="Q365" s="3">
        <v>0</v>
      </c>
    </row>
    <row r="366" spans="1:17" x14ac:dyDescent="0.3">
      <c r="A366" s="249" t="s">
        <v>1870</v>
      </c>
      <c r="B366" s="246">
        <v>440</v>
      </c>
      <c r="C366" t="s">
        <v>1870</v>
      </c>
      <c r="D366" t="s">
        <v>1870</v>
      </c>
      <c r="E366" s="7" t="s">
        <v>96</v>
      </c>
      <c r="F366">
        <v>0</v>
      </c>
      <c r="G366" t="s">
        <v>1870</v>
      </c>
      <c r="H366" t="s">
        <v>1027</v>
      </c>
      <c r="I366" t="s">
        <v>1489</v>
      </c>
      <c r="J366" t="s">
        <v>1870</v>
      </c>
      <c r="K366" t="s">
        <v>1870</v>
      </c>
      <c r="L366" t="s">
        <v>1489</v>
      </c>
      <c r="M366" t="s">
        <v>1489</v>
      </c>
      <c r="N366" t="s">
        <v>1870</v>
      </c>
      <c r="O366" t="s">
        <v>1489</v>
      </c>
      <c r="Q366" s="3">
        <v>0</v>
      </c>
    </row>
    <row r="367" spans="1:17" x14ac:dyDescent="0.3">
      <c r="A367" s="249" t="s">
        <v>1870</v>
      </c>
      <c r="B367" s="246">
        <v>440</v>
      </c>
      <c r="C367" t="s">
        <v>1870</v>
      </c>
      <c r="D367" t="s">
        <v>1870</v>
      </c>
      <c r="E367" s="246" t="s">
        <v>5</v>
      </c>
      <c r="F367">
        <v>0</v>
      </c>
      <c r="G367" t="s">
        <v>1870</v>
      </c>
      <c r="H367" s="248" t="s">
        <v>1029</v>
      </c>
      <c r="I367" s="7" t="s">
        <v>1612</v>
      </c>
      <c r="J367" t="s">
        <v>1870</v>
      </c>
      <c r="K367" t="s">
        <v>1870</v>
      </c>
      <c r="L367" s="246" t="s">
        <v>1398</v>
      </c>
      <c r="M367" s="7" t="s">
        <v>2131</v>
      </c>
      <c r="N367" t="s">
        <v>1870</v>
      </c>
      <c r="O367" s="247" t="s">
        <v>2047</v>
      </c>
      <c r="P367" s="3">
        <v>3731.15</v>
      </c>
      <c r="Q367" s="3">
        <v>4000</v>
      </c>
    </row>
    <row r="368" spans="1:17" x14ac:dyDescent="0.3">
      <c r="A368" s="249" t="s">
        <v>1870</v>
      </c>
      <c r="B368" s="246">
        <v>440</v>
      </c>
      <c r="C368" t="s">
        <v>1870</v>
      </c>
      <c r="D368" t="s">
        <v>1870</v>
      </c>
      <c r="E368" s="7" t="s">
        <v>28</v>
      </c>
      <c r="F368" s="7">
        <v>1</v>
      </c>
      <c r="G368" t="s">
        <v>1870</v>
      </c>
      <c r="H368" t="s">
        <v>1031</v>
      </c>
      <c r="I368" s="7" t="s">
        <v>1489</v>
      </c>
      <c r="J368" t="s">
        <v>1870</v>
      </c>
      <c r="K368" t="s">
        <v>1870</v>
      </c>
      <c r="L368" s="7" t="s">
        <v>1489</v>
      </c>
      <c r="M368" s="7" t="s">
        <v>1489</v>
      </c>
      <c r="N368" t="s">
        <v>1870</v>
      </c>
      <c r="O368" t="s">
        <v>1489</v>
      </c>
      <c r="Q368" s="3">
        <v>0</v>
      </c>
    </row>
    <row r="369" spans="1:17" x14ac:dyDescent="0.3">
      <c r="A369" s="249" t="s">
        <v>1870</v>
      </c>
      <c r="B369" s="246">
        <v>440</v>
      </c>
      <c r="C369" t="s">
        <v>1870</v>
      </c>
      <c r="D369" t="s">
        <v>1870</v>
      </c>
      <c r="E369" s="7" t="s">
        <v>61</v>
      </c>
      <c r="F369" s="7">
        <v>0</v>
      </c>
      <c r="G369" t="s">
        <v>1870</v>
      </c>
      <c r="H369" t="s">
        <v>1033</v>
      </c>
      <c r="I369" t="s">
        <v>1489</v>
      </c>
      <c r="J369" t="s">
        <v>1870</v>
      </c>
      <c r="K369" t="s">
        <v>1870</v>
      </c>
      <c r="L369" t="s">
        <v>1489</v>
      </c>
      <c r="M369" t="s">
        <v>1489</v>
      </c>
      <c r="N369" t="s">
        <v>1870</v>
      </c>
      <c r="O369" t="s">
        <v>1489</v>
      </c>
      <c r="Q369" s="3">
        <v>0</v>
      </c>
    </row>
    <row r="370" spans="1:17" x14ac:dyDescent="0.3">
      <c r="A370" s="249" t="s">
        <v>1870</v>
      </c>
      <c r="B370" s="246">
        <v>440</v>
      </c>
      <c r="C370" t="s">
        <v>1870</v>
      </c>
      <c r="D370" t="s">
        <v>1870</v>
      </c>
      <c r="E370" s="246" t="s">
        <v>175</v>
      </c>
      <c r="F370">
        <v>0</v>
      </c>
      <c r="G370" t="s">
        <v>1870</v>
      </c>
      <c r="H370" s="248" t="s">
        <v>1035</v>
      </c>
      <c r="I370" s="7" t="s">
        <v>1612</v>
      </c>
      <c r="J370" t="s">
        <v>1870</v>
      </c>
      <c r="K370" t="s">
        <v>1870</v>
      </c>
      <c r="L370" s="246" t="s">
        <v>1817</v>
      </c>
      <c r="M370" s="7" t="s">
        <v>2131</v>
      </c>
      <c r="N370" t="s">
        <v>1870</v>
      </c>
      <c r="O370" s="247" t="s">
        <v>1818</v>
      </c>
      <c r="Q370" s="3">
        <v>0</v>
      </c>
    </row>
    <row r="371" spans="1:17" x14ac:dyDescent="0.3">
      <c r="A371" s="249" t="s">
        <v>1870</v>
      </c>
      <c r="B371" s="246">
        <v>440</v>
      </c>
      <c r="C371" t="s">
        <v>1870</v>
      </c>
      <c r="D371" t="s">
        <v>1870</v>
      </c>
      <c r="E371" s="246" t="s">
        <v>351</v>
      </c>
      <c r="F371">
        <v>0</v>
      </c>
      <c r="G371" t="s">
        <v>1870</v>
      </c>
      <c r="H371" s="248" t="s">
        <v>1037</v>
      </c>
      <c r="I371" t="s">
        <v>1612</v>
      </c>
      <c r="J371" t="s">
        <v>1870</v>
      </c>
      <c r="K371" t="s">
        <v>1870</v>
      </c>
      <c r="L371" s="246" t="s">
        <v>1618</v>
      </c>
      <c r="M371" t="s">
        <v>2131</v>
      </c>
      <c r="N371" t="s">
        <v>1870</v>
      </c>
      <c r="O371" s="247" t="s">
        <v>2012</v>
      </c>
      <c r="P371" s="3">
        <v>-800</v>
      </c>
      <c r="Q371" s="3">
        <v>0</v>
      </c>
    </row>
    <row r="372" spans="1:17" x14ac:dyDescent="0.3">
      <c r="A372" s="249" t="s">
        <v>1870</v>
      </c>
      <c r="B372" s="246">
        <v>440</v>
      </c>
      <c r="C372" t="s">
        <v>1870</v>
      </c>
      <c r="D372" t="s">
        <v>1870</v>
      </c>
      <c r="E372" s="7" t="s">
        <v>64</v>
      </c>
      <c r="F372">
        <v>0</v>
      </c>
      <c r="G372" t="s">
        <v>1870</v>
      </c>
      <c r="H372" t="s">
        <v>1039</v>
      </c>
      <c r="I372" s="7" t="s">
        <v>1489</v>
      </c>
      <c r="J372" t="s">
        <v>1870</v>
      </c>
      <c r="K372" t="s">
        <v>1870</v>
      </c>
      <c r="L372" s="7" t="s">
        <v>1489</v>
      </c>
      <c r="M372" s="7" t="s">
        <v>1489</v>
      </c>
      <c r="N372" t="s">
        <v>1870</v>
      </c>
      <c r="O372" t="s">
        <v>1489</v>
      </c>
      <c r="Q372" s="3">
        <v>0</v>
      </c>
    </row>
    <row r="373" spans="1:17" x14ac:dyDescent="0.3">
      <c r="A373" s="249" t="s">
        <v>1870</v>
      </c>
      <c r="B373" s="246">
        <v>450</v>
      </c>
      <c r="C373" t="s">
        <v>1870</v>
      </c>
      <c r="D373" t="s">
        <v>1870</v>
      </c>
      <c r="E373" s="246" t="s">
        <v>48</v>
      </c>
      <c r="F373" s="7">
        <v>1</v>
      </c>
      <c r="G373" t="s">
        <v>1870</v>
      </c>
      <c r="H373" t="s">
        <v>1042</v>
      </c>
      <c r="I373" t="s">
        <v>1489</v>
      </c>
      <c r="J373" t="s">
        <v>1870</v>
      </c>
      <c r="K373" t="s">
        <v>1870</v>
      </c>
      <c r="L373" t="s">
        <v>1489</v>
      </c>
      <c r="M373" t="s">
        <v>1489</v>
      </c>
      <c r="N373" t="s">
        <v>1870</v>
      </c>
      <c r="O373" t="s">
        <v>1489</v>
      </c>
      <c r="Q373" s="3">
        <v>0</v>
      </c>
    </row>
    <row r="374" spans="1:17" x14ac:dyDescent="0.3">
      <c r="A374" s="249" t="s">
        <v>1870</v>
      </c>
      <c r="B374" s="246">
        <v>450</v>
      </c>
      <c r="C374" t="s">
        <v>1870</v>
      </c>
      <c r="D374" t="s">
        <v>1870</v>
      </c>
      <c r="E374" s="246" t="s">
        <v>48</v>
      </c>
      <c r="F374" s="246">
        <v>2</v>
      </c>
      <c r="G374" t="s">
        <v>1870</v>
      </c>
      <c r="H374" s="248" t="s">
        <v>1044</v>
      </c>
      <c r="I374" s="246" t="s">
        <v>1619</v>
      </c>
      <c r="J374" t="s">
        <v>1870</v>
      </c>
      <c r="K374" t="s">
        <v>1870</v>
      </c>
      <c r="L374" s="246">
        <v>3130</v>
      </c>
      <c r="M374" s="246" t="s">
        <v>7</v>
      </c>
      <c r="N374" t="s">
        <v>1870</v>
      </c>
      <c r="O374" s="247" t="s">
        <v>1621</v>
      </c>
      <c r="P374" s="3">
        <v>13921</v>
      </c>
      <c r="Q374" s="3">
        <v>100000</v>
      </c>
    </row>
    <row r="375" spans="1:17" x14ac:dyDescent="0.3">
      <c r="A375" s="249" t="s">
        <v>1870</v>
      </c>
      <c r="B375" s="246">
        <v>450</v>
      </c>
      <c r="C375" t="s">
        <v>1870</v>
      </c>
      <c r="D375" t="s">
        <v>1870</v>
      </c>
      <c r="E375" s="246" t="s">
        <v>48</v>
      </c>
      <c r="F375" s="246">
        <v>2</v>
      </c>
      <c r="G375" t="s">
        <v>1870</v>
      </c>
      <c r="H375" s="248" t="s">
        <v>1044</v>
      </c>
      <c r="I375" s="246" t="s">
        <v>1619</v>
      </c>
      <c r="J375" t="s">
        <v>1870</v>
      </c>
      <c r="K375" t="s">
        <v>1870</v>
      </c>
      <c r="L375" s="246">
        <v>3130</v>
      </c>
      <c r="M375" s="246" t="s">
        <v>204</v>
      </c>
      <c r="N375" t="s">
        <v>1870</v>
      </c>
      <c r="O375" s="247" t="s">
        <v>1623</v>
      </c>
      <c r="P375" s="3">
        <v>13921</v>
      </c>
    </row>
    <row r="376" spans="1:17" x14ac:dyDescent="0.3">
      <c r="A376" s="249" t="s">
        <v>1870</v>
      </c>
      <c r="B376" s="246">
        <v>450</v>
      </c>
      <c r="C376" t="s">
        <v>1870</v>
      </c>
      <c r="D376" t="s">
        <v>1870</v>
      </c>
      <c r="E376" s="246" t="s">
        <v>48</v>
      </c>
      <c r="F376" s="246">
        <v>2</v>
      </c>
      <c r="G376" t="s">
        <v>1870</v>
      </c>
      <c r="H376" s="248" t="s">
        <v>1044</v>
      </c>
      <c r="I376" s="246" t="s">
        <v>1619</v>
      </c>
      <c r="J376" t="s">
        <v>1870</v>
      </c>
      <c r="K376" t="s">
        <v>1870</v>
      </c>
      <c r="L376" s="246" t="s">
        <v>1398</v>
      </c>
      <c r="M376" s="246" t="s">
        <v>2131</v>
      </c>
      <c r="N376" t="s">
        <v>1870</v>
      </c>
      <c r="O376" s="247" t="s">
        <v>2048</v>
      </c>
      <c r="Q376" s="3">
        <v>0</v>
      </c>
    </row>
    <row r="377" spans="1:17" x14ac:dyDescent="0.3">
      <c r="A377" s="249" t="s">
        <v>1870</v>
      </c>
      <c r="B377" s="246">
        <v>450</v>
      </c>
      <c r="C377" t="s">
        <v>1870</v>
      </c>
      <c r="D377" t="s">
        <v>1870</v>
      </c>
      <c r="E377" s="246" t="s">
        <v>48</v>
      </c>
      <c r="F377" s="7">
        <v>3</v>
      </c>
      <c r="G377" t="s">
        <v>1870</v>
      </c>
      <c r="H377" t="s">
        <v>1046</v>
      </c>
      <c r="I377" s="7" t="s">
        <v>1489</v>
      </c>
      <c r="J377" t="s">
        <v>1870</v>
      </c>
      <c r="K377" t="s">
        <v>1870</v>
      </c>
      <c r="L377" s="7" t="s">
        <v>1489</v>
      </c>
      <c r="M377" s="7" t="s">
        <v>1489</v>
      </c>
      <c r="N377" t="s">
        <v>1870</v>
      </c>
      <c r="O377" t="s">
        <v>1489</v>
      </c>
      <c r="Q377" s="3">
        <v>0</v>
      </c>
    </row>
    <row r="378" spans="1:17" x14ac:dyDescent="0.3">
      <c r="A378" s="249" t="s">
        <v>1870</v>
      </c>
      <c r="B378" s="246">
        <v>450</v>
      </c>
      <c r="C378" t="s">
        <v>1870</v>
      </c>
      <c r="D378" t="s">
        <v>1870</v>
      </c>
      <c r="E378" s="246" t="s">
        <v>138</v>
      </c>
      <c r="F378" s="246">
        <v>0</v>
      </c>
      <c r="G378" t="s">
        <v>1870</v>
      </c>
      <c r="H378" s="248" t="s">
        <v>1048</v>
      </c>
      <c r="I378" s="246" t="s">
        <v>1619</v>
      </c>
      <c r="J378" t="s">
        <v>1870</v>
      </c>
      <c r="K378" t="s">
        <v>1870</v>
      </c>
      <c r="L378" s="246" t="s">
        <v>1686</v>
      </c>
      <c r="M378" s="246" t="s">
        <v>2131</v>
      </c>
      <c r="N378" t="s">
        <v>1870</v>
      </c>
      <c r="O378" s="247" t="s">
        <v>1687</v>
      </c>
      <c r="P378" s="3">
        <v>61507.63</v>
      </c>
      <c r="Q378" s="3">
        <v>10000</v>
      </c>
    </row>
    <row r="379" spans="1:17" x14ac:dyDescent="0.3">
      <c r="A379" s="249" t="s">
        <v>1870</v>
      </c>
      <c r="B379" s="246">
        <v>450</v>
      </c>
      <c r="C379" t="s">
        <v>1870</v>
      </c>
      <c r="D379" t="s">
        <v>1870</v>
      </c>
      <c r="E379" s="246" t="s">
        <v>58</v>
      </c>
      <c r="F379">
        <v>0</v>
      </c>
      <c r="G379" t="s">
        <v>1870</v>
      </c>
      <c r="H379" s="248" t="s">
        <v>1050</v>
      </c>
      <c r="I379" t="s">
        <v>1619</v>
      </c>
      <c r="J379" t="s">
        <v>1870</v>
      </c>
      <c r="K379" t="s">
        <v>1870</v>
      </c>
      <c r="L379" s="246" t="s">
        <v>1580</v>
      </c>
      <c r="M379" t="s">
        <v>2131</v>
      </c>
      <c r="N379" t="s">
        <v>1870</v>
      </c>
      <c r="O379" s="247" t="s">
        <v>1879</v>
      </c>
      <c r="P379" s="3">
        <v>-89350.59</v>
      </c>
      <c r="Q379" s="3">
        <v>-110000</v>
      </c>
    </row>
    <row r="380" spans="1:17" x14ac:dyDescent="0.3">
      <c r="A380" s="249" t="s">
        <v>1870</v>
      </c>
      <c r="B380" s="246">
        <v>450</v>
      </c>
      <c r="C380" t="s">
        <v>1870</v>
      </c>
      <c r="D380" t="s">
        <v>1870</v>
      </c>
      <c r="E380" s="7" t="s">
        <v>61</v>
      </c>
      <c r="F380" s="7">
        <v>3</v>
      </c>
      <c r="G380" t="s">
        <v>1870</v>
      </c>
      <c r="H380" t="s">
        <v>1052</v>
      </c>
      <c r="I380" s="7" t="s">
        <v>1489</v>
      </c>
      <c r="J380" t="s">
        <v>1870</v>
      </c>
      <c r="K380" t="s">
        <v>1870</v>
      </c>
      <c r="L380" s="7" t="s">
        <v>1489</v>
      </c>
      <c r="M380" s="7" t="s">
        <v>1489</v>
      </c>
      <c r="N380" t="s">
        <v>1870</v>
      </c>
      <c r="O380" t="s">
        <v>1489</v>
      </c>
      <c r="Q380" s="3">
        <v>0</v>
      </c>
    </row>
    <row r="381" spans="1:17" x14ac:dyDescent="0.3">
      <c r="A381" s="249" t="s">
        <v>1870</v>
      </c>
      <c r="B381" s="246">
        <v>450</v>
      </c>
      <c r="C381" t="s">
        <v>1870</v>
      </c>
      <c r="D381" t="s">
        <v>1870</v>
      </c>
      <c r="E381" s="7" t="s">
        <v>144</v>
      </c>
      <c r="F381" s="7">
        <v>0</v>
      </c>
      <c r="G381" t="s">
        <v>1870</v>
      </c>
      <c r="H381" t="s">
        <v>1054</v>
      </c>
      <c r="I381" t="s">
        <v>1489</v>
      </c>
      <c r="J381" t="s">
        <v>1870</v>
      </c>
      <c r="K381" t="s">
        <v>1870</v>
      </c>
      <c r="L381" t="s">
        <v>1489</v>
      </c>
      <c r="M381" t="s">
        <v>1489</v>
      </c>
      <c r="N381" t="s">
        <v>1870</v>
      </c>
      <c r="O381" t="s">
        <v>1489</v>
      </c>
      <c r="Q381" s="3">
        <v>0</v>
      </c>
    </row>
    <row r="382" spans="1:17" x14ac:dyDescent="0.3">
      <c r="A382" s="249" t="s">
        <v>1870</v>
      </c>
      <c r="B382" s="246">
        <v>451</v>
      </c>
      <c r="C382" t="s">
        <v>1870</v>
      </c>
      <c r="D382" t="s">
        <v>1870</v>
      </c>
      <c r="E382" s="246" t="s">
        <v>3</v>
      </c>
      <c r="F382">
        <v>0</v>
      </c>
      <c r="G382" t="s">
        <v>1870</v>
      </c>
      <c r="H382" s="248" t="s">
        <v>1056</v>
      </c>
      <c r="I382" s="7" t="s">
        <v>1619</v>
      </c>
      <c r="J382" t="s">
        <v>1870</v>
      </c>
      <c r="K382" t="s">
        <v>1870</v>
      </c>
      <c r="L382" s="246" t="s">
        <v>1410</v>
      </c>
      <c r="M382" s="7" t="s">
        <v>2131</v>
      </c>
      <c r="N382" t="s">
        <v>1870</v>
      </c>
      <c r="O382" s="247" t="s">
        <v>1411</v>
      </c>
      <c r="P382" s="3">
        <v>64241.95</v>
      </c>
      <c r="Q382" s="3">
        <v>63000</v>
      </c>
    </row>
    <row r="383" spans="1:17" x14ac:dyDescent="0.3">
      <c r="A383" s="249" t="s">
        <v>1870</v>
      </c>
      <c r="B383" s="246">
        <v>451</v>
      </c>
      <c r="C383" t="s">
        <v>1870</v>
      </c>
      <c r="D383" t="s">
        <v>1870</v>
      </c>
      <c r="E383" s="246" t="s">
        <v>3</v>
      </c>
      <c r="F383">
        <v>0</v>
      </c>
      <c r="G383" t="s">
        <v>1870</v>
      </c>
      <c r="H383" s="248" t="s">
        <v>1056</v>
      </c>
      <c r="I383" s="7" t="s">
        <v>1619</v>
      </c>
      <c r="J383" t="s">
        <v>1870</v>
      </c>
      <c r="K383" t="s">
        <v>1870</v>
      </c>
      <c r="L383" s="246" t="s">
        <v>1410</v>
      </c>
      <c r="M383" s="246" t="s">
        <v>2138</v>
      </c>
      <c r="N383" t="s">
        <v>1870</v>
      </c>
      <c r="O383" s="247" t="s">
        <v>1424</v>
      </c>
      <c r="Q383" s="3">
        <v>0</v>
      </c>
    </row>
    <row r="384" spans="1:17" x14ac:dyDescent="0.3">
      <c r="A384" s="249" t="s">
        <v>1870</v>
      </c>
      <c r="B384" s="246">
        <v>451</v>
      </c>
      <c r="C384" t="s">
        <v>1870</v>
      </c>
      <c r="D384" t="s">
        <v>1870</v>
      </c>
      <c r="E384" s="246" t="s">
        <v>16</v>
      </c>
      <c r="F384">
        <v>0</v>
      </c>
      <c r="G384" t="s">
        <v>1870</v>
      </c>
      <c r="H384" s="248" t="s">
        <v>1058</v>
      </c>
      <c r="I384" t="s">
        <v>1619</v>
      </c>
      <c r="J384" t="s">
        <v>1870</v>
      </c>
      <c r="K384" t="s">
        <v>1870</v>
      </c>
      <c r="L384" s="246" t="s">
        <v>1367</v>
      </c>
      <c r="M384" s="246" t="s">
        <v>2131</v>
      </c>
      <c r="N384" t="s">
        <v>1870</v>
      </c>
      <c r="O384" s="247" t="s">
        <v>1378</v>
      </c>
      <c r="P384" s="3">
        <v>4376.1000000000004</v>
      </c>
      <c r="Q384" s="3">
        <v>5100</v>
      </c>
    </row>
    <row r="385" spans="1:17" x14ac:dyDescent="0.3">
      <c r="A385" s="249" t="s">
        <v>1870</v>
      </c>
      <c r="B385" s="246">
        <v>451</v>
      </c>
      <c r="C385" t="s">
        <v>1870</v>
      </c>
      <c r="D385" t="s">
        <v>1870</v>
      </c>
      <c r="E385" s="246" t="s">
        <v>16</v>
      </c>
      <c r="F385">
        <v>0</v>
      </c>
      <c r="G385" t="s">
        <v>1870</v>
      </c>
      <c r="H385" s="248" t="s">
        <v>1058</v>
      </c>
      <c r="I385" t="s">
        <v>1619</v>
      </c>
      <c r="J385" t="s">
        <v>1870</v>
      </c>
      <c r="K385" t="s">
        <v>1870</v>
      </c>
      <c r="L385" s="246" t="s">
        <v>1413</v>
      </c>
      <c r="M385" t="s">
        <v>2131</v>
      </c>
      <c r="N385" t="s">
        <v>1870</v>
      </c>
      <c r="O385" s="247" t="s">
        <v>1414</v>
      </c>
      <c r="Q385" s="3">
        <v>0</v>
      </c>
    </row>
    <row r="386" spans="1:17" x14ac:dyDescent="0.3">
      <c r="A386" s="249" t="s">
        <v>1870</v>
      </c>
      <c r="B386" s="246">
        <v>451</v>
      </c>
      <c r="C386" t="s">
        <v>1870</v>
      </c>
      <c r="D386" t="s">
        <v>1870</v>
      </c>
      <c r="E386" s="246" t="s">
        <v>38</v>
      </c>
      <c r="F386">
        <v>0</v>
      </c>
      <c r="G386" t="s">
        <v>1870</v>
      </c>
      <c r="H386" s="248" t="s">
        <v>1060</v>
      </c>
      <c r="I386" t="s">
        <v>1619</v>
      </c>
      <c r="J386" t="s">
        <v>1870</v>
      </c>
      <c r="K386" t="s">
        <v>1870</v>
      </c>
      <c r="L386" s="246" t="s">
        <v>1386</v>
      </c>
      <c r="M386" t="s">
        <v>2131</v>
      </c>
      <c r="N386" t="s">
        <v>1870</v>
      </c>
      <c r="O386" s="247" t="s">
        <v>1387</v>
      </c>
      <c r="P386" s="3">
        <v>1910.55</v>
      </c>
      <c r="Q386" s="3">
        <v>1900</v>
      </c>
    </row>
    <row r="387" spans="1:17" x14ac:dyDescent="0.3">
      <c r="A387" s="249" t="s">
        <v>1870</v>
      </c>
      <c r="B387" s="246">
        <v>451</v>
      </c>
      <c r="C387" t="s">
        <v>1870</v>
      </c>
      <c r="D387" t="s">
        <v>1870</v>
      </c>
      <c r="E387" s="246" t="s">
        <v>19</v>
      </c>
      <c r="F387">
        <v>0</v>
      </c>
      <c r="G387" t="s">
        <v>1870</v>
      </c>
      <c r="H387" s="248" t="s">
        <v>1062</v>
      </c>
      <c r="I387" t="s">
        <v>1619</v>
      </c>
      <c r="J387" t="s">
        <v>1870</v>
      </c>
      <c r="K387" t="s">
        <v>1870</v>
      </c>
      <c r="L387" s="246" t="s">
        <v>1375</v>
      </c>
      <c r="M387" t="s">
        <v>2131</v>
      </c>
      <c r="N387" t="s">
        <v>1870</v>
      </c>
      <c r="O387" s="247" t="s">
        <v>1379</v>
      </c>
      <c r="P387" s="3">
        <v>1828.85</v>
      </c>
      <c r="Q387" s="3">
        <v>1590</v>
      </c>
    </row>
    <row r="388" spans="1:17" x14ac:dyDescent="0.3">
      <c r="A388" s="249" t="s">
        <v>1870</v>
      </c>
      <c r="B388" s="246">
        <v>451</v>
      </c>
      <c r="C388" t="s">
        <v>1870</v>
      </c>
      <c r="D388" t="s">
        <v>1870</v>
      </c>
      <c r="E388" s="246" t="s">
        <v>22</v>
      </c>
      <c r="F388">
        <v>0</v>
      </c>
      <c r="G388" t="s">
        <v>1870</v>
      </c>
      <c r="H388" s="248" t="s">
        <v>1064</v>
      </c>
      <c r="I388" t="s">
        <v>1619</v>
      </c>
      <c r="J388" t="s">
        <v>1870</v>
      </c>
      <c r="K388" t="s">
        <v>1870</v>
      </c>
      <c r="L388" s="246" t="s">
        <v>1382</v>
      </c>
      <c r="M388" t="s">
        <v>2131</v>
      </c>
      <c r="N388" t="s">
        <v>1870</v>
      </c>
      <c r="O388" s="247" t="s">
        <v>1383</v>
      </c>
      <c r="Q388" s="3">
        <v>0</v>
      </c>
    </row>
    <row r="389" spans="1:17" x14ac:dyDescent="0.3">
      <c r="A389" s="249" t="s">
        <v>1870</v>
      </c>
      <c r="B389" s="246">
        <v>451</v>
      </c>
      <c r="C389" t="s">
        <v>1870</v>
      </c>
      <c r="D389" t="s">
        <v>1870</v>
      </c>
      <c r="E389" s="246" t="s">
        <v>22</v>
      </c>
      <c r="F389">
        <v>0</v>
      </c>
      <c r="G389" t="s">
        <v>1870</v>
      </c>
      <c r="H389" s="248" t="s">
        <v>1064</v>
      </c>
      <c r="I389" t="s">
        <v>1619</v>
      </c>
      <c r="J389" t="s">
        <v>1870</v>
      </c>
      <c r="K389" t="s">
        <v>1870</v>
      </c>
      <c r="L389" s="246" t="s">
        <v>1368</v>
      </c>
      <c r="M389" t="s">
        <v>2131</v>
      </c>
      <c r="N389" t="s">
        <v>1870</v>
      </c>
      <c r="O389" s="247" t="s">
        <v>1392</v>
      </c>
      <c r="Q389" s="3">
        <v>0</v>
      </c>
    </row>
    <row r="390" spans="1:17" x14ac:dyDescent="0.3">
      <c r="A390" s="249" t="s">
        <v>1870</v>
      </c>
      <c r="B390" s="246">
        <v>451</v>
      </c>
      <c r="C390" t="s">
        <v>1870</v>
      </c>
      <c r="D390" t="s">
        <v>1870</v>
      </c>
      <c r="E390" s="246" t="s">
        <v>22</v>
      </c>
      <c r="F390">
        <v>0</v>
      </c>
      <c r="G390" t="s">
        <v>1870</v>
      </c>
      <c r="H390" s="248" t="s">
        <v>1064</v>
      </c>
      <c r="I390" t="s">
        <v>1619</v>
      </c>
      <c r="J390" t="s">
        <v>1870</v>
      </c>
      <c r="K390" t="s">
        <v>1870</v>
      </c>
      <c r="L390" s="246" t="s">
        <v>1540</v>
      </c>
      <c r="M390" t="s">
        <v>2131</v>
      </c>
      <c r="N390" t="s">
        <v>1870</v>
      </c>
      <c r="O390" s="247" t="s">
        <v>1543</v>
      </c>
      <c r="Q390" s="3">
        <v>0</v>
      </c>
    </row>
    <row r="391" spans="1:17" x14ac:dyDescent="0.3">
      <c r="A391" s="249" t="s">
        <v>1870</v>
      </c>
      <c r="B391" s="246">
        <v>451</v>
      </c>
      <c r="C391" t="s">
        <v>1870</v>
      </c>
      <c r="D391" t="s">
        <v>1870</v>
      </c>
      <c r="E391" s="246" t="s">
        <v>22</v>
      </c>
      <c r="F391">
        <v>0</v>
      </c>
      <c r="G391" t="s">
        <v>1870</v>
      </c>
      <c r="H391" s="248" t="s">
        <v>1064</v>
      </c>
      <c r="I391" t="s">
        <v>1619</v>
      </c>
      <c r="J391" t="s">
        <v>1870</v>
      </c>
      <c r="K391" t="s">
        <v>1870</v>
      </c>
      <c r="L391" s="246" t="s">
        <v>1380</v>
      </c>
      <c r="M391" t="s">
        <v>2131</v>
      </c>
      <c r="N391" t="s">
        <v>1870</v>
      </c>
      <c r="O391" s="247" t="s">
        <v>1381</v>
      </c>
      <c r="P391" s="3">
        <v>812.3</v>
      </c>
      <c r="Q391" s="3">
        <v>1000</v>
      </c>
    </row>
    <row r="392" spans="1:17" x14ac:dyDescent="0.3">
      <c r="A392" s="249" t="s">
        <v>1870</v>
      </c>
      <c r="B392" s="246">
        <v>451</v>
      </c>
      <c r="C392" t="s">
        <v>1870</v>
      </c>
      <c r="D392" t="s">
        <v>1870</v>
      </c>
      <c r="E392" s="246" t="s">
        <v>22</v>
      </c>
      <c r="F392">
        <v>0</v>
      </c>
      <c r="G392" t="s">
        <v>1870</v>
      </c>
      <c r="H392" s="248" t="s">
        <v>1064</v>
      </c>
      <c r="I392" t="s">
        <v>1619</v>
      </c>
      <c r="J392" t="s">
        <v>1870</v>
      </c>
      <c r="K392" t="s">
        <v>1870</v>
      </c>
      <c r="L392" s="246" t="s">
        <v>1393</v>
      </c>
      <c r="M392" t="s">
        <v>2131</v>
      </c>
      <c r="N392" t="s">
        <v>1870</v>
      </c>
      <c r="O392" s="247" t="s">
        <v>2073</v>
      </c>
      <c r="Q392" s="3">
        <v>0</v>
      </c>
    </row>
    <row r="393" spans="1:17" x14ac:dyDescent="0.3">
      <c r="A393" s="249" t="s">
        <v>1870</v>
      </c>
      <c r="B393" s="246">
        <v>451</v>
      </c>
      <c r="C393" t="s">
        <v>1870</v>
      </c>
      <c r="D393" t="s">
        <v>1870</v>
      </c>
      <c r="E393" s="246" t="s">
        <v>81</v>
      </c>
      <c r="F393">
        <v>0</v>
      </c>
      <c r="G393" t="s">
        <v>1870</v>
      </c>
      <c r="H393" s="248" t="s">
        <v>1066</v>
      </c>
      <c r="I393" t="s">
        <v>1619</v>
      </c>
      <c r="J393" t="s">
        <v>1870</v>
      </c>
      <c r="K393" t="s">
        <v>1870</v>
      </c>
      <c r="L393" s="246" t="s">
        <v>1368</v>
      </c>
      <c r="M393" t="s">
        <v>2131</v>
      </c>
      <c r="N393" t="s">
        <v>1870</v>
      </c>
      <c r="O393" s="247" t="s">
        <v>1392</v>
      </c>
      <c r="P393" s="3">
        <v>333.2</v>
      </c>
      <c r="Q393" s="3">
        <v>0</v>
      </c>
    </row>
    <row r="394" spans="1:17" x14ac:dyDescent="0.3">
      <c r="A394" s="249" t="s">
        <v>1870</v>
      </c>
      <c r="B394" s="246">
        <v>451</v>
      </c>
      <c r="C394" t="s">
        <v>1870</v>
      </c>
      <c r="D394" t="s">
        <v>1870</v>
      </c>
      <c r="E394" s="246" t="s">
        <v>25</v>
      </c>
      <c r="F394">
        <v>0</v>
      </c>
      <c r="G394" t="s">
        <v>1870</v>
      </c>
      <c r="H394" s="248" t="s">
        <v>1068</v>
      </c>
      <c r="I394" t="s">
        <v>1619</v>
      </c>
      <c r="J394" t="s">
        <v>1870</v>
      </c>
      <c r="K394" t="s">
        <v>1870</v>
      </c>
      <c r="L394" s="246" t="s">
        <v>1678</v>
      </c>
      <c r="M394" t="s">
        <v>2131</v>
      </c>
      <c r="N394" t="s">
        <v>1870</v>
      </c>
      <c r="O394" s="247" t="s">
        <v>2028</v>
      </c>
      <c r="P394" s="3">
        <v>1275.3699999999999</v>
      </c>
      <c r="Q394" s="3">
        <v>2500</v>
      </c>
    </row>
    <row r="395" spans="1:17" x14ac:dyDescent="0.3">
      <c r="A395" s="249" t="s">
        <v>1870</v>
      </c>
      <c r="B395" s="246">
        <v>451</v>
      </c>
      <c r="C395" t="s">
        <v>1870</v>
      </c>
      <c r="D395" t="s">
        <v>1870</v>
      </c>
      <c r="E395" s="246" t="s">
        <v>159</v>
      </c>
      <c r="F395">
        <v>0</v>
      </c>
      <c r="G395" t="s">
        <v>1870</v>
      </c>
      <c r="H395" s="248" t="s">
        <v>1070</v>
      </c>
      <c r="I395" t="s">
        <v>1619</v>
      </c>
      <c r="J395" t="s">
        <v>1870</v>
      </c>
      <c r="K395" t="s">
        <v>1870</v>
      </c>
      <c r="L395" s="246" t="s">
        <v>1500</v>
      </c>
      <c r="M395" s="246" t="s">
        <v>2132</v>
      </c>
      <c r="N395" t="s">
        <v>1870</v>
      </c>
      <c r="O395" s="247" t="s">
        <v>1502</v>
      </c>
      <c r="P395" s="3">
        <v>1365.68</v>
      </c>
      <c r="Q395" s="3">
        <v>1600</v>
      </c>
    </row>
    <row r="396" spans="1:17" x14ac:dyDescent="0.3">
      <c r="A396" s="249" t="s">
        <v>1870</v>
      </c>
      <c r="B396" s="246">
        <v>451</v>
      </c>
      <c r="C396" t="s">
        <v>1870</v>
      </c>
      <c r="D396" t="s">
        <v>1870</v>
      </c>
      <c r="E396" s="246" t="s">
        <v>131</v>
      </c>
      <c r="F396">
        <v>0</v>
      </c>
      <c r="G396" t="s">
        <v>1870</v>
      </c>
      <c r="H396" s="248" t="s">
        <v>1072</v>
      </c>
      <c r="I396" t="s">
        <v>1619</v>
      </c>
      <c r="J396" t="s">
        <v>1870</v>
      </c>
      <c r="K396" t="s">
        <v>1870</v>
      </c>
      <c r="L396" s="246" t="s">
        <v>1678</v>
      </c>
      <c r="M396" s="246" t="s">
        <v>2131</v>
      </c>
      <c r="N396" t="s">
        <v>1870</v>
      </c>
      <c r="O396" s="247" t="s">
        <v>2028</v>
      </c>
      <c r="Q396" s="3">
        <v>5000</v>
      </c>
    </row>
    <row r="397" spans="1:17" x14ac:dyDescent="0.3">
      <c r="A397" s="249" t="s">
        <v>1870</v>
      </c>
      <c r="B397" s="246">
        <v>451</v>
      </c>
      <c r="C397" t="s">
        <v>1870</v>
      </c>
      <c r="D397" t="s">
        <v>1870</v>
      </c>
      <c r="E397" s="246" t="s">
        <v>1075</v>
      </c>
      <c r="F397">
        <v>0</v>
      </c>
      <c r="G397" t="s">
        <v>1870</v>
      </c>
      <c r="H397" s="248" t="s">
        <v>1074</v>
      </c>
      <c r="I397" t="s">
        <v>1619</v>
      </c>
      <c r="J397" t="s">
        <v>1870</v>
      </c>
      <c r="K397" t="s">
        <v>1870</v>
      </c>
      <c r="L397" s="246" t="s">
        <v>1679</v>
      </c>
      <c r="M397" t="s">
        <v>2131</v>
      </c>
      <c r="N397" t="s">
        <v>1870</v>
      </c>
      <c r="O397" s="247" t="s">
        <v>1680</v>
      </c>
      <c r="P397" s="3">
        <v>12000</v>
      </c>
      <c r="Q397" s="3">
        <v>12000</v>
      </c>
    </row>
    <row r="398" spans="1:17" x14ac:dyDescent="0.3">
      <c r="A398" s="249" t="s">
        <v>1870</v>
      </c>
      <c r="B398" s="246">
        <v>451</v>
      </c>
      <c r="C398" t="s">
        <v>1870</v>
      </c>
      <c r="D398" t="s">
        <v>1870</v>
      </c>
      <c r="E398" s="246" t="s">
        <v>48</v>
      </c>
      <c r="F398">
        <v>0</v>
      </c>
      <c r="G398" t="s">
        <v>1870</v>
      </c>
      <c r="H398" s="248" t="s">
        <v>1079</v>
      </c>
      <c r="I398" t="s">
        <v>1619</v>
      </c>
      <c r="J398" t="s">
        <v>1870</v>
      </c>
      <c r="K398" t="s">
        <v>1870</v>
      </c>
      <c r="L398" s="246" t="s">
        <v>1418</v>
      </c>
      <c r="M398" t="s">
        <v>2131</v>
      </c>
      <c r="N398" t="s">
        <v>1870</v>
      </c>
      <c r="O398" s="247" t="s">
        <v>2091</v>
      </c>
      <c r="P398" s="3">
        <v>362.9</v>
      </c>
      <c r="Q398" s="3">
        <v>370</v>
      </c>
    </row>
    <row r="399" spans="1:17" x14ac:dyDescent="0.3">
      <c r="A399" s="249" t="s">
        <v>1870</v>
      </c>
      <c r="B399" s="246">
        <v>451</v>
      </c>
      <c r="C399" t="s">
        <v>1870</v>
      </c>
      <c r="D399" t="s">
        <v>1870</v>
      </c>
      <c r="E399" s="246" t="s">
        <v>48</v>
      </c>
      <c r="F399">
        <v>0</v>
      </c>
      <c r="G399" t="s">
        <v>1870</v>
      </c>
      <c r="H399" s="248" t="s">
        <v>1077</v>
      </c>
      <c r="I399" s="7" t="s">
        <v>1619</v>
      </c>
      <c r="J399" t="s">
        <v>1870</v>
      </c>
      <c r="K399" t="s">
        <v>1870</v>
      </c>
      <c r="L399" s="246">
        <v>3130</v>
      </c>
      <c r="M399" s="246" t="s">
        <v>7</v>
      </c>
      <c r="N399" t="s">
        <v>1870</v>
      </c>
      <c r="O399" s="247" t="s">
        <v>1621</v>
      </c>
      <c r="P399" s="3">
        <v>43985.785000000003</v>
      </c>
      <c r="Q399" s="3">
        <v>36000</v>
      </c>
    </row>
    <row r="400" spans="1:17" x14ac:dyDescent="0.3">
      <c r="A400" s="249" t="s">
        <v>1870</v>
      </c>
      <c r="B400" s="246">
        <v>451</v>
      </c>
      <c r="C400" t="s">
        <v>1870</v>
      </c>
      <c r="D400" t="s">
        <v>1870</v>
      </c>
      <c r="E400" s="246" t="s">
        <v>48</v>
      </c>
      <c r="F400">
        <v>0</v>
      </c>
      <c r="G400" t="s">
        <v>1870</v>
      </c>
      <c r="H400" s="248" t="s">
        <v>1077</v>
      </c>
      <c r="I400" s="7" t="s">
        <v>1619</v>
      </c>
      <c r="J400" t="s">
        <v>1870</v>
      </c>
      <c r="K400" t="s">
        <v>1870</v>
      </c>
      <c r="L400" s="246">
        <v>3130</v>
      </c>
      <c r="M400" s="246" t="s">
        <v>204</v>
      </c>
      <c r="N400" t="s">
        <v>1870</v>
      </c>
      <c r="O400" s="247" t="s">
        <v>1623</v>
      </c>
      <c r="P400" s="3">
        <v>43985.785000000003</v>
      </c>
    </row>
    <row r="401" spans="1:17" x14ac:dyDescent="0.3">
      <c r="A401" s="249" t="s">
        <v>1870</v>
      </c>
      <c r="B401" s="246">
        <v>451</v>
      </c>
      <c r="C401" t="s">
        <v>1870</v>
      </c>
      <c r="D401" t="s">
        <v>1870</v>
      </c>
      <c r="E401" s="246" t="s">
        <v>48</v>
      </c>
      <c r="F401">
        <v>0</v>
      </c>
      <c r="G401" t="s">
        <v>1870</v>
      </c>
      <c r="H401" s="248" t="s">
        <v>1077</v>
      </c>
      <c r="I401" s="7" t="s">
        <v>1619</v>
      </c>
      <c r="J401" t="s">
        <v>1870</v>
      </c>
      <c r="K401" t="s">
        <v>1870</v>
      </c>
      <c r="L401" s="246" t="s">
        <v>1398</v>
      </c>
      <c r="M401" s="246" t="s">
        <v>2131</v>
      </c>
      <c r="N401" t="s">
        <v>1870</v>
      </c>
      <c r="O401" s="247" t="s">
        <v>2048</v>
      </c>
    </row>
    <row r="402" spans="1:17" x14ac:dyDescent="0.3">
      <c r="A402" s="249" t="s">
        <v>1870</v>
      </c>
      <c r="B402" s="246">
        <v>451</v>
      </c>
      <c r="C402" t="s">
        <v>1870</v>
      </c>
      <c r="D402" t="s">
        <v>1870</v>
      </c>
      <c r="E402" s="246" t="s">
        <v>48</v>
      </c>
      <c r="F402" s="246">
        <v>1</v>
      </c>
      <c r="G402" t="s">
        <v>1870</v>
      </c>
      <c r="H402" s="248" t="s">
        <v>1081</v>
      </c>
      <c r="I402" s="246" t="s">
        <v>1619</v>
      </c>
      <c r="J402" t="s">
        <v>1870</v>
      </c>
      <c r="K402" t="s">
        <v>1870</v>
      </c>
      <c r="L402" s="246">
        <v>3130</v>
      </c>
      <c r="M402" s="246" t="s">
        <v>7</v>
      </c>
      <c r="N402" t="s">
        <v>1870</v>
      </c>
      <c r="O402" s="247" t="s">
        <v>1621</v>
      </c>
      <c r="P402" s="3">
        <v>37424.18</v>
      </c>
      <c r="Q402" s="3">
        <v>75000</v>
      </c>
    </row>
    <row r="403" spans="1:17" x14ac:dyDescent="0.3">
      <c r="A403" s="249" t="s">
        <v>1870</v>
      </c>
      <c r="B403" s="246">
        <v>451</v>
      </c>
      <c r="C403" t="s">
        <v>1870</v>
      </c>
      <c r="D403" t="s">
        <v>1870</v>
      </c>
      <c r="E403" s="246" t="s">
        <v>48</v>
      </c>
      <c r="F403" s="246">
        <v>1</v>
      </c>
      <c r="G403" t="s">
        <v>1870</v>
      </c>
      <c r="H403" s="248" t="s">
        <v>1081</v>
      </c>
      <c r="I403" s="246" t="s">
        <v>1619</v>
      </c>
      <c r="J403" t="s">
        <v>1870</v>
      </c>
      <c r="K403" t="s">
        <v>1870</v>
      </c>
      <c r="L403" s="246">
        <v>3130</v>
      </c>
      <c r="M403" s="246" t="s">
        <v>204</v>
      </c>
      <c r="N403" t="s">
        <v>1870</v>
      </c>
      <c r="O403" s="247" t="s">
        <v>1623</v>
      </c>
      <c r="P403" s="3">
        <v>37424.18</v>
      </c>
    </row>
    <row r="404" spans="1:17" x14ac:dyDescent="0.3">
      <c r="A404" s="249" t="s">
        <v>1870</v>
      </c>
      <c r="B404" s="246">
        <v>451</v>
      </c>
      <c r="C404" t="s">
        <v>1870</v>
      </c>
      <c r="D404" t="s">
        <v>1870</v>
      </c>
      <c r="E404" s="246" t="s">
        <v>48</v>
      </c>
      <c r="F404" s="246">
        <v>1</v>
      </c>
      <c r="G404" t="s">
        <v>1870</v>
      </c>
      <c r="H404" s="248" t="s">
        <v>1081</v>
      </c>
      <c r="I404" s="246" t="s">
        <v>1619</v>
      </c>
      <c r="J404" t="s">
        <v>1870</v>
      </c>
      <c r="K404" t="s">
        <v>1870</v>
      </c>
      <c r="L404" s="246" t="s">
        <v>1398</v>
      </c>
      <c r="M404" s="246" t="s">
        <v>2131</v>
      </c>
      <c r="N404" t="s">
        <v>1870</v>
      </c>
      <c r="O404" s="247" t="s">
        <v>2048</v>
      </c>
    </row>
    <row r="405" spans="1:17" x14ac:dyDescent="0.3">
      <c r="A405" s="249" t="s">
        <v>1870</v>
      </c>
      <c r="B405" s="246">
        <v>451</v>
      </c>
      <c r="C405" t="s">
        <v>1870</v>
      </c>
      <c r="D405" t="s">
        <v>1870</v>
      </c>
      <c r="E405" s="246" t="s">
        <v>48</v>
      </c>
      <c r="F405" s="246">
        <v>2</v>
      </c>
      <c r="G405" t="s">
        <v>1870</v>
      </c>
      <c r="H405" s="248" t="s">
        <v>1083</v>
      </c>
      <c r="I405" s="246" t="s">
        <v>1619</v>
      </c>
      <c r="J405" t="s">
        <v>1870</v>
      </c>
      <c r="K405" t="s">
        <v>1870</v>
      </c>
      <c r="L405" s="246">
        <v>3130</v>
      </c>
      <c r="M405" s="246" t="s">
        <v>7</v>
      </c>
      <c r="N405" t="s">
        <v>1870</v>
      </c>
      <c r="O405" s="247" t="s">
        <v>1621</v>
      </c>
      <c r="P405" s="3">
        <v>6758.94</v>
      </c>
      <c r="Q405" s="3">
        <v>20000</v>
      </c>
    </row>
    <row r="406" spans="1:17" x14ac:dyDescent="0.3">
      <c r="A406" s="249" t="s">
        <v>1870</v>
      </c>
      <c r="B406" s="246">
        <v>451</v>
      </c>
      <c r="C406" t="s">
        <v>1870</v>
      </c>
      <c r="D406" t="s">
        <v>1870</v>
      </c>
      <c r="E406" s="246" t="s">
        <v>48</v>
      </c>
      <c r="F406" s="246">
        <v>2</v>
      </c>
      <c r="G406" t="s">
        <v>1870</v>
      </c>
      <c r="H406" s="248" t="s">
        <v>1083</v>
      </c>
      <c r="I406" s="246" t="s">
        <v>1619</v>
      </c>
      <c r="J406" t="s">
        <v>1870</v>
      </c>
      <c r="K406" t="s">
        <v>1870</v>
      </c>
      <c r="L406" s="246">
        <v>3130</v>
      </c>
      <c r="M406" s="246" t="s">
        <v>204</v>
      </c>
      <c r="N406" t="s">
        <v>1870</v>
      </c>
      <c r="O406" s="247" t="s">
        <v>1623</v>
      </c>
      <c r="P406" s="3">
        <v>6758.94</v>
      </c>
    </row>
    <row r="407" spans="1:17" x14ac:dyDescent="0.3">
      <c r="A407" s="249" t="s">
        <v>1870</v>
      </c>
      <c r="B407" s="246">
        <v>451</v>
      </c>
      <c r="C407" t="s">
        <v>1870</v>
      </c>
      <c r="D407" t="s">
        <v>1870</v>
      </c>
      <c r="E407" s="246" t="s">
        <v>48</v>
      </c>
      <c r="F407" s="246">
        <v>2</v>
      </c>
      <c r="G407" t="s">
        <v>1870</v>
      </c>
      <c r="H407" s="248" t="s">
        <v>1083</v>
      </c>
      <c r="I407" s="246" t="s">
        <v>1619</v>
      </c>
      <c r="J407" t="s">
        <v>1870</v>
      </c>
      <c r="K407" t="s">
        <v>1870</v>
      </c>
      <c r="L407" s="246" t="s">
        <v>1398</v>
      </c>
      <c r="M407" s="246" t="s">
        <v>2131</v>
      </c>
      <c r="N407" t="s">
        <v>1870</v>
      </c>
      <c r="O407" s="247" t="s">
        <v>2048</v>
      </c>
    </row>
    <row r="408" spans="1:17" x14ac:dyDescent="0.3">
      <c r="A408" s="249" t="s">
        <v>1870</v>
      </c>
      <c r="B408" s="246">
        <v>451</v>
      </c>
      <c r="C408" t="s">
        <v>1870</v>
      </c>
      <c r="D408" t="s">
        <v>1870</v>
      </c>
      <c r="E408" s="246" t="s">
        <v>48</v>
      </c>
      <c r="F408" s="246">
        <v>3</v>
      </c>
      <c r="G408" t="s">
        <v>1870</v>
      </c>
      <c r="H408" s="248" t="s">
        <v>1085</v>
      </c>
      <c r="I408" s="246" t="s">
        <v>1619</v>
      </c>
      <c r="J408" t="s">
        <v>1870</v>
      </c>
      <c r="K408" t="s">
        <v>1870</v>
      </c>
      <c r="L408" s="246">
        <v>3130</v>
      </c>
      <c r="M408" s="246" t="s">
        <v>7</v>
      </c>
      <c r="N408" t="s">
        <v>1870</v>
      </c>
      <c r="O408" s="247" t="s">
        <v>1621</v>
      </c>
      <c r="P408" s="3">
        <v>1520.7850000000001</v>
      </c>
      <c r="Q408" s="3">
        <v>4000</v>
      </c>
    </row>
    <row r="409" spans="1:17" x14ac:dyDescent="0.3">
      <c r="A409" s="249" t="s">
        <v>1870</v>
      </c>
      <c r="B409" s="246">
        <v>451</v>
      </c>
      <c r="C409" t="s">
        <v>1870</v>
      </c>
      <c r="D409" t="s">
        <v>1870</v>
      </c>
      <c r="E409" s="246" t="s">
        <v>48</v>
      </c>
      <c r="F409" s="246">
        <v>3</v>
      </c>
      <c r="G409" t="s">
        <v>1870</v>
      </c>
      <c r="H409" s="248" t="s">
        <v>1085</v>
      </c>
      <c r="I409" s="246" t="s">
        <v>1619</v>
      </c>
      <c r="J409" t="s">
        <v>1870</v>
      </c>
      <c r="K409" t="s">
        <v>1870</v>
      </c>
      <c r="L409" s="246">
        <v>3130</v>
      </c>
      <c r="M409" s="246" t="s">
        <v>204</v>
      </c>
      <c r="N409" t="s">
        <v>1870</v>
      </c>
      <c r="O409" s="247" t="s">
        <v>1623</v>
      </c>
      <c r="P409" s="3">
        <v>1520.7850000000001</v>
      </c>
    </row>
    <row r="410" spans="1:17" x14ac:dyDescent="0.3">
      <c r="A410" s="249" t="s">
        <v>1870</v>
      </c>
      <c r="B410" s="246">
        <v>451</v>
      </c>
      <c r="C410" t="s">
        <v>1870</v>
      </c>
      <c r="D410" t="s">
        <v>1870</v>
      </c>
      <c r="E410" s="246" t="s">
        <v>48</v>
      </c>
      <c r="F410" s="246">
        <v>3</v>
      </c>
      <c r="G410" t="s">
        <v>1870</v>
      </c>
      <c r="H410" s="248" t="s">
        <v>1085</v>
      </c>
      <c r="I410" s="246" t="s">
        <v>1619</v>
      </c>
      <c r="J410" t="s">
        <v>1870</v>
      </c>
      <c r="K410" t="s">
        <v>1870</v>
      </c>
      <c r="L410" s="246" t="s">
        <v>1398</v>
      </c>
      <c r="M410" s="246" t="s">
        <v>2131</v>
      </c>
      <c r="N410" t="s">
        <v>1870</v>
      </c>
      <c r="O410" s="247" t="s">
        <v>2048</v>
      </c>
    </row>
    <row r="411" spans="1:17" x14ac:dyDescent="0.3">
      <c r="A411" s="249" t="s">
        <v>1870</v>
      </c>
      <c r="B411" s="246">
        <v>451</v>
      </c>
      <c r="C411" t="s">
        <v>1870</v>
      </c>
      <c r="D411" t="s">
        <v>1870</v>
      </c>
      <c r="E411" s="246" t="s">
        <v>48</v>
      </c>
      <c r="F411" s="246">
        <v>4</v>
      </c>
      <c r="G411" t="s">
        <v>1870</v>
      </c>
      <c r="H411" s="248" t="s">
        <v>1087</v>
      </c>
      <c r="I411" s="246" t="s">
        <v>1619</v>
      </c>
      <c r="J411" t="s">
        <v>1870</v>
      </c>
      <c r="K411" t="s">
        <v>1870</v>
      </c>
      <c r="L411" s="246" t="s">
        <v>1397</v>
      </c>
      <c r="M411" s="246" t="s">
        <v>2131</v>
      </c>
      <c r="N411" t="s">
        <v>1870</v>
      </c>
      <c r="O411" s="247" t="s">
        <v>2129</v>
      </c>
      <c r="Q411" s="3">
        <v>0</v>
      </c>
    </row>
    <row r="412" spans="1:17" x14ac:dyDescent="0.3">
      <c r="A412" s="249" t="s">
        <v>1870</v>
      </c>
      <c r="B412" s="246">
        <v>451</v>
      </c>
      <c r="C412" t="s">
        <v>1870</v>
      </c>
      <c r="D412" t="s">
        <v>1870</v>
      </c>
      <c r="E412" s="7" t="s">
        <v>93</v>
      </c>
      <c r="F412" s="7">
        <v>0</v>
      </c>
      <c r="G412" t="s">
        <v>1870</v>
      </c>
      <c r="H412" t="s">
        <v>1089</v>
      </c>
      <c r="I412" s="7" t="s">
        <v>1489</v>
      </c>
      <c r="J412" t="s">
        <v>1870</v>
      </c>
      <c r="K412" t="s">
        <v>1870</v>
      </c>
      <c r="L412" s="7" t="s">
        <v>1489</v>
      </c>
      <c r="M412" s="7" t="s">
        <v>1489</v>
      </c>
      <c r="N412" t="s">
        <v>1870</v>
      </c>
      <c r="O412" t="s">
        <v>1489</v>
      </c>
      <c r="Q412" s="3">
        <v>0</v>
      </c>
    </row>
    <row r="413" spans="1:17" x14ac:dyDescent="0.3">
      <c r="A413" s="249" t="s">
        <v>1870</v>
      </c>
      <c r="B413" s="246">
        <v>451</v>
      </c>
      <c r="C413" t="s">
        <v>1870</v>
      </c>
      <c r="D413" t="s">
        <v>1870</v>
      </c>
      <c r="E413" s="7" t="s">
        <v>138</v>
      </c>
      <c r="F413">
        <v>0</v>
      </c>
      <c r="G413" t="s">
        <v>1870</v>
      </c>
      <c r="H413" t="s">
        <v>1091</v>
      </c>
      <c r="I413" t="s">
        <v>1489</v>
      </c>
      <c r="J413" t="s">
        <v>1870</v>
      </c>
      <c r="K413" t="s">
        <v>1870</v>
      </c>
      <c r="L413" t="s">
        <v>1489</v>
      </c>
      <c r="M413" t="s">
        <v>1489</v>
      </c>
      <c r="N413" t="s">
        <v>1870</v>
      </c>
      <c r="O413" t="s">
        <v>1489</v>
      </c>
      <c r="Q413" s="3">
        <v>0</v>
      </c>
    </row>
    <row r="414" spans="1:17" x14ac:dyDescent="0.3">
      <c r="A414" s="249" t="s">
        <v>1870</v>
      </c>
      <c r="B414" s="246">
        <v>451</v>
      </c>
      <c r="C414" t="s">
        <v>1870</v>
      </c>
      <c r="D414" t="s">
        <v>1870</v>
      </c>
      <c r="E414" s="7" t="s">
        <v>28</v>
      </c>
      <c r="F414">
        <v>0</v>
      </c>
      <c r="G414" t="s">
        <v>1870</v>
      </c>
      <c r="H414" t="s">
        <v>1093</v>
      </c>
      <c r="I414" t="s">
        <v>1489</v>
      </c>
      <c r="J414" t="s">
        <v>1870</v>
      </c>
      <c r="K414" t="s">
        <v>1870</v>
      </c>
      <c r="L414" t="s">
        <v>1489</v>
      </c>
      <c r="M414" t="s">
        <v>1489</v>
      </c>
      <c r="N414" t="s">
        <v>1870</v>
      </c>
      <c r="O414" t="s">
        <v>1489</v>
      </c>
      <c r="Q414" s="3">
        <v>0</v>
      </c>
    </row>
    <row r="415" spans="1:17" x14ac:dyDescent="0.3">
      <c r="A415" s="249" t="s">
        <v>1870</v>
      </c>
      <c r="B415" s="246">
        <v>451</v>
      </c>
      <c r="C415" t="s">
        <v>1870</v>
      </c>
      <c r="D415" t="s">
        <v>1870</v>
      </c>
      <c r="E415" s="7" t="s">
        <v>1096</v>
      </c>
      <c r="F415">
        <v>0</v>
      </c>
      <c r="G415" t="s">
        <v>1870</v>
      </c>
      <c r="H415" t="s">
        <v>1095</v>
      </c>
      <c r="I415" t="s">
        <v>1489</v>
      </c>
      <c r="J415" t="s">
        <v>1870</v>
      </c>
      <c r="K415" t="s">
        <v>1870</v>
      </c>
      <c r="L415" t="s">
        <v>1489</v>
      </c>
      <c r="M415" t="s">
        <v>1489</v>
      </c>
      <c r="N415" t="s">
        <v>1870</v>
      </c>
      <c r="O415" t="s">
        <v>1489</v>
      </c>
      <c r="Q415" s="3">
        <v>0</v>
      </c>
    </row>
    <row r="416" spans="1:17" x14ac:dyDescent="0.3">
      <c r="A416" s="249" t="s">
        <v>1870</v>
      </c>
      <c r="B416" s="246">
        <v>451</v>
      </c>
      <c r="C416" t="s">
        <v>1870</v>
      </c>
      <c r="D416" t="s">
        <v>1870</v>
      </c>
      <c r="E416" s="7" t="s">
        <v>1096</v>
      </c>
      <c r="F416" s="7">
        <v>1</v>
      </c>
      <c r="G416" t="s">
        <v>1870</v>
      </c>
      <c r="H416" t="s">
        <v>1098</v>
      </c>
      <c r="I416" t="s">
        <v>1489</v>
      </c>
      <c r="J416" t="s">
        <v>1870</v>
      </c>
      <c r="K416" t="s">
        <v>1870</v>
      </c>
      <c r="L416" t="s">
        <v>1489</v>
      </c>
      <c r="M416" t="s">
        <v>1489</v>
      </c>
      <c r="N416" t="s">
        <v>1870</v>
      </c>
      <c r="O416" t="s">
        <v>1489</v>
      </c>
      <c r="Q416" s="3">
        <v>0</v>
      </c>
    </row>
    <row r="417" spans="1:18" x14ac:dyDescent="0.3">
      <c r="A417" s="249" t="s">
        <v>1870</v>
      </c>
      <c r="B417" s="246">
        <v>451</v>
      </c>
      <c r="C417" t="s">
        <v>1870</v>
      </c>
      <c r="D417" t="s">
        <v>1870</v>
      </c>
      <c r="E417" s="246" t="s">
        <v>108</v>
      </c>
      <c r="F417" s="246">
        <v>0</v>
      </c>
      <c r="G417" t="s">
        <v>1870</v>
      </c>
      <c r="H417" s="248" t="s">
        <v>1100</v>
      </c>
      <c r="I417" s="7" t="s">
        <v>1619</v>
      </c>
      <c r="J417" t="s">
        <v>1870</v>
      </c>
      <c r="K417" t="s">
        <v>1870</v>
      </c>
      <c r="L417" s="246" t="s">
        <v>2126</v>
      </c>
      <c r="M417" s="7" t="s">
        <v>2131</v>
      </c>
      <c r="N417" t="s">
        <v>1870</v>
      </c>
      <c r="O417" s="247" t="s">
        <v>2127</v>
      </c>
      <c r="Q417" s="3">
        <v>0</v>
      </c>
    </row>
    <row r="418" spans="1:18" x14ac:dyDescent="0.3">
      <c r="A418" s="249" t="s">
        <v>1870</v>
      </c>
      <c r="B418" s="246">
        <v>451</v>
      </c>
      <c r="C418" t="s">
        <v>1870</v>
      </c>
      <c r="D418" t="s">
        <v>1870</v>
      </c>
      <c r="E418" s="246" t="s">
        <v>338</v>
      </c>
      <c r="F418">
        <v>0</v>
      </c>
      <c r="G418" t="s">
        <v>1870</v>
      </c>
      <c r="H418" s="248" t="s">
        <v>1102</v>
      </c>
      <c r="I418" t="s">
        <v>1619</v>
      </c>
      <c r="J418" t="s">
        <v>1870</v>
      </c>
      <c r="K418" t="s">
        <v>1870</v>
      </c>
      <c r="L418" s="246" t="s">
        <v>1487</v>
      </c>
      <c r="M418" t="s">
        <v>2131</v>
      </c>
      <c r="N418" t="s">
        <v>1870</v>
      </c>
      <c r="O418" s="247" t="s">
        <v>1685</v>
      </c>
      <c r="P418" s="3">
        <v>-209730.85</v>
      </c>
      <c r="Q418" s="3">
        <v>-210000</v>
      </c>
    </row>
    <row r="419" spans="1:18" x14ac:dyDescent="0.3">
      <c r="A419" s="249" t="s">
        <v>1870</v>
      </c>
      <c r="B419" s="246">
        <v>451</v>
      </c>
      <c r="C419" t="s">
        <v>1870</v>
      </c>
      <c r="D419" t="s">
        <v>1870</v>
      </c>
      <c r="E419" s="246" t="s">
        <v>338</v>
      </c>
      <c r="F419">
        <v>0</v>
      </c>
      <c r="G419" t="s">
        <v>1870</v>
      </c>
      <c r="H419" s="248" t="s">
        <v>1102</v>
      </c>
      <c r="I419" t="s">
        <v>1619</v>
      </c>
      <c r="J419" t="s">
        <v>1870</v>
      </c>
      <c r="K419" t="s">
        <v>1870</v>
      </c>
      <c r="L419" s="246" t="s">
        <v>1487</v>
      </c>
      <c r="M419" s="246" t="s">
        <v>2132</v>
      </c>
      <c r="N419" t="s">
        <v>1870</v>
      </c>
      <c r="O419" s="247" t="s">
        <v>1684</v>
      </c>
      <c r="Q419" s="3">
        <v>0</v>
      </c>
    </row>
    <row r="420" spans="1:18" x14ac:dyDescent="0.3">
      <c r="A420" s="249" t="s">
        <v>1870</v>
      </c>
      <c r="B420" s="246">
        <v>451</v>
      </c>
      <c r="C420" t="s">
        <v>1870</v>
      </c>
      <c r="D420" t="s">
        <v>1870</v>
      </c>
      <c r="E420" s="246" t="s">
        <v>58</v>
      </c>
      <c r="F420">
        <v>0</v>
      </c>
      <c r="G420" t="s">
        <v>1870</v>
      </c>
      <c r="H420" s="248" t="s">
        <v>1104</v>
      </c>
      <c r="I420" t="s">
        <v>1619</v>
      </c>
      <c r="J420" t="s">
        <v>1870</v>
      </c>
      <c r="K420" t="s">
        <v>1870</v>
      </c>
      <c r="L420" s="246" t="s">
        <v>1580</v>
      </c>
      <c r="M420" t="s">
        <v>2132</v>
      </c>
      <c r="N420" t="s">
        <v>1870</v>
      </c>
      <c r="O420" s="247" t="s">
        <v>1665</v>
      </c>
      <c r="P420" s="3">
        <v>-13301.62</v>
      </c>
      <c r="Q420" s="3">
        <v>-16000</v>
      </c>
    </row>
    <row r="421" spans="1:18" x14ac:dyDescent="0.3">
      <c r="A421" s="249" t="s">
        <v>1870</v>
      </c>
      <c r="B421" s="246">
        <v>451</v>
      </c>
      <c r="C421" t="s">
        <v>1870</v>
      </c>
      <c r="D421" t="s">
        <v>1870</v>
      </c>
      <c r="E421" s="246" t="s">
        <v>58</v>
      </c>
      <c r="F421" s="246">
        <v>1</v>
      </c>
      <c r="G421" t="s">
        <v>1870</v>
      </c>
      <c r="H421" s="248" t="s">
        <v>1106</v>
      </c>
      <c r="I421" t="s">
        <v>1619</v>
      </c>
      <c r="J421" t="s">
        <v>1870</v>
      </c>
      <c r="K421" t="s">
        <v>1870</v>
      </c>
      <c r="L421" s="246" t="s">
        <v>2126</v>
      </c>
      <c r="M421" s="246" t="s">
        <v>2131</v>
      </c>
      <c r="N421" t="s">
        <v>1870</v>
      </c>
      <c r="O421" s="247" t="s">
        <v>2127</v>
      </c>
      <c r="Q421" s="3">
        <v>0</v>
      </c>
    </row>
    <row r="422" spans="1:18" x14ac:dyDescent="0.3">
      <c r="A422" s="249" t="s">
        <v>1870</v>
      </c>
      <c r="B422" s="246">
        <v>451</v>
      </c>
      <c r="C422" t="s">
        <v>1870</v>
      </c>
      <c r="D422" t="s">
        <v>1870</v>
      </c>
      <c r="E422" s="246" t="s">
        <v>61</v>
      </c>
      <c r="F422" s="246">
        <v>0</v>
      </c>
      <c r="G422" t="s">
        <v>1870</v>
      </c>
      <c r="H422" s="248" t="s">
        <v>1108</v>
      </c>
      <c r="I422" s="246" t="s">
        <v>1587</v>
      </c>
      <c r="J422" t="s">
        <v>1870</v>
      </c>
      <c r="K422" t="s">
        <v>1870</v>
      </c>
      <c r="L422" s="246" t="s">
        <v>1410</v>
      </c>
      <c r="M422" s="246" t="s">
        <v>2138</v>
      </c>
      <c r="N422" t="s">
        <v>1870</v>
      </c>
      <c r="O422" s="247" t="s">
        <v>1424</v>
      </c>
      <c r="P422" s="3">
        <v>-245.35</v>
      </c>
      <c r="Q422" s="3">
        <v>0</v>
      </c>
    </row>
    <row r="423" spans="1:18" x14ac:dyDescent="0.3">
      <c r="A423" s="249" t="s">
        <v>1870</v>
      </c>
      <c r="B423" s="246">
        <v>451</v>
      </c>
      <c r="C423" t="s">
        <v>1870</v>
      </c>
      <c r="D423" t="s">
        <v>1870</v>
      </c>
      <c r="E423" s="7" t="s">
        <v>1111</v>
      </c>
      <c r="F423">
        <v>0</v>
      </c>
      <c r="G423" t="s">
        <v>1870</v>
      </c>
      <c r="H423" t="s">
        <v>1110</v>
      </c>
      <c r="I423" s="7" t="s">
        <v>1489</v>
      </c>
      <c r="J423" t="s">
        <v>1870</v>
      </c>
      <c r="K423" t="s">
        <v>1870</v>
      </c>
      <c r="L423" s="7" t="s">
        <v>1489</v>
      </c>
      <c r="M423" s="7" t="s">
        <v>1489</v>
      </c>
      <c r="N423" t="s">
        <v>1870</v>
      </c>
      <c r="O423" t="s">
        <v>1489</v>
      </c>
      <c r="Q423" s="3">
        <v>0</v>
      </c>
    </row>
    <row r="424" spans="1:18" x14ac:dyDescent="0.3">
      <c r="A424" s="249" t="s">
        <v>1870</v>
      </c>
      <c r="B424" s="246">
        <v>451</v>
      </c>
      <c r="C424" t="s">
        <v>1870</v>
      </c>
      <c r="D424" t="s">
        <v>1870</v>
      </c>
      <c r="E424" s="246" t="s">
        <v>144</v>
      </c>
      <c r="F424">
        <v>0</v>
      </c>
      <c r="G424" t="s">
        <v>1870</v>
      </c>
      <c r="H424" s="248" t="s">
        <v>1113</v>
      </c>
      <c r="I424" s="246" t="s">
        <v>1619</v>
      </c>
      <c r="J424" t="s">
        <v>1870</v>
      </c>
      <c r="K424" t="s">
        <v>1870</v>
      </c>
      <c r="L424" s="246" t="s">
        <v>1686</v>
      </c>
      <c r="M424" s="246" t="s">
        <v>2131</v>
      </c>
      <c r="N424" t="s">
        <v>1870</v>
      </c>
      <c r="O424" s="247" t="s">
        <v>1687</v>
      </c>
      <c r="P424" s="3">
        <v>-44608.46</v>
      </c>
      <c r="Q424" s="3">
        <v>-10960</v>
      </c>
    </row>
    <row r="425" spans="1:18" x14ac:dyDescent="0.3">
      <c r="A425" s="249" t="s">
        <v>1870</v>
      </c>
      <c r="B425" s="246">
        <v>451</v>
      </c>
      <c r="C425" t="s">
        <v>1870</v>
      </c>
      <c r="D425" t="s">
        <v>1870</v>
      </c>
      <c r="E425" s="7" t="s">
        <v>67</v>
      </c>
      <c r="F425">
        <v>0</v>
      </c>
      <c r="G425" t="s">
        <v>1870</v>
      </c>
      <c r="H425" t="s">
        <v>1115</v>
      </c>
      <c r="I425" s="7" t="s">
        <v>1489</v>
      </c>
      <c r="J425" t="s">
        <v>1870</v>
      </c>
      <c r="K425" t="s">
        <v>1870</v>
      </c>
      <c r="L425" s="7" t="s">
        <v>1489</v>
      </c>
      <c r="M425" s="7" t="s">
        <v>1489</v>
      </c>
      <c r="N425" t="s">
        <v>1870</v>
      </c>
      <c r="O425" t="s">
        <v>1489</v>
      </c>
      <c r="Q425" s="3">
        <v>0</v>
      </c>
    </row>
    <row r="426" spans="1:18" x14ac:dyDescent="0.3">
      <c r="A426" s="249" t="s">
        <v>1870</v>
      </c>
      <c r="B426" s="246">
        <v>452</v>
      </c>
      <c r="C426" t="s">
        <v>1870</v>
      </c>
      <c r="D426" t="s">
        <v>1870</v>
      </c>
      <c r="E426" s="246" t="s">
        <v>48</v>
      </c>
      <c r="F426">
        <v>0</v>
      </c>
      <c r="G426" t="s">
        <v>1870</v>
      </c>
      <c r="H426" s="248" t="s">
        <v>1117</v>
      </c>
      <c r="I426" s="7" t="s">
        <v>1619</v>
      </c>
      <c r="J426" t="s">
        <v>1870</v>
      </c>
      <c r="K426" t="s">
        <v>1870</v>
      </c>
      <c r="L426" s="246">
        <v>3130</v>
      </c>
      <c r="M426" s="246" t="s">
        <v>7</v>
      </c>
      <c r="N426" t="s">
        <v>1870</v>
      </c>
      <c r="O426" s="247" t="s">
        <v>1621</v>
      </c>
      <c r="P426" s="3">
        <v>2339.4749999999999</v>
      </c>
      <c r="Q426" s="3">
        <v>500</v>
      </c>
    </row>
    <row r="427" spans="1:18" x14ac:dyDescent="0.3">
      <c r="A427" s="249" t="s">
        <v>1870</v>
      </c>
      <c r="B427" s="246">
        <v>452</v>
      </c>
      <c r="C427" t="s">
        <v>1870</v>
      </c>
      <c r="D427" t="s">
        <v>1870</v>
      </c>
      <c r="E427" s="246" t="s">
        <v>48</v>
      </c>
      <c r="F427">
        <v>0</v>
      </c>
      <c r="G427" t="s">
        <v>1870</v>
      </c>
      <c r="H427" s="248" t="s">
        <v>1117</v>
      </c>
      <c r="I427" s="7" t="s">
        <v>1619</v>
      </c>
      <c r="J427" t="s">
        <v>1870</v>
      </c>
      <c r="K427" t="s">
        <v>1870</v>
      </c>
      <c r="L427" s="246">
        <v>3130</v>
      </c>
      <c r="M427" s="246" t="s">
        <v>204</v>
      </c>
      <c r="N427" t="s">
        <v>1870</v>
      </c>
      <c r="O427" s="247" t="s">
        <v>1623</v>
      </c>
      <c r="P427" s="3">
        <v>2339.4749999999999</v>
      </c>
    </row>
    <row r="428" spans="1:18" x14ac:dyDescent="0.3">
      <c r="A428" s="249" t="s">
        <v>1870</v>
      </c>
      <c r="B428" s="246">
        <v>452</v>
      </c>
      <c r="C428" t="s">
        <v>1870</v>
      </c>
      <c r="D428" t="s">
        <v>1870</v>
      </c>
      <c r="E428" s="246" t="s">
        <v>48</v>
      </c>
      <c r="F428">
        <v>0</v>
      </c>
      <c r="G428" t="s">
        <v>1870</v>
      </c>
      <c r="H428" s="248" t="s">
        <v>1117</v>
      </c>
      <c r="I428" s="7" t="s">
        <v>1619</v>
      </c>
      <c r="J428" t="s">
        <v>1870</v>
      </c>
      <c r="K428" t="s">
        <v>1870</v>
      </c>
      <c r="L428" s="246" t="s">
        <v>1398</v>
      </c>
      <c r="M428" s="246" t="s">
        <v>2131</v>
      </c>
      <c r="N428" t="s">
        <v>1870</v>
      </c>
      <c r="O428" s="247" t="s">
        <v>2048</v>
      </c>
    </row>
    <row r="429" spans="1:18" x14ac:dyDescent="0.3">
      <c r="A429" s="249" t="s">
        <v>1870</v>
      </c>
      <c r="B429" s="246">
        <v>452</v>
      </c>
      <c r="C429" t="s">
        <v>1870</v>
      </c>
      <c r="D429" t="s">
        <v>1870</v>
      </c>
      <c r="E429" s="246" t="s">
        <v>48</v>
      </c>
      <c r="F429" s="7">
        <v>1</v>
      </c>
      <c r="G429" t="s">
        <v>1870</v>
      </c>
      <c r="H429" t="s">
        <v>1119</v>
      </c>
      <c r="I429" s="7" t="s">
        <v>1489</v>
      </c>
      <c r="J429" t="s">
        <v>1870</v>
      </c>
      <c r="K429" t="s">
        <v>1870</v>
      </c>
      <c r="L429" s="7" t="s">
        <v>1489</v>
      </c>
      <c r="M429" s="7" t="s">
        <v>1489</v>
      </c>
      <c r="N429" t="s">
        <v>1870</v>
      </c>
      <c r="O429" t="s">
        <v>1675</v>
      </c>
      <c r="P429" s="3">
        <v>3245.23</v>
      </c>
      <c r="Q429" s="3">
        <v>3000</v>
      </c>
    </row>
    <row r="430" spans="1:18" x14ac:dyDescent="0.3">
      <c r="A430" s="249" t="s">
        <v>1870</v>
      </c>
      <c r="B430" s="246">
        <v>452</v>
      </c>
      <c r="C430" t="s">
        <v>1870</v>
      </c>
      <c r="D430" t="s">
        <v>1870</v>
      </c>
      <c r="E430" s="246" t="s">
        <v>48</v>
      </c>
      <c r="F430" s="246">
        <v>2</v>
      </c>
      <c r="G430" t="s">
        <v>1870</v>
      </c>
      <c r="H430" s="248" t="s">
        <v>1121</v>
      </c>
      <c r="I430" s="246" t="s">
        <v>1688</v>
      </c>
      <c r="J430" t="s">
        <v>1870</v>
      </c>
      <c r="K430" t="s">
        <v>1870</v>
      </c>
      <c r="L430" s="246" t="s">
        <v>1390</v>
      </c>
      <c r="M430" s="246" t="s">
        <v>7</v>
      </c>
      <c r="N430" t="s">
        <v>1870</v>
      </c>
      <c r="O430" s="247" t="s">
        <v>1677</v>
      </c>
      <c r="P430" s="3">
        <v>5517.71</v>
      </c>
      <c r="Q430" s="3">
        <v>6500</v>
      </c>
    </row>
    <row r="431" spans="1:18" x14ac:dyDescent="0.3">
      <c r="A431" s="249" t="s">
        <v>1870</v>
      </c>
      <c r="B431" s="246">
        <v>452</v>
      </c>
      <c r="C431" t="s">
        <v>1870</v>
      </c>
      <c r="D431" t="s">
        <v>1870</v>
      </c>
      <c r="E431" s="7" t="s">
        <v>61</v>
      </c>
      <c r="F431" s="7">
        <v>1</v>
      </c>
      <c r="G431" t="s">
        <v>1870</v>
      </c>
      <c r="H431" t="s">
        <v>1123</v>
      </c>
      <c r="I431" s="7" t="s">
        <v>1489</v>
      </c>
      <c r="J431" t="s">
        <v>1870</v>
      </c>
      <c r="K431" t="s">
        <v>1870</v>
      </c>
      <c r="L431" s="7" t="s">
        <v>1489</v>
      </c>
      <c r="M431" s="7" t="s">
        <v>1489</v>
      </c>
      <c r="N431" t="s">
        <v>1870</v>
      </c>
      <c r="O431" t="s">
        <v>1675</v>
      </c>
      <c r="P431" s="3">
        <v>-3124.85</v>
      </c>
      <c r="Q431" s="3">
        <v>-2100</v>
      </c>
    </row>
    <row r="432" spans="1:18" x14ac:dyDescent="0.3">
      <c r="A432" s="249" t="s">
        <v>1870</v>
      </c>
      <c r="B432" s="246">
        <v>460</v>
      </c>
      <c r="C432" t="s">
        <v>1870</v>
      </c>
      <c r="D432" t="s">
        <v>1870</v>
      </c>
      <c r="E432" s="246" t="s">
        <v>3</v>
      </c>
      <c r="F432" s="246">
        <v>0</v>
      </c>
      <c r="G432" t="s">
        <v>1870</v>
      </c>
      <c r="H432" s="248" t="s">
        <v>1126</v>
      </c>
      <c r="I432" s="246" t="s">
        <v>1587</v>
      </c>
      <c r="J432" t="s">
        <v>1870</v>
      </c>
      <c r="K432" t="s">
        <v>1870</v>
      </c>
      <c r="L432" s="246" t="s">
        <v>1410</v>
      </c>
      <c r="M432" s="246" t="s">
        <v>2131</v>
      </c>
      <c r="N432" t="s">
        <v>1870</v>
      </c>
      <c r="O432" s="247" t="s">
        <v>1411</v>
      </c>
      <c r="P432" s="3">
        <v>5826.8</v>
      </c>
      <c r="Q432" s="3">
        <v>6100</v>
      </c>
      <c r="R432" s="3">
        <v>0</v>
      </c>
    </row>
    <row r="433" spans="1:17" x14ac:dyDescent="0.3">
      <c r="A433" s="249" t="s">
        <v>1870</v>
      </c>
      <c r="B433" s="246">
        <v>460</v>
      </c>
      <c r="C433" t="s">
        <v>1870</v>
      </c>
      <c r="D433" t="s">
        <v>1870</v>
      </c>
      <c r="E433" s="246" t="s">
        <v>3</v>
      </c>
      <c r="F433" s="246">
        <v>0</v>
      </c>
      <c r="G433" t="s">
        <v>1870</v>
      </c>
      <c r="H433" s="248" t="s">
        <v>1126</v>
      </c>
      <c r="I433" s="246" t="s">
        <v>1587</v>
      </c>
      <c r="J433" t="s">
        <v>1870</v>
      </c>
      <c r="K433" t="s">
        <v>1870</v>
      </c>
      <c r="L433" s="246" t="s">
        <v>1410</v>
      </c>
      <c r="M433" s="246" t="s">
        <v>2138</v>
      </c>
      <c r="N433" t="s">
        <v>1870</v>
      </c>
      <c r="O433" s="247" t="s">
        <v>1424</v>
      </c>
      <c r="Q433" s="3">
        <v>0</v>
      </c>
    </row>
    <row r="434" spans="1:17" x14ac:dyDescent="0.3">
      <c r="A434" s="249" t="s">
        <v>1870</v>
      </c>
      <c r="B434" s="246">
        <v>460</v>
      </c>
      <c r="C434" t="s">
        <v>1870</v>
      </c>
      <c r="D434" t="s">
        <v>1870</v>
      </c>
      <c r="E434" s="246" t="s">
        <v>16</v>
      </c>
      <c r="F434">
        <v>0</v>
      </c>
      <c r="G434" t="s">
        <v>1870</v>
      </c>
      <c r="H434" s="248" t="s">
        <v>1128</v>
      </c>
      <c r="I434" t="s">
        <v>1587</v>
      </c>
      <c r="J434" t="s">
        <v>1870</v>
      </c>
      <c r="K434" t="s">
        <v>1870</v>
      </c>
      <c r="L434" s="246" t="s">
        <v>1367</v>
      </c>
      <c r="M434" s="246" t="s">
        <v>2131</v>
      </c>
      <c r="N434" t="s">
        <v>1870</v>
      </c>
      <c r="O434" s="247" t="s">
        <v>1378</v>
      </c>
      <c r="P434" s="3">
        <v>398.6</v>
      </c>
      <c r="Q434" s="3">
        <v>500</v>
      </c>
    </row>
    <row r="435" spans="1:17" x14ac:dyDescent="0.3">
      <c r="A435" s="249" t="s">
        <v>1870</v>
      </c>
      <c r="B435" s="246">
        <v>460</v>
      </c>
      <c r="C435" t="s">
        <v>1870</v>
      </c>
      <c r="D435" t="s">
        <v>1870</v>
      </c>
      <c r="E435" s="246" t="s">
        <v>16</v>
      </c>
      <c r="F435">
        <v>0</v>
      </c>
      <c r="G435" t="s">
        <v>1870</v>
      </c>
      <c r="H435" s="248" t="s">
        <v>1128</v>
      </c>
      <c r="I435" t="s">
        <v>1587</v>
      </c>
      <c r="J435" t="s">
        <v>1870</v>
      </c>
      <c r="K435" t="s">
        <v>1870</v>
      </c>
      <c r="L435" s="246" t="s">
        <v>1413</v>
      </c>
      <c r="M435" t="s">
        <v>2131</v>
      </c>
      <c r="N435" t="s">
        <v>1870</v>
      </c>
      <c r="O435" s="247" t="s">
        <v>1414</v>
      </c>
      <c r="Q435" s="3">
        <v>0</v>
      </c>
    </row>
    <row r="436" spans="1:17" x14ac:dyDescent="0.3">
      <c r="A436" s="249" t="s">
        <v>1870</v>
      </c>
      <c r="B436" s="246">
        <v>460</v>
      </c>
      <c r="C436" t="s">
        <v>1870</v>
      </c>
      <c r="D436" t="s">
        <v>1870</v>
      </c>
      <c r="E436" s="246" t="s">
        <v>38</v>
      </c>
      <c r="F436">
        <v>0</v>
      </c>
      <c r="G436" t="s">
        <v>1870</v>
      </c>
      <c r="H436" s="248" t="s">
        <v>1130</v>
      </c>
      <c r="I436" t="s">
        <v>1587</v>
      </c>
      <c r="J436" t="s">
        <v>1870</v>
      </c>
      <c r="K436" t="s">
        <v>1870</v>
      </c>
      <c r="L436" s="246" t="s">
        <v>1386</v>
      </c>
      <c r="M436" t="s">
        <v>2131</v>
      </c>
      <c r="N436" t="s">
        <v>1870</v>
      </c>
      <c r="O436" s="247" t="s">
        <v>1387</v>
      </c>
      <c r="P436" s="3">
        <v>422.7</v>
      </c>
      <c r="Q436" s="3">
        <v>600</v>
      </c>
    </row>
    <row r="437" spans="1:17" x14ac:dyDescent="0.3">
      <c r="A437" s="249" t="s">
        <v>1870</v>
      </c>
      <c r="B437" s="246">
        <v>460</v>
      </c>
      <c r="C437" t="s">
        <v>1870</v>
      </c>
      <c r="D437" t="s">
        <v>1870</v>
      </c>
      <c r="E437" s="246" t="s">
        <v>19</v>
      </c>
      <c r="F437">
        <v>0</v>
      </c>
      <c r="G437" t="s">
        <v>1870</v>
      </c>
      <c r="H437" s="248" t="s">
        <v>1132</v>
      </c>
      <c r="I437" t="s">
        <v>1587</v>
      </c>
      <c r="J437" t="s">
        <v>1870</v>
      </c>
      <c r="K437" t="s">
        <v>1870</v>
      </c>
      <c r="L437" s="246" t="s">
        <v>1375</v>
      </c>
      <c r="M437" t="s">
        <v>2131</v>
      </c>
      <c r="N437" t="s">
        <v>1870</v>
      </c>
      <c r="O437" s="247" t="s">
        <v>1379</v>
      </c>
      <c r="P437" s="3">
        <v>102.05</v>
      </c>
      <c r="Q437" s="3">
        <v>135</v>
      </c>
    </row>
    <row r="438" spans="1:17" x14ac:dyDescent="0.3">
      <c r="A438" s="249" t="s">
        <v>1870</v>
      </c>
      <c r="B438" s="246">
        <v>460</v>
      </c>
      <c r="C438" t="s">
        <v>1870</v>
      </c>
      <c r="D438" t="s">
        <v>1870</v>
      </c>
      <c r="E438" s="246" t="s">
        <v>22</v>
      </c>
      <c r="F438">
        <v>0</v>
      </c>
      <c r="G438" t="s">
        <v>1870</v>
      </c>
      <c r="H438" s="248" t="s">
        <v>1134</v>
      </c>
      <c r="I438" t="s">
        <v>1587</v>
      </c>
      <c r="J438" t="s">
        <v>1870</v>
      </c>
      <c r="K438" t="s">
        <v>1870</v>
      </c>
      <c r="L438" s="246" t="s">
        <v>1382</v>
      </c>
      <c r="M438" t="s">
        <v>2131</v>
      </c>
      <c r="N438" t="s">
        <v>1870</v>
      </c>
      <c r="O438" s="247" t="s">
        <v>1383</v>
      </c>
      <c r="Q438" s="3">
        <v>0</v>
      </c>
    </row>
    <row r="439" spans="1:17" x14ac:dyDescent="0.3">
      <c r="A439" s="249" t="s">
        <v>1870</v>
      </c>
      <c r="B439" s="246">
        <v>460</v>
      </c>
      <c r="C439" t="s">
        <v>1870</v>
      </c>
      <c r="D439" t="s">
        <v>1870</v>
      </c>
      <c r="E439" s="246" t="s">
        <v>22</v>
      </c>
      <c r="F439">
        <v>0</v>
      </c>
      <c r="G439" t="s">
        <v>1870</v>
      </c>
      <c r="H439" s="248" t="s">
        <v>1134</v>
      </c>
      <c r="I439" t="s">
        <v>1587</v>
      </c>
      <c r="J439" t="s">
        <v>1870</v>
      </c>
      <c r="K439" t="s">
        <v>1870</v>
      </c>
      <c r="L439" s="246" t="s">
        <v>1368</v>
      </c>
      <c r="M439" t="s">
        <v>2131</v>
      </c>
      <c r="N439" t="s">
        <v>1870</v>
      </c>
      <c r="O439" s="247" t="s">
        <v>1392</v>
      </c>
      <c r="Q439" s="3">
        <v>0</v>
      </c>
    </row>
    <row r="440" spans="1:17" x14ac:dyDescent="0.3">
      <c r="A440" s="249" t="s">
        <v>1870</v>
      </c>
      <c r="B440" s="246">
        <v>460</v>
      </c>
      <c r="C440" t="s">
        <v>1870</v>
      </c>
      <c r="D440" t="s">
        <v>1870</v>
      </c>
      <c r="E440" s="246" t="s">
        <v>22</v>
      </c>
      <c r="F440">
        <v>0</v>
      </c>
      <c r="G440" t="s">
        <v>1870</v>
      </c>
      <c r="H440" s="248" t="s">
        <v>1134</v>
      </c>
      <c r="I440" t="s">
        <v>1587</v>
      </c>
      <c r="J440" t="s">
        <v>1870</v>
      </c>
      <c r="K440" t="s">
        <v>1870</v>
      </c>
      <c r="L440" s="246" t="s">
        <v>1540</v>
      </c>
      <c r="M440" t="s">
        <v>2131</v>
      </c>
      <c r="N440" t="s">
        <v>1870</v>
      </c>
      <c r="O440" s="247" t="s">
        <v>1543</v>
      </c>
      <c r="Q440" s="3">
        <v>0</v>
      </c>
    </row>
    <row r="441" spans="1:17" x14ac:dyDescent="0.3">
      <c r="A441" s="249" t="s">
        <v>1870</v>
      </c>
      <c r="B441" s="246">
        <v>460</v>
      </c>
      <c r="C441" t="s">
        <v>1870</v>
      </c>
      <c r="D441" t="s">
        <v>1870</v>
      </c>
      <c r="E441" s="246" t="s">
        <v>22</v>
      </c>
      <c r="F441">
        <v>0</v>
      </c>
      <c r="G441" t="s">
        <v>1870</v>
      </c>
      <c r="H441" s="248" t="s">
        <v>1134</v>
      </c>
      <c r="I441" t="s">
        <v>1587</v>
      </c>
      <c r="J441" t="s">
        <v>1870</v>
      </c>
      <c r="K441" t="s">
        <v>1870</v>
      </c>
      <c r="L441" s="246" t="s">
        <v>1380</v>
      </c>
      <c r="M441" t="s">
        <v>2131</v>
      </c>
      <c r="N441" t="s">
        <v>1870</v>
      </c>
      <c r="O441" s="247" t="s">
        <v>1381</v>
      </c>
      <c r="Q441" s="3">
        <v>0</v>
      </c>
    </row>
    <row r="442" spans="1:17" x14ac:dyDescent="0.3">
      <c r="A442" s="249" t="s">
        <v>1870</v>
      </c>
      <c r="B442" s="246">
        <v>460</v>
      </c>
      <c r="C442" t="s">
        <v>1870</v>
      </c>
      <c r="D442" t="s">
        <v>1870</v>
      </c>
      <c r="E442" s="246" t="s">
        <v>22</v>
      </c>
      <c r="F442">
        <v>0</v>
      </c>
      <c r="G442" t="s">
        <v>1870</v>
      </c>
      <c r="H442" s="248" t="s">
        <v>1134</v>
      </c>
      <c r="I442" t="s">
        <v>1587</v>
      </c>
      <c r="J442" t="s">
        <v>1870</v>
      </c>
      <c r="K442" t="s">
        <v>1870</v>
      </c>
      <c r="L442" s="246" t="s">
        <v>1393</v>
      </c>
      <c r="M442" t="s">
        <v>2131</v>
      </c>
      <c r="N442" t="s">
        <v>1870</v>
      </c>
      <c r="O442" s="247" t="s">
        <v>2073</v>
      </c>
      <c r="Q442" s="3">
        <v>0</v>
      </c>
    </row>
    <row r="443" spans="1:17" x14ac:dyDescent="0.3">
      <c r="A443" s="249" t="s">
        <v>1870</v>
      </c>
      <c r="B443" s="246">
        <v>460</v>
      </c>
      <c r="C443" t="s">
        <v>1870</v>
      </c>
      <c r="D443" t="s">
        <v>1870</v>
      </c>
      <c r="E443" s="7" t="s">
        <v>25</v>
      </c>
      <c r="F443">
        <v>0</v>
      </c>
      <c r="G443" t="s">
        <v>1870</v>
      </c>
      <c r="H443" t="s">
        <v>1136</v>
      </c>
      <c r="I443" s="7" t="s">
        <v>1489</v>
      </c>
      <c r="J443" t="s">
        <v>1870</v>
      </c>
      <c r="K443" t="s">
        <v>1870</v>
      </c>
      <c r="L443" s="7" t="s">
        <v>1489</v>
      </c>
      <c r="M443" s="7" t="s">
        <v>1489</v>
      </c>
      <c r="N443" t="s">
        <v>1870</v>
      </c>
      <c r="O443" t="s">
        <v>1489</v>
      </c>
      <c r="Q443" s="3">
        <v>0</v>
      </c>
    </row>
    <row r="444" spans="1:17" x14ac:dyDescent="0.3">
      <c r="A444" s="249" t="s">
        <v>1870</v>
      </c>
      <c r="B444" s="246">
        <v>460</v>
      </c>
      <c r="C444" t="s">
        <v>1870</v>
      </c>
      <c r="D444" t="s">
        <v>1870</v>
      </c>
      <c r="E444" s="246" t="s">
        <v>159</v>
      </c>
      <c r="F444">
        <v>0</v>
      </c>
      <c r="G444" t="s">
        <v>1870</v>
      </c>
      <c r="H444" s="248" t="s">
        <v>1138</v>
      </c>
      <c r="I444" s="246" t="s">
        <v>1689</v>
      </c>
      <c r="J444" t="s">
        <v>1870</v>
      </c>
      <c r="K444" t="s">
        <v>1870</v>
      </c>
      <c r="L444" s="246" t="s">
        <v>1500</v>
      </c>
      <c r="M444" s="246" t="s">
        <v>2132</v>
      </c>
      <c r="N444" t="s">
        <v>1870</v>
      </c>
      <c r="O444" s="247" t="s">
        <v>1502</v>
      </c>
      <c r="P444" s="3">
        <v>141.01</v>
      </c>
      <c r="Q444" s="3">
        <v>0</v>
      </c>
    </row>
    <row r="445" spans="1:17" x14ac:dyDescent="0.3">
      <c r="A445" s="249" t="s">
        <v>1870</v>
      </c>
      <c r="B445" s="246">
        <v>460</v>
      </c>
      <c r="C445" t="s">
        <v>1870</v>
      </c>
      <c r="D445" t="s">
        <v>1870</v>
      </c>
      <c r="E445" s="7" t="s">
        <v>439</v>
      </c>
      <c r="F445">
        <v>0</v>
      </c>
      <c r="G445" t="s">
        <v>1870</v>
      </c>
      <c r="H445" t="s">
        <v>1140</v>
      </c>
      <c r="I445" s="7" t="s">
        <v>1489</v>
      </c>
      <c r="J445" t="s">
        <v>1870</v>
      </c>
      <c r="K445" t="s">
        <v>1870</v>
      </c>
      <c r="L445" s="7" t="s">
        <v>1489</v>
      </c>
      <c r="M445" s="7" t="s">
        <v>1489</v>
      </c>
      <c r="N445" t="s">
        <v>1870</v>
      </c>
      <c r="O445" t="s">
        <v>1489</v>
      </c>
      <c r="Q445" s="3">
        <v>0</v>
      </c>
    </row>
    <row r="446" spans="1:17" x14ac:dyDescent="0.3">
      <c r="A446" s="249" t="s">
        <v>1870</v>
      </c>
      <c r="B446" s="246">
        <v>460</v>
      </c>
      <c r="C446" t="s">
        <v>1870</v>
      </c>
      <c r="D446" t="s">
        <v>1870</v>
      </c>
      <c r="E446" s="246" t="s">
        <v>131</v>
      </c>
      <c r="F446">
        <v>0</v>
      </c>
      <c r="G446" t="s">
        <v>1870</v>
      </c>
      <c r="H446" s="248" t="s">
        <v>1142</v>
      </c>
      <c r="I446" s="7" t="s">
        <v>1689</v>
      </c>
      <c r="J446" t="s">
        <v>1870</v>
      </c>
      <c r="K446" t="s">
        <v>1870</v>
      </c>
      <c r="L446" s="246" t="s">
        <v>1570</v>
      </c>
      <c r="M446" s="246" t="s">
        <v>2131</v>
      </c>
      <c r="N446" t="s">
        <v>1870</v>
      </c>
      <c r="O446" s="247" t="s">
        <v>1571</v>
      </c>
      <c r="P446" s="3">
        <v>36072.57</v>
      </c>
      <c r="Q446" s="3">
        <v>75000</v>
      </c>
    </row>
    <row r="447" spans="1:17" x14ac:dyDescent="0.3">
      <c r="A447" s="249" t="s">
        <v>1870</v>
      </c>
      <c r="B447" s="246">
        <v>460</v>
      </c>
      <c r="C447" t="s">
        <v>1870</v>
      </c>
      <c r="D447" t="s">
        <v>1870</v>
      </c>
      <c r="E447" s="246" t="s">
        <v>48</v>
      </c>
      <c r="F447">
        <v>0</v>
      </c>
      <c r="G447" t="s">
        <v>1870</v>
      </c>
      <c r="H447" s="248" t="s">
        <v>1144</v>
      </c>
      <c r="I447" t="s">
        <v>1689</v>
      </c>
      <c r="J447" t="s">
        <v>1870</v>
      </c>
      <c r="K447" t="s">
        <v>1870</v>
      </c>
      <c r="L447" s="246" t="s">
        <v>1418</v>
      </c>
      <c r="M447" t="s">
        <v>2131</v>
      </c>
      <c r="N447" t="s">
        <v>1870</v>
      </c>
      <c r="O447" s="247" t="s">
        <v>2091</v>
      </c>
      <c r="P447" s="3">
        <v>26.55</v>
      </c>
      <c r="Q447" s="3">
        <v>30</v>
      </c>
    </row>
    <row r="448" spans="1:17" x14ac:dyDescent="0.3">
      <c r="A448" s="249" t="s">
        <v>1870</v>
      </c>
      <c r="B448" s="246">
        <v>460</v>
      </c>
      <c r="C448" t="s">
        <v>1870</v>
      </c>
      <c r="D448" t="s">
        <v>1870</v>
      </c>
      <c r="E448" s="7" t="s">
        <v>53</v>
      </c>
      <c r="F448">
        <v>0</v>
      </c>
      <c r="G448" t="s">
        <v>1870</v>
      </c>
      <c r="H448" t="s">
        <v>1146</v>
      </c>
      <c r="I448" s="7" t="s">
        <v>1489</v>
      </c>
      <c r="J448" t="s">
        <v>1870</v>
      </c>
      <c r="K448" t="s">
        <v>1870</v>
      </c>
      <c r="L448" s="7" t="s">
        <v>1489</v>
      </c>
      <c r="M448" s="7" t="s">
        <v>1489</v>
      </c>
      <c r="N448" t="s">
        <v>1870</v>
      </c>
      <c r="O448" t="s">
        <v>1489</v>
      </c>
      <c r="Q448" s="3">
        <v>0</v>
      </c>
    </row>
    <row r="449" spans="1:17" x14ac:dyDescent="0.3">
      <c r="A449" s="249" t="s">
        <v>1870</v>
      </c>
      <c r="B449" s="246">
        <v>460</v>
      </c>
      <c r="C449" t="s">
        <v>1870</v>
      </c>
      <c r="D449" t="s">
        <v>1870</v>
      </c>
      <c r="E449" s="7" t="s">
        <v>164</v>
      </c>
      <c r="F449">
        <v>0</v>
      </c>
      <c r="G449" t="s">
        <v>1870</v>
      </c>
      <c r="H449" t="s">
        <v>1148</v>
      </c>
      <c r="I449" t="s">
        <v>1489</v>
      </c>
      <c r="J449" t="s">
        <v>1870</v>
      </c>
      <c r="K449" t="s">
        <v>1870</v>
      </c>
      <c r="L449" t="s">
        <v>1489</v>
      </c>
      <c r="M449" t="s">
        <v>1489</v>
      </c>
      <c r="N449" t="s">
        <v>1870</v>
      </c>
      <c r="O449" t="s">
        <v>1489</v>
      </c>
      <c r="Q449" s="3">
        <v>0</v>
      </c>
    </row>
    <row r="450" spans="1:17" x14ac:dyDescent="0.3">
      <c r="A450" s="249" t="s">
        <v>1870</v>
      </c>
      <c r="B450" s="246">
        <v>460</v>
      </c>
      <c r="C450" t="s">
        <v>1870</v>
      </c>
      <c r="D450" t="s">
        <v>1870</v>
      </c>
      <c r="E450" s="246" t="s">
        <v>96</v>
      </c>
      <c r="F450">
        <v>0</v>
      </c>
      <c r="G450" t="s">
        <v>1870</v>
      </c>
      <c r="H450" s="248" t="s">
        <v>1150</v>
      </c>
      <c r="I450" t="s">
        <v>1689</v>
      </c>
      <c r="J450" t="s">
        <v>1870</v>
      </c>
      <c r="K450" t="s">
        <v>1870</v>
      </c>
      <c r="L450" s="246" t="s">
        <v>1607</v>
      </c>
      <c r="M450" s="246" t="s">
        <v>2139</v>
      </c>
      <c r="N450" t="s">
        <v>1870</v>
      </c>
      <c r="O450" s="247" t="s">
        <v>1608</v>
      </c>
      <c r="P450" s="3">
        <v>498873.96</v>
      </c>
      <c r="Q450" s="3">
        <v>0</v>
      </c>
    </row>
    <row r="451" spans="1:17" x14ac:dyDescent="0.3">
      <c r="A451" s="249" t="s">
        <v>1870</v>
      </c>
      <c r="B451" s="246">
        <v>460</v>
      </c>
      <c r="C451" t="s">
        <v>1870</v>
      </c>
      <c r="D451" t="s">
        <v>1870</v>
      </c>
      <c r="E451" s="246" t="s">
        <v>5</v>
      </c>
      <c r="F451">
        <v>0</v>
      </c>
      <c r="G451" t="s">
        <v>1870</v>
      </c>
      <c r="H451" s="248" t="s">
        <v>1152</v>
      </c>
      <c r="I451" s="7" t="s">
        <v>1689</v>
      </c>
      <c r="J451" t="s">
        <v>1870</v>
      </c>
      <c r="K451" t="s">
        <v>1870</v>
      </c>
      <c r="L451" s="246" t="s">
        <v>1398</v>
      </c>
      <c r="M451" s="246" t="s">
        <v>2131</v>
      </c>
      <c r="N451" t="s">
        <v>1870</v>
      </c>
      <c r="O451" s="247" t="s">
        <v>2049</v>
      </c>
      <c r="P451" s="3">
        <v>231937.83</v>
      </c>
      <c r="Q451" s="3">
        <v>395000</v>
      </c>
    </row>
    <row r="452" spans="1:17" x14ac:dyDescent="0.3">
      <c r="A452" s="249" t="s">
        <v>1870</v>
      </c>
      <c r="B452" s="246">
        <v>460</v>
      </c>
      <c r="C452" t="s">
        <v>1870</v>
      </c>
      <c r="D452" t="s">
        <v>1870</v>
      </c>
      <c r="E452" s="246" t="s">
        <v>5</v>
      </c>
      <c r="F452" s="7">
        <v>1</v>
      </c>
      <c r="G452" t="s">
        <v>1870</v>
      </c>
      <c r="H452" t="s">
        <v>1154</v>
      </c>
      <c r="I452" s="7" t="s">
        <v>1489</v>
      </c>
      <c r="J452" t="s">
        <v>1870</v>
      </c>
      <c r="K452" t="s">
        <v>1870</v>
      </c>
      <c r="L452" s="7" t="s">
        <v>1489</v>
      </c>
      <c r="M452" s="7" t="s">
        <v>1489</v>
      </c>
      <c r="N452" t="s">
        <v>1870</v>
      </c>
      <c r="O452" t="s">
        <v>1489</v>
      </c>
      <c r="Q452" s="3">
        <v>0</v>
      </c>
    </row>
    <row r="453" spans="1:17" x14ac:dyDescent="0.3">
      <c r="A453" s="249" t="s">
        <v>1870</v>
      </c>
      <c r="B453" s="246">
        <v>460</v>
      </c>
      <c r="C453" t="s">
        <v>1870</v>
      </c>
      <c r="D453" t="s">
        <v>1870</v>
      </c>
      <c r="E453" s="246" t="s">
        <v>138</v>
      </c>
      <c r="F453" s="7">
        <v>0</v>
      </c>
      <c r="G453" t="s">
        <v>1870</v>
      </c>
      <c r="H453" s="248" t="s">
        <v>1156</v>
      </c>
      <c r="I453" s="7" t="s">
        <v>1689</v>
      </c>
      <c r="J453" t="s">
        <v>1870</v>
      </c>
      <c r="K453" t="s">
        <v>1870</v>
      </c>
      <c r="L453" s="246" t="s">
        <v>765</v>
      </c>
      <c r="M453" s="7" t="s">
        <v>2131</v>
      </c>
      <c r="N453" t="s">
        <v>1870</v>
      </c>
      <c r="O453" s="247" t="s">
        <v>2039</v>
      </c>
      <c r="P453" s="3">
        <v>80319.990000000005</v>
      </c>
      <c r="Q453" s="3">
        <v>0</v>
      </c>
    </row>
    <row r="454" spans="1:17" x14ac:dyDescent="0.3">
      <c r="A454" s="249" t="s">
        <v>1870</v>
      </c>
      <c r="B454" s="246">
        <v>460</v>
      </c>
      <c r="C454" t="s">
        <v>1870</v>
      </c>
      <c r="D454" t="s">
        <v>1870</v>
      </c>
      <c r="E454" s="246" t="s">
        <v>138</v>
      </c>
      <c r="F454" s="7">
        <v>1</v>
      </c>
      <c r="G454" t="s">
        <v>1870</v>
      </c>
      <c r="H454" t="s">
        <v>1158</v>
      </c>
      <c r="I454" s="7" t="s">
        <v>1489</v>
      </c>
      <c r="J454" t="s">
        <v>1870</v>
      </c>
      <c r="K454" t="s">
        <v>1870</v>
      </c>
      <c r="L454" s="7" t="s">
        <v>1489</v>
      </c>
      <c r="M454" s="7" t="s">
        <v>1489</v>
      </c>
      <c r="N454" t="s">
        <v>1870</v>
      </c>
      <c r="O454" t="s">
        <v>1489</v>
      </c>
      <c r="Q454" s="3">
        <v>0</v>
      </c>
    </row>
    <row r="455" spans="1:17" x14ac:dyDescent="0.3">
      <c r="A455" s="249" t="s">
        <v>1870</v>
      </c>
      <c r="B455" s="246">
        <v>460</v>
      </c>
      <c r="C455" t="s">
        <v>1870</v>
      </c>
      <c r="D455" t="s">
        <v>1870</v>
      </c>
      <c r="E455" s="7" t="s">
        <v>28</v>
      </c>
      <c r="F455">
        <v>1</v>
      </c>
      <c r="G455" t="s">
        <v>1870</v>
      </c>
      <c r="H455" t="s">
        <v>1160</v>
      </c>
      <c r="I455" t="s">
        <v>1489</v>
      </c>
      <c r="J455" t="s">
        <v>1870</v>
      </c>
      <c r="K455" t="s">
        <v>1870</v>
      </c>
      <c r="L455" t="s">
        <v>1489</v>
      </c>
      <c r="M455" t="s">
        <v>1489</v>
      </c>
      <c r="N455" t="s">
        <v>1870</v>
      </c>
      <c r="O455" t="s">
        <v>1489</v>
      </c>
      <c r="Q455" s="3">
        <v>0</v>
      </c>
    </row>
    <row r="456" spans="1:17" x14ac:dyDescent="0.3">
      <c r="A456" s="249" t="s">
        <v>1870</v>
      </c>
      <c r="B456" s="246">
        <v>460</v>
      </c>
      <c r="C456" t="s">
        <v>1870</v>
      </c>
      <c r="D456" t="s">
        <v>1870</v>
      </c>
      <c r="E456" s="246" t="s">
        <v>338</v>
      </c>
      <c r="F456" s="7">
        <v>0</v>
      </c>
      <c r="G456" t="s">
        <v>1870</v>
      </c>
      <c r="H456" s="248" t="s">
        <v>1162</v>
      </c>
      <c r="I456" s="7" t="s">
        <v>1689</v>
      </c>
      <c r="J456" t="s">
        <v>1870</v>
      </c>
      <c r="K456" t="s">
        <v>1870</v>
      </c>
      <c r="L456" s="246" t="s">
        <v>1487</v>
      </c>
      <c r="M456" s="7" t="s">
        <v>2131</v>
      </c>
      <c r="N456" t="s">
        <v>1870</v>
      </c>
      <c r="O456" s="247" t="s">
        <v>1692</v>
      </c>
      <c r="P456" s="3">
        <v>-298104.90000000002</v>
      </c>
      <c r="Q456" s="3">
        <v>-312500</v>
      </c>
    </row>
    <row r="457" spans="1:17" x14ac:dyDescent="0.3">
      <c r="A457" s="249" t="s">
        <v>1870</v>
      </c>
      <c r="B457" s="246">
        <v>460</v>
      </c>
      <c r="C457" t="s">
        <v>1870</v>
      </c>
      <c r="D457" t="s">
        <v>1870</v>
      </c>
      <c r="E457" s="246" t="s">
        <v>338</v>
      </c>
      <c r="F457" s="246">
        <v>1</v>
      </c>
      <c r="G457" t="s">
        <v>1870</v>
      </c>
      <c r="H457" s="248" t="s">
        <v>1164</v>
      </c>
      <c r="I457" t="s">
        <v>1689</v>
      </c>
      <c r="J457" t="s">
        <v>1870</v>
      </c>
      <c r="K457" t="s">
        <v>1870</v>
      </c>
      <c r="L457" t="s">
        <v>1487</v>
      </c>
      <c r="M457" s="246" t="s">
        <v>2132</v>
      </c>
      <c r="N457" t="s">
        <v>1870</v>
      </c>
      <c r="O457" s="247" t="s">
        <v>1576</v>
      </c>
      <c r="P457" s="3">
        <v>-57143.199999999997</v>
      </c>
      <c r="Q457" s="3">
        <v>0</v>
      </c>
    </row>
    <row r="458" spans="1:17" x14ac:dyDescent="0.3">
      <c r="A458" s="249" t="s">
        <v>1870</v>
      </c>
      <c r="B458" s="246">
        <v>460</v>
      </c>
      <c r="C458" t="s">
        <v>1870</v>
      </c>
      <c r="D458" t="s">
        <v>1870</v>
      </c>
      <c r="E458" s="246" t="s">
        <v>338</v>
      </c>
      <c r="F458" s="7">
        <v>3</v>
      </c>
      <c r="G458" t="s">
        <v>1870</v>
      </c>
      <c r="H458" t="s">
        <v>1166</v>
      </c>
      <c r="I458" s="7" t="s">
        <v>1489</v>
      </c>
      <c r="J458" t="s">
        <v>1870</v>
      </c>
      <c r="K458" t="s">
        <v>1870</v>
      </c>
      <c r="L458" s="7" t="s">
        <v>1489</v>
      </c>
      <c r="M458" s="7" t="s">
        <v>1489</v>
      </c>
      <c r="N458" t="s">
        <v>1870</v>
      </c>
      <c r="O458" t="s">
        <v>1489</v>
      </c>
      <c r="Q458" s="3">
        <v>0</v>
      </c>
    </row>
    <row r="459" spans="1:17" x14ac:dyDescent="0.3">
      <c r="A459" s="249" t="s">
        <v>1870</v>
      </c>
      <c r="B459" s="246">
        <v>460</v>
      </c>
      <c r="C459" t="s">
        <v>1870</v>
      </c>
      <c r="D459" t="s">
        <v>1870</v>
      </c>
      <c r="E459" s="246" t="s">
        <v>338</v>
      </c>
      <c r="F459" s="7">
        <v>4</v>
      </c>
      <c r="G459" t="s">
        <v>1870</v>
      </c>
      <c r="H459" t="s">
        <v>1168</v>
      </c>
      <c r="I459" t="s">
        <v>1489</v>
      </c>
      <c r="J459" t="s">
        <v>1870</v>
      </c>
      <c r="K459" t="s">
        <v>1870</v>
      </c>
      <c r="L459" t="s">
        <v>1489</v>
      </c>
      <c r="M459" t="s">
        <v>1489</v>
      </c>
      <c r="N459" t="s">
        <v>1870</v>
      </c>
      <c r="O459" t="s">
        <v>1489</v>
      </c>
      <c r="Q459" s="3">
        <v>0</v>
      </c>
    </row>
    <row r="460" spans="1:17" x14ac:dyDescent="0.3">
      <c r="A460" s="249" t="s">
        <v>1870</v>
      </c>
      <c r="B460" s="246">
        <v>460</v>
      </c>
      <c r="C460" t="s">
        <v>1870</v>
      </c>
      <c r="D460" t="s">
        <v>1870</v>
      </c>
      <c r="E460" s="7" t="s">
        <v>61</v>
      </c>
      <c r="F460" s="7">
        <v>0</v>
      </c>
      <c r="G460" t="s">
        <v>1870</v>
      </c>
      <c r="H460" t="s">
        <v>1170</v>
      </c>
      <c r="I460" t="s">
        <v>1489</v>
      </c>
      <c r="J460" t="s">
        <v>1870</v>
      </c>
      <c r="K460" t="s">
        <v>1870</v>
      </c>
      <c r="L460" t="s">
        <v>1489</v>
      </c>
      <c r="M460" t="s">
        <v>1489</v>
      </c>
      <c r="N460" t="s">
        <v>1870</v>
      </c>
      <c r="O460" t="s">
        <v>1489</v>
      </c>
      <c r="Q460" s="3">
        <v>0</v>
      </c>
    </row>
    <row r="461" spans="1:17" x14ac:dyDescent="0.3">
      <c r="A461" s="249" t="s">
        <v>1870</v>
      </c>
      <c r="B461" s="246">
        <v>460</v>
      </c>
      <c r="C461" t="s">
        <v>1870</v>
      </c>
      <c r="D461" t="s">
        <v>1870</v>
      </c>
      <c r="E461" s="7" t="s">
        <v>345</v>
      </c>
      <c r="F461">
        <v>0</v>
      </c>
      <c r="G461" t="s">
        <v>1870</v>
      </c>
      <c r="H461" t="s">
        <v>1172</v>
      </c>
      <c r="I461" t="s">
        <v>1489</v>
      </c>
      <c r="J461" t="s">
        <v>1870</v>
      </c>
      <c r="K461" t="s">
        <v>1870</v>
      </c>
      <c r="L461" t="s">
        <v>1489</v>
      </c>
      <c r="M461" t="s">
        <v>1489</v>
      </c>
      <c r="N461" t="s">
        <v>1870</v>
      </c>
      <c r="O461" t="s">
        <v>1489</v>
      </c>
      <c r="Q461" s="3">
        <v>0</v>
      </c>
    </row>
    <row r="462" spans="1:17" x14ac:dyDescent="0.3">
      <c r="A462" s="249" t="s">
        <v>1870</v>
      </c>
      <c r="B462" s="246">
        <v>460</v>
      </c>
      <c r="C462" t="s">
        <v>1870</v>
      </c>
      <c r="D462" t="s">
        <v>1870</v>
      </c>
      <c r="E462" s="7" t="s">
        <v>64</v>
      </c>
      <c r="F462">
        <v>0</v>
      </c>
      <c r="G462" t="s">
        <v>1870</v>
      </c>
      <c r="H462" t="s">
        <v>1174</v>
      </c>
      <c r="I462" t="s">
        <v>1489</v>
      </c>
      <c r="J462" t="s">
        <v>1870</v>
      </c>
      <c r="K462" t="s">
        <v>1870</v>
      </c>
      <c r="L462" t="s">
        <v>1489</v>
      </c>
      <c r="M462" t="s">
        <v>1489</v>
      </c>
      <c r="N462" t="s">
        <v>1870</v>
      </c>
      <c r="O462" t="s">
        <v>1489</v>
      </c>
      <c r="Q462" s="3">
        <v>0</v>
      </c>
    </row>
    <row r="463" spans="1:17" x14ac:dyDescent="0.3">
      <c r="A463" s="249" t="s">
        <v>1870</v>
      </c>
      <c r="B463" s="246">
        <v>460</v>
      </c>
      <c r="C463" t="s">
        <v>1870</v>
      </c>
      <c r="D463" t="s">
        <v>1870</v>
      </c>
      <c r="E463" s="246" t="s">
        <v>144</v>
      </c>
      <c r="F463" s="246">
        <v>0</v>
      </c>
      <c r="G463" t="s">
        <v>1870</v>
      </c>
      <c r="H463" s="248" t="s">
        <v>1176</v>
      </c>
      <c r="I463" s="7" t="s">
        <v>1689</v>
      </c>
      <c r="J463" t="s">
        <v>1870</v>
      </c>
      <c r="K463" t="s">
        <v>1870</v>
      </c>
      <c r="L463" s="246" t="s">
        <v>1686</v>
      </c>
      <c r="M463" s="246" t="s">
        <v>2131</v>
      </c>
      <c r="N463" t="s">
        <v>1870</v>
      </c>
      <c r="O463" s="247" t="s">
        <v>1687</v>
      </c>
      <c r="P463" s="3">
        <v>-498873.96</v>
      </c>
      <c r="Q463" s="3">
        <v>-164865</v>
      </c>
    </row>
    <row r="464" spans="1:17" x14ac:dyDescent="0.3">
      <c r="A464" s="249" t="s">
        <v>1870</v>
      </c>
      <c r="B464" s="7">
        <v>470</v>
      </c>
      <c r="C464" t="s">
        <v>1870</v>
      </c>
      <c r="D464" t="s">
        <v>1870</v>
      </c>
      <c r="E464" s="7" t="s">
        <v>131</v>
      </c>
      <c r="F464">
        <v>0</v>
      </c>
      <c r="G464" t="s">
        <v>1870</v>
      </c>
      <c r="H464" t="s">
        <v>1179</v>
      </c>
      <c r="I464" s="7" t="s">
        <v>1489</v>
      </c>
      <c r="J464" t="s">
        <v>1870</v>
      </c>
      <c r="K464" t="s">
        <v>1870</v>
      </c>
      <c r="L464" s="7" t="s">
        <v>1489</v>
      </c>
      <c r="M464" s="7" t="s">
        <v>1489</v>
      </c>
      <c r="N464" t="s">
        <v>1870</v>
      </c>
      <c r="O464" t="s">
        <v>1489</v>
      </c>
      <c r="Q464" s="3">
        <v>0</v>
      </c>
    </row>
    <row r="465" spans="1:17" x14ac:dyDescent="0.3">
      <c r="A465" s="249" t="s">
        <v>1870</v>
      </c>
      <c r="B465" s="7">
        <v>470</v>
      </c>
      <c r="C465" t="s">
        <v>1870</v>
      </c>
      <c r="D465" t="s">
        <v>1870</v>
      </c>
      <c r="E465" s="7" t="s">
        <v>164</v>
      </c>
      <c r="F465">
        <v>0</v>
      </c>
      <c r="G465" t="s">
        <v>1870</v>
      </c>
      <c r="H465" t="s">
        <v>1181</v>
      </c>
      <c r="I465" t="s">
        <v>1489</v>
      </c>
      <c r="J465" t="s">
        <v>1870</v>
      </c>
      <c r="K465" t="s">
        <v>1870</v>
      </c>
      <c r="L465" t="s">
        <v>1489</v>
      </c>
      <c r="M465" t="s">
        <v>1489</v>
      </c>
      <c r="N465" t="s">
        <v>1870</v>
      </c>
      <c r="O465" t="s">
        <v>1489</v>
      </c>
      <c r="Q465" s="3">
        <v>0</v>
      </c>
    </row>
    <row r="466" spans="1:17" x14ac:dyDescent="0.3">
      <c r="A466" s="249" t="s">
        <v>1870</v>
      </c>
      <c r="B466" s="7">
        <v>470</v>
      </c>
      <c r="C466" t="s">
        <v>1870</v>
      </c>
      <c r="D466" t="s">
        <v>1870</v>
      </c>
      <c r="E466" s="7" t="s">
        <v>61</v>
      </c>
      <c r="F466">
        <v>0</v>
      </c>
      <c r="G466" t="s">
        <v>1870</v>
      </c>
      <c r="H466" t="s">
        <v>1183</v>
      </c>
      <c r="I466" t="s">
        <v>1489</v>
      </c>
      <c r="J466" t="s">
        <v>1870</v>
      </c>
      <c r="K466" t="s">
        <v>1870</v>
      </c>
      <c r="L466" t="s">
        <v>1489</v>
      </c>
      <c r="M466" t="s">
        <v>1489</v>
      </c>
      <c r="N466" t="s">
        <v>1870</v>
      </c>
      <c r="O466" t="s">
        <v>1489</v>
      </c>
      <c r="Q466" s="3">
        <v>0</v>
      </c>
    </row>
    <row r="467" spans="1:17" x14ac:dyDescent="0.3">
      <c r="A467" s="249" t="s">
        <v>1870</v>
      </c>
      <c r="B467" s="7">
        <v>470</v>
      </c>
      <c r="C467" t="s">
        <v>1870</v>
      </c>
      <c r="D467" t="s">
        <v>1870</v>
      </c>
      <c r="E467" s="7" t="s">
        <v>175</v>
      </c>
      <c r="F467">
        <v>0</v>
      </c>
      <c r="G467" t="s">
        <v>1870</v>
      </c>
      <c r="H467" t="s">
        <v>1185</v>
      </c>
      <c r="I467" t="s">
        <v>1489</v>
      </c>
      <c r="J467" t="s">
        <v>1870</v>
      </c>
      <c r="K467" t="s">
        <v>1870</v>
      </c>
      <c r="L467" t="s">
        <v>1489</v>
      </c>
      <c r="M467" t="s">
        <v>1489</v>
      </c>
      <c r="N467" t="s">
        <v>1870</v>
      </c>
      <c r="O467" t="s">
        <v>1489</v>
      </c>
      <c r="Q467" s="3">
        <v>0</v>
      </c>
    </row>
    <row r="468" spans="1:17" x14ac:dyDescent="0.3">
      <c r="A468" s="249" t="s">
        <v>1870</v>
      </c>
      <c r="B468" s="7">
        <v>470</v>
      </c>
      <c r="C468" t="s">
        <v>1870</v>
      </c>
      <c r="D468" t="s">
        <v>1870</v>
      </c>
      <c r="E468" s="7" t="s">
        <v>64</v>
      </c>
      <c r="F468">
        <v>0</v>
      </c>
      <c r="G468" t="s">
        <v>1870</v>
      </c>
      <c r="H468" t="s">
        <v>1187</v>
      </c>
      <c r="I468" t="s">
        <v>1489</v>
      </c>
      <c r="J468" t="s">
        <v>1870</v>
      </c>
      <c r="K468" t="s">
        <v>1870</v>
      </c>
      <c r="L468" t="s">
        <v>1489</v>
      </c>
      <c r="M468" t="s">
        <v>1489</v>
      </c>
      <c r="N468" t="s">
        <v>1870</v>
      </c>
      <c r="O468" t="s">
        <v>1489</v>
      </c>
      <c r="Q468" s="3">
        <v>0</v>
      </c>
    </row>
    <row r="469" spans="1:17" x14ac:dyDescent="0.3">
      <c r="A469" s="249" t="s">
        <v>1870</v>
      </c>
      <c r="B469" s="246">
        <v>500</v>
      </c>
      <c r="C469" t="s">
        <v>1870</v>
      </c>
      <c r="D469" t="s">
        <v>1870</v>
      </c>
      <c r="E469" s="246" t="s">
        <v>5</v>
      </c>
      <c r="F469">
        <v>0</v>
      </c>
      <c r="G469" t="s">
        <v>1870</v>
      </c>
      <c r="H469" s="248" t="s">
        <v>1190</v>
      </c>
      <c r="I469" s="246" t="s">
        <v>1511</v>
      </c>
      <c r="J469" t="s">
        <v>1870</v>
      </c>
      <c r="K469" t="s">
        <v>1870</v>
      </c>
      <c r="L469" s="246" t="s">
        <v>1398</v>
      </c>
      <c r="M469" s="246" t="s">
        <v>2133</v>
      </c>
      <c r="N469" t="s">
        <v>1870</v>
      </c>
      <c r="O469" s="247" t="s">
        <v>2050</v>
      </c>
      <c r="P469" s="3">
        <v>164443.34</v>
      </c>
      <c r="Q469" s="3">
        <v>194945</v>
      </c>
    </row>
    <row r="470" spans="1:17" x14ac:dyDescent="0.3">
      <c r="A470" s="249" t="s">
        <v>1870</v>
      </c>
      <c r="B470" s="246">
        <v>510</v>
      </c>
      <c r="C470" t="s">
        <v>1870</v>
      </c>
      <c r="D470" t="s">
        <v>1870</v>
      </c>
      <c r="E470" t="s">
        <v>5</v>
      </c>
      <c r="F470">
        <v>0</v>
      </c>
      <c r="G470" t="s">
        <v>1870</v>
      </c>
      <c r="H470" s="248" t="s">
        <v>1193</v>
      </c>
      <c r="I470" s="246" t="s">
        <v>1512</v>
      </c>
      <c r="J470" t="s">
        <v>1870</v>
      </c>
      <c r="K470" t="s">
        <v>1870</v>
      </c>
      <c r="L470" t="s">
        <v>1398</v>
      </c>
      <c r="M470" s="246" t="s">
        <v>2131</v>
      </c>
      <c r="N470" t="s">
        <v>1870</v>
      </c>
      <c r="O470" s="247" t="s">
        <v>2051</v>
      </c>
      <c r="P470" s="3">
        <v>608538.67000000004</v>
      </c>
      <c r="Q470" s="3">
        <v>894868</v>
      </c>
    </row>
    <row r="471" spans="1:17" x14ac:dyDescent="0.3">
      <c r="A471" s="249" t="s">
        <v>1870</v>
      </c>
      <c r="B471" s="246">
        <v>510</v>
      </c>
      <c r="C471" t="s">
        <v>1870</v>
      </c>
      <c r="D471" t="s">
        <v>1870</v>
      </c>
      <c r="E471" t="s">
        <v>5</v>
      </c>
      <c r="F471">
        <v>0</v>
      </c>
      <c r="G471" t="s">
        <v>1870</v>
      </c>
      <c r="H471" s="248" t="s">
        <v>1193</v>
      </c>
      <c r="I471" s="246" t="s">
        <v>1512</v>
      </c>
      <c r="J471" t="s">
        <v>1870</v>
      </c>
      <c r="K471" t="s">
        <v>1870</v>
      </c>
      <c r="L471" t="s">
        <v>1398</v>
      </c>
      <c r="M471" s="246" t="s">
        <v>2133</v>
      </c>
      <c r="N471" t="s">
        <v>1870</v>
      </c>
      <c r="O471" s="247" t="s">
        <v>2050</v>
      </c>
      <c r="P471" s="3">
        <v>66494.53</v>
      </c>
      <c r="Q471" s="3">
        <v>0</v>
      </c>
    </row>
    <row r="472" spans="1:17" x14ac:dyDescent="0.3">
      <c r="A472" s="249" t="s">
        <v>1870</v>
      </c>
      <c r="B472" s="246">
        <v>510</v>
      </c>
      <c r="C472" t="s">
        <v>1870</v>
      </c>
      <c r="D472" t="s">
        <v>1870</v>
      </c>
      <c r="E472" s="246" t="s">
        <v>1196</v>
      </c>
      <c r="F472">
        <v>0</v>
      </c>
      <c r="G472" t="s">
        <v>1870</v>
      </c>
      <c r="H472" s="248" t="s">
        <v>1195</v>
      </c>
      <c r="I472" t="s">
        <v>1512</v>
      </c>
      <c r="J472" t="s">
        <v>1870</v>
      </c>
      <c r="K472" t="s">
        <v>1870</v>
      </c>
      <c r="L472" t="s">
        <v>1398</v>
      </c>
      <c r="M472" s="246" t="s">
        <v>2132</v>
      </c>
      <c r="N472" t="s">
        <v>1870</v>
      </c>
      <c r="O472" s="247" t="s">
        <v>2052</v>
      </c>
      <c r="P472" s="3">
        <v>139196.22</v>
      </c>
      <c r="Q472" s="3">
        <v>175795</v>
      </c>
    </row>
    <row r="473" spans="1:17" x14ac:dyDescent="0.3">
      <c r="A473" s="249" t="s">
        <v>1870</v>
      </c>
      <c r="B473" s="246">
        <v>520</v>
      </c>
      <c r="C473" t="s">
        <v>1870</v>
      </c>
      <c r="D473" t="s">
        <v>1870</v>
      </c>
      <c r="E473" s="7" t="s">
        <v>48</v>
      </c>
      <c r="F473">
        <v>0</v>
      </c>
      <c r="G473" t="s">
        <v>1870</v>
      </c>
      <c r="H473" t="s">
        <v>1199</v>
      </c>
      <c r="I473" s="7" t="s">
        <v>1489</v>
      </c>
      <c r="J473" t="s">
        <v>1870</v>
      </c>
      <c r="K473" t="s">
        <v>1870</v>
      </c>
      <c r="L473" s="7" t="s">
        <v>1489</v>
      </c>
      <c r="M473" s="7" t="s">
        <v>1489</v>
      </c>
      <c r="N473" t="s">
        <v>1870</v>
      </c>
      <c r="O473" t="s">
        <v>1489</v>
      </c>
      <c r="Q473" s="3">
        <v>0</v>
      </c>
    </row>
    <row r="474" spans="1:17" x14ac:dyDescent="0.3">
      <c r="A474" s="249" t="s">
        <v>1870</v>
      </c>
      <c r="B474" s="246">
        <v>520</v>
      </c>
      <c r="C474" t="s">
        <v>1870</v>
      </c>
      <c r="D474" t="s">
        <v>1870</v>
      </c>
      <c r="E474" s="246" t="s">
        <v>5</v>
      </c>
      <c r="F474">
        <v>0</v>
      </c>
      <c r="G474" t="s">
        <v>1870</v>
      </c>
      <c r="H474" s="248" t="s">
        <v>1201</v>
      </c>
      <c r="I474" s="246" t="s">
        <v>1515</v>
      </c>
      <c r="J474" t="s">
        <v>1870</v>
      </c>
      <c r="K474" t="s">
        <v>1870</v>
      </c>
      <c r="L474" s="7" t="s">
        <v>1398</v>
      </c>
      <c r="M474" s="246" t="s">
        <v>2131</v>
      </c>
      <c r="N474" t="s">
        <v>1870</v>
      </c>
      <c r="O474" s="247" t="s">
        <v>2051</v>
      </c>
      <c r="P474" s="3">
        <v>208643.75</v>
      </c>
      <c r="Q474" s="3">
        <v>259868</v>
      </c>
    </row>
    <row r="475" spans="1:17" x14ac:dyDescent="0.3">
      <c r="A475" s="249" t="s">
        <v>1870</v>
      </c>
      <c r="B475" s="246">
        <v>520</v>
      </c>
      <c r="C475" t="s">
        <v>1870</v>
      </c>
      <c r="D475" t="s">
        <v>1870</v>
      </c>
      <c r="E475" s="246" t="s">
        <v>5</v>
      </c>
      <c r="F475">
        <v>0</v>
      </c>
      <c r="G475" t="s">
        <v>1870</v>
      </c>
      <c r="H475" s="248" t="s">
        <v>1201</v>
      </c>
      <c r="I475" s="246" t="s">
        <v>1515</v>
      </c>
      <c r="J475" t="s">
        <v>1870</v>
      </c>
      <c r="K475" t="s">
        <v>1870</v>
      </c>
      <c r="L475" s="7" t="s">
        <v>1398</v>
      </c>
      <c r="M475" s="246" t="s">
        <v>2133</v>
      </c>
      <c r="N475" t="s">
        <v>1870</v>
      </c>
      <c r="O475" s="247" t="s">
        <v>2050</v>
      </c>
      <c r="P475" s="3">
        <v>57609.440000000002</v>
      </c>
      <c r="Q475" s="3">
        <v>0</v>
      </c>
    </row>
    <row r="476" spans="1:17" x14ac:dyDescent="0.3">
      <c r="A476" s="249" t="s">
        <v>1870</v>
      </c>
      <c r="B476" s="246">
        <v>520</v>
      </c>
      <c r="C476" t="s">
        <v>1870</v>
      </c>
      <c r="D476" t="s">
        <v>1870</v>
      </c>
      <c r="E476" s="246" t="s">
        <v>1196</v>
      </c>
      <c r="F476">
        <v>0</v>
      </c>
      <c r="G476" t="s">
        <v>1870</v>
      </c>
      <c r="H476" s="248" t="s">
        <v>1203</v>
      </c>
      <c r="I476" t="s">
        <v>1515</v>
      </c>
      <c r="J476" t="s">
        <v>1870</v>
      </c>
      <c r="K476" t="s">
        <v>1870</v>
      </c>
      <c r="L476" t="s">
        <v>1398</v>
      </c>
      <c r="M476" s="246" t="s">
        <v>2132</v>
      </c>
      <c r="N476" t="s">
        <v>1870</v>
      </c>
      <c r="O476" s="247" t="s">
        <v>2052</v>
      </c>
      <c r="P476" s="3">
        <v>35449.4</v>
      </c>
      <c r="Q476" s="3">
        <v>30704</v>
      </c>
    </row>
    <row r="477" spans="1:17" x14ac:dyDescent="0.3">
      <c r="A477" s="249" t="s">
        <v>1870</v>
      </c>
      <c r="B477" s="246">
        <v>530</v>
      </c>
      <c r="C477" t="s">
        <v>1870</v>
      </c>
      <c r="D477" t="s">
        <v>1870</v>
      </c>
      <c r="E477" s="246" t="s">
        <v>183</v>
      </c>
      <c r="F477">
        <v>0</v>
      </c>
      <c r="G477" t="s">
        <v>1870</v>
      </c>
      <c r="H477" s="248" t="s">
        <v>1206</v>
      </c>
      <c r="I477" s="246" t="s">
        <v>1517</v>
      </c>
      <c r="J477" t="s">
        <v>1870</v>
      </c>
      <c r="K477" t="s">
        <v>1870</v>
      </c>
      <c r="L477" t="s">
        <v>1398</v>
      </c>
      <c r="M477" s="246" t="s">
        <v>2133</v>
      </c>
      <c r="N477" t="s">
        <v>1870</v>
      </c>
      <c r="O477" s="247" t="s">
        <v>2050</v>
      </c>
      <c r="P477" s="3">
        <v>33479.67</v>
      </c>
      <c r="Q477" s="3">
        <v>36512</v>
      </c>
    </row>
    <row r="478" spans="1:17" x14ac:dyDescent="0.3">
      <c r="A478" s="249" t="s">
        <v>1870</v>
      </c>
      <c r="B478" s="246">
        <v>530</v>
      </c>
      <c r="C478" t="s">
        <v>1870</v>
      </c>
      <c r="D478" t="s">
        <v>1870</v>
      </c>
      <c r="E478" s="7" t="s">
        <v>175</v>
      </c>
      <c r="F478">
        <v>0</v>
      </c>
      <c r="G478" t="s">
        <v>1870</v>
      </c>
      <c r="H478" t="s">
        <v>1208</v>
      </c>
      <c r="I478" s="7" t="s">
        <v>1489</v>
      </c>
      <c r="J478" t="s">
        <v>1870</v>
      </c>
      <c r="K478" t="s">
        <v>1870</v>
      </c>
      <c r="L478" s="7" t="s">
        <v>1489</v>
      </c>
      <c r="M478" s="7" t="s">
        <v>1489</v>
      </c>
      <c r="N478" t="s">
        <v>1870</v>
      </c>
      <c r="O478" t="s">
        <v>1489</v>
      </c>
      <c r="Q478" s="3">
        <v>0</v>
      </c>
    </row>
    <row r="479" spans="1:17" x14ac:dyDescent="0.3">
      <c r="A479" s="249" t="s">
        <v>1870</v>
      </c>
      <c r="B479" s="246">
        <v>540</v>
      </c>
      <c r="C479" t="s">
        <v>1870</v>
      </c>
      <c r="D479" t="s">
        <v>1870</v>
      </c>
      <c r="E479" s="246" t="s">
        <v>5</v>
      </c>
      <c r="F479">
        <v>0</v>
      </c>
      <c r="G479" t="s">
        <v>1870</v>
      </c>
      <c r="H479" s="248" t="s">
        <v>1211</v>
      </c>
      <c r="I479" s="246" t="s">
        <v>1529</v>
      </c>
      <c r="J479" t="s">
        <v>1870</v>
      </c>
      <c r="K479" t="s">
        <v>1870</v>
      </c>
      <c r="L479" s="7" t="s">
        <v>1398</v>
      </c>
      <c r="M479" s="246" t="s">
        <v>2131</v>
      </c>
      <c r="N479" t="s">
        <v>1870</v>
      </c>
      <c r="O479" s="247" t="s">
        <v>2053</v>
      </c>
      <c r="P479" s="3">
        <v>2901</v>
      </c>
      <c r="Q479" s="3">
        <v>2870.2</v>
      </c>
    </row>
    <row r="480" spans="1:17" x14ac:dyDescent="0.3">
      <c r="A480" s="249" t="s">
        <v>1870</v>
      </c>
      <c r="B480" s="246">
        <v>550</v>
      </c>
      <c r="C480" t="s">
        <v>1870</v>
      </c>
      <c r="D480" t="s">
        <v>1870</v>
      </c>
      <c r="E480" t="s">
        <v>5</v>
      </c>
      <c r="F480">
        <v>0</v>
      </c>
      <c r="G480" t="s">
        <v>1870</v>
      </c>
      <c r="H480" s="248" t="s">
        <v>1214</v>
      </c>
      <c r="I480" s="246" t="s">
        <v>1519</v>
      </c>
      <c r="J480" t="s">
        <v>1870</v>
      </c>
      <c r="K480" t="s">
        <v>1870</v>
      </c>
      <c r="L480" t="s">
        <v>1398</v>
      </c>
      <c r="M480" s="246" t="s">
        <v>2133</v>
      </c>
      <c r="N480" t="s">
        <v>1870</v>
      </c>
      <c r="O480" s="247" t="s">
        <v>2050</v>
      </c>
      <c r="P480" s="3">
        <v>66236.63</v>
      </c>
      <c r="Q480" s="3">
        <v>93577</v>
      </c>
    </row>
    <row r="481" spans="1:18" x14ac:dyDescent="0.3">
      <c r="A481" s="249" t="s">
        <v>1870</v>
      </c>
      <c r="B481" s="246">
        <v>560</v>
      </c>
      <c r="C481" t="s">
        <v>1870</v>
      </c>
      <c r="D481" t="s">
        <v>1870</v>
      </c>
      <c r="E481" t="s">
        <v>5</v>
      </c>
      <c r="F481">
        <v>0</v>
      </c>
      <c r="G481" t="s">
        <v>1870</v>
      </c>
      <c r="H481" s="248" t="s">
        <v>1217</v>
      </c>
      <c r="I481" s="246" t="s">
        <v>1528</v>
      </c>
      <c r="J481" t="s">
        <v>1870</v>
      </c>
      <c r="K481" t="s">
        <v>1870</v>
      </c>
      <c r="L481" s="246" t="s">
        <v>1390</v>
      </c>
      <c r="M481" s="246" t="s">
        <v>2136</v>
      </c>
      <c r="N481" t="s">
        <v>1870</v>
      </c>
      <c r="O481" s="247" t="s">
        <v>2078</v>
      </c>
      <c r="P481" s="3">
        <v>8048</v>
      </c>
      <c r="Q481" s="3">
        <v>0</v>
      </c>
    </row>
    <row r="482" spans="1:18" x14ac:dyDescent="0.3">
      <c r="A482" s="249" t="s">
        <v>1870</v>
      </c>
      <c r="B482" s="246">
        <v>560</v>
      </c>
      <c r="C482" t="s">
        <v>1870</v>
      </c>
      <c r="D482" t="s">
        <v>1870</v>
      </c>
      <c r="E482" t="s">
        <v>5</v>
      </c>
      <c r="F482">
        <v>0</v>
      </c>
      <c r="G482" t="s">
        <v>1870</v>
      </c>
      <c r="H482" s="248" t="s">
        <v>1217</v>
      </c>
      <c r="I482" s="246" t="s">
        <v>1528</v>
      </c>
      <c r="J482" t="s">
        <v>1870</v>
      </c>
      <c r="K482" t="s">
        <v>1870</v>
      </c>
      <c r="L482" s="246" t="s">
        <v>1398</v>
      </c>
      <c r="M482" s="246" t="s">
        <v>2133</v>
      </c>
      <c r="N482" t="s">
        <v>1870</v>
      </c>
      <c r="O482" s="247" t="s">
        <v>2050</v>
      </c>
      <c r="P482" s="3">
        <v>1030.19</v>
      </c>
      <c r="Q482" s="3">
        <v>9556</v>
      </c>
    </row>
    <row r="483" spans="1:18" x14ac:dyDescent="0.3">
      <c r="A483" s="249" t="s">
        <v>1870</v>
      </c>
      <c r="B483" s="246">
        <v>570</v>
      </c>
      <c r="C483" t="s">
        <v>1870</v>
      </c>
      <c r="D483" t="s">
        <v>1870</v>
      </c>
      <c r="E483" t="s">
        <v>5</v>
      </c>
      <c r="F483">
        <v>0</v>
      </c>
      <c r="G483" t="s">
        <v>1870</v>
      </c>
      <c r="H483" s="248" t="s">
        <v>1220</v>
      </c>
      <c r="I483" s="246" t="s">
        <v>1520</v>
      </c>
      <c r="J483" t="s">
        <v>1870</v>
      </c>
      <c r="K483" t="s">
        <v>1870</v>
      </c>
      <c r="L483" t="s">
        <v>1398</v>
      </c>
      <c r="M483" t="s">
        <v>2133</v>
      </c>
      <c r="N483" t="s">
        <v>1870</v>
      </c>
      <c r="O483" s="247" t="s">
        <v>2050</v>
      </c>
      <c r="P483" s="3">
        <v>28583.02</v>
      </c>
      <c r="Q483" s="3">
        <v>27603</v>
      </c>
    </row>
    <row r="484" spans="1:18" x14ac:dyDescent="0.3">
      <c r="A484" s="249" t="s">
        <v>1870</v>
      </c>
      <c r="B484" s="246">
        <v>580</v>
      </c>
      <c r="C484" t="s">
        <v>1870</v>
      </c>
      <c r="D484" t="s">
        <v>1870</v>
      </c>
      <c r="E484" s="7" t="s">
        <v>48</v>
      </c>
      <c r="F484">
        <v>0</v>
      </c>
      <c r="G484" t="s">
        <v>1870</v>
      </c>
      <c r="H484" t="s">
        <v>1223</v>
      </c>
      <c r="I484" s="7" t="s">
        <v>1489</v>
      </c>
      <c r="J484" t="s">
        <v>1870</v>
      </c>
      <c r="K484" t="s">
        <v>1870</v>
      </c>
      <c r="L484" s="7" t="s">
        <v>1489</v>
      </c>
      <c r="M484" s="7" t="s">
        <v>1489</v>
      </c>
      <c r="N484" t="s">
        <v>1870</v>
      </c>
      <c r="O484" t="s">
        <v>1489</v>
      </c>
      <c r="Q484" s="3">
        <v>0</v>
      </c>
    </row>
    <row r="485" spans="1:18" x14ac:dyDescent="0.3">
      <c r="A485" s="249" t="s">
        <v>1870</v>
      </c>
      <c r="B485" s="246">
        <v>580</v>
      </c>
      <c r="C485" t="s">
        <v>1870</v>
      </c>
      <c r="D485" t="s">
        <v>1870</v>
      </c>
      <c r="E485" s="7" t="s">
        <v>164</v>
      </c>
      <c r="F485">
        <v>0</v>
      </c>
      <c r="G485" t="s">
        <v>1870</v>
      </c>
      <c r="H485" t="s">
        <v>1225</v>
      </c>
      <c r="I485" t="s">
        <v>1489</v>
      </c>
      <c r="J485" t="s">
        <v>1870</v>
      </c>
      <c r="K485" t="s">
        <v>1870</v>
      </c>
      <c r="L485" t="s">
        <v>1489</v>
      </c>
      <c r="M485" t="s">
        <v>1489</v>
      </c>
      <c r="N485" t="s">
        <v>1870</v>
      </c>
      <c r="O485" t="s">
        <v>1489</v>
      </c>
      <c r="Q485" s="3">
        <v>0</v>
      </c>
    </row>
    <row r="486" spans="1:18" x14ac:dyDescent="0.3">
      <c r="A486" s="249" t="s">
        <v>1870</v>
      </c>
      <c r="B486" s="246">
        <v>580</v>
      </c>
      <c r="C486" t="s">
        <v>1870</v>
      </c>
      <c r="D486" t="s">
        <v>1870</v>
      </c>
      <c r="E486" s="7" t="s">
        <v>96</v>
      </c>
      <c r="F486">
        <v>0</v>
      </c>
      <c r="G486" t="s">
        <v>1870</v>
      </c>
      <c r="H486" t="s">
        <v>1227</v>
      </c>
      <c r="I486" t="s">
        <v>1489</v>
      </c>
      <c r="J486" t="s">
        <v>1870</v>
      </c>
      <c r="K486" t="s">
        <v>1870</v>
      </c>
      <c r="L486" t="s">
        <v>1489</v>
      </c>
      <c r="M486" t="s">
        <v>1489</v>
      </c>
      <c r="N486" t="s">
        <v>1870</v>
      </c>
      <c r="O486" t="s">
        <v>1489</v>
      </c>
      <c r="Q486" s="3">
        <v>0</v>
      </c>
    </row>
    <row r="487" spans="1:18" x14ac:dyDescent="0.3">
      <c r="A487" s="249" t="s">
        <v>1870</v>
      </c>
      <c r="B487" s="246">
        <v>580</v>
      </c>
      <c r="C487" t="s">
        <v>1870</v>
      </c>
      <c r="D487" t="s">
        <v>1870</v>
      </c>
      <c r="E487" s="7" t="s">
        <v>5</v>
      </c>
      <c r="F487">
        <v>0</v>
      </c>
      <c r="G487" t="s">
        <v>1870</v>
      </c>
      <c r="H487" s="248" t="s">
        <v>1229</v>
      </c>
      <c r="I487" s="246" t="s">
        <v>1532</v>
      </c>
      <c r="J487" t="s">
        <v>1870</v>
      </c>
      <c r="K487" t="s">
        <v>1870</v>
      </c>
      <c r="L487" s="7" t="s">
        <v>1398</v>
      </c>
      <c r="M487" s="246" t="s">
        <v>2131</v>
      </c>
      <c r="N487" t="s">
        <v>1870</v>
      </c>
      <c r="O487" s="247" t="s">
        <v>2054</v>
      </c>
      <c r="P487" s="3">
        <v>11608.05</v>
      </c>
      <c r="Q487" s="3">
        <v>12236</v>
      </c>
    </row>
    <row r="488" spans="1:18" x14ac:dyDescent="0.3">
      <c r="A488" s="249" t="s">
        <v>1870</v>
      </c>
      <c r="B488" s="246">
        <v>600</v>
      </c>
      <c r="C488" t="s">
        <v>1870</v>
      </c>
      <c r="D488" t="s">
        <v>1870</v>
      </c>
      <c r="E488" s="7" t="s">
        <v>48</v>
      </c>
      <c r="F488">
        <v>0</v>
      </c>
      <c r="G488" t="s">
        <v>1870</v>
      </c>
      <c r="H488" t="s">
        <v>1232</v>
      </c>
      <c r="I488" s="7" t="s">
        <v>1489</v>
      </c>
      <c r="J488" t="s">
        <v>1870</v>
      </c>
      <c r="K488" t="s">
        <v>1870</v>
      </c>
      <c r="L488" s="7" t="s">
        <v>1489</v>
      </c>
      <c r="M488" s="7" t="s">
        <v>1489</v>
      </c>
      <c r="N488" t="s">
        <v>1870</v>
      </c>
      <c r="O488" t="s">
        <v>1489</v>
      </c>
      <c r="Q488" s="3">
        <v>0</v>
      </c>
    </row>
    <row r="489" spans="1:18" x14ac:dyDescent="0.3">
      <c r="A489" s="249" t="s">
        <v>1870</v>
      </c>
      <c r="B489" s="246">
        <v>600</v>
      </c>
      <c r="C489" t="s">
        <v>1870</v>
      </c>
      <c r="D489" t="s">
        <v>1870</v>
      </c>
      <c r="E489" s="246" t="s">
        <v>183</v>
      </c>
      <c r="F489">
        <v>0</v>
      </c>
      <c r="G489" t="s">
        <v>1870</v>
      </c>
      <c r="H489" s="248" t="s">
        <v>1234</v>
      </c>
      <c r="I489" s="246" t="s">
        <v>1533</v>
      </c>
      <c r="J489" t="s">
        <v>1870</v>
      </c>
      <c r="K489" t="s">
        <v>1870</v>
      </c>
      <c r="L489" s="246" t="s">
        <v>1535</v>
      </c>
      <c r="M489" s="7" t="s">
        <v>2131</v>
      </c>
      <c r="N489" t="s">
        <v>1870</v>
      </c>
      <c r="O489" s="247" t="s">
        <v>1761</v>
      </c>
      <c r="P489" s="3">
        <v>326477</v>
      </c>
      <c r="Q489" s="3">
        <v>324000</v>
      </c>
      <c r="R489" s="3">
        <v>335562</v>
      </c>
    </row>
    <row r="490" spans="1:18" x14ac:dyDescent="0.3">
      <c r="A490" s="249" t="s">
        <v>1870</v>
      </c>
      <c r="B490" s="246">
        <v>600</v>
      </c>
      <c r="C490" t="s">
        <v>1870</v>
      </c>
      <c r="D490" t="s">
        <v>1870</v>
      </c>
      <c r="E490" s="246" t="s">
        <v>183</v>
      </c>
      <c r="F490">
        <v>0</v>
      </c>
      <c r="G490" t="s">
        <v>1870</v>
      </c>
      <c r="H490" s="248" t="s">
        <v>1234</v>
      </c>
      <c r="I490" s="246" t="s">
        <v>1533</v>
      </c>
      <c r="J490" t="s">
        <v>1870</v>
      </c>
      <c r="K490" t="s">
        <v>1870</v>
      </c>
      <c r="L490" s="246" t="s">
        <v>1535</v>
      </c>
      <c r="M490" s="246" t="s">
        <v>2132</v>
      </c>
      <c r="N490" t="s">
        <v>1870</v>
      </c>
      <c r="O490" s="247" t="s">
        <v>1762</v>
      </c>
      <c r="Q490" s="3">
        <v>0</v>
      </c>
    </row>
    <row r="491" spans="1:18" x14ac:dyDescent="0.3">
      <c r="A491" s="249" t="s">
        <v>1870</v>
      </c>
      <c r="B491" s="246">
        <v>600</v>
      </c>
      <c r="C491" t="s">
        <v>1870</v>
      </c>
      <c r="D491" t="s">
        <v>1870</v>
      </c>
      <c r="E491" s="246" t="s">
        <v>183</v>
      </c>
      <c r="F491">
        <v>0</v>
      </c>
      <c r="G491" t="s">
        <v>1870</v>
      </c>
      <c r="H491" s="248" t="s">
        <v>1234</v>
      </c>
      <c r="I491" s="246" t="s">
        <v>1533</v>
      </c>
      <c r="J491" t="s">
        <v>1870</v>
      </c>
      <c r="K491" t="s">
        <v>1870</v>
      </c>
      <c r="L491" s="246" t="s">
        <v>1705</v>
      </c>
      <c r="M491" s="246" t="s">
        <v>2131</v>
      </c>
      <c r="N491" t="s">
        <v>1870</v>
      </c>
      <c r="O491" s="247" t="s">
        <v>1761</v>
      </c>
      <c r="Q491" s="3">
        <v>0</v>
      </c>
    </row>
    <row r="492" spans="1:18" x14ac:dyDescent="0.3">
      <c r="A492" s="249" t="s">
        <v>1870</v>
      </c>
      <c r="B492" s="246">
        <v>600</v>
      </c>
      <c r="C492" t="s">
        <v>1870</v>
      </c>
      <c r="D492" t="s">
        <v>1870</v>
      </c>
      <c r="E492" s="246" t="s">
        <v>183</v>
      </c>
      <c r="F492">
        <v>0</v>
      </c>
      <c r="G492" t="s">
        <v>1870</v>
      </c>
      <c r="H492" s="248" t="s">
        <v>1234</v>
      </c>
      <c r="I492" s="246" t="s">
        <v>1533</v>
      </c>
      <c r="J492" t="s">
        <v>1870</v>
      </c>
      <c r="K492" t="s">
        <v>1870</v>
      </c>
      <c r="L492" s="246" t="s">
        <v>1705</v>
      </c>
      <c r="M492" s="246" t="s">
        <v>2132</v>
      </c>
      <c r="N492" t="s">
        <v>1870</v>
      </c>
      <c r="O492" s="247" t="s">
        <v>1762</v>
      </c>
      <c r="Q492" s="3">
        <v>0</v>
      </c>
    </row>
    <row r="493" spans="1:18" x14ac:dyDescent="0.3">
      <c r="A493" s="249" t="s">
        <v>1870</v>
      </c>
      <c r="B493" s="246">
        <v>600</v>
      </c>
      <c r="C493" t="s">
        <v>1870</v>
      </c>
      <c r="D493" t="s">
        <v>1870</v>
      </c>
      <c r="E493" s="246" t="s">
        <v>183</v>
      </c>
      <c r="F493" s="7">
        <v>1</v>
      </c>
      <c r="G493" t="s">
        <v>1870</v>
      </c>
      <c r="H493" t="s">
        <v>1236</v>
      </c>
      <c r="I493" s="7" t="s">
        <v>1489</v>
      </c>
      <c r="J493" t="s">
        <v>1870</v>
      </c>
      <c r="K493" t="s">
        <v>1870</v>
      </c>
      <c r="L493" s="7" t="s">
        <v>1489</v>
      </c>
      <c r="M493" s="7" t="s">
        <v>1489</v>
      </c>
      <c r="N493" t="s">
        <v>1870</v>
      </c>
      <c r="O493" t="s">
        <v>1489</v>
      </c>
      <c r="Q493" s="3">
        <v>0</v>
      </c>
    </row>
    <row r="494" spans="1:18" x14ac:dyDescent="0.3">
      <c r="A494" s="249" t="s">
        <v>1870</v>
      </c>
      <c r="B494" s="246">
        <v>600</v>
      </c>
      <c r="C494" t="s">
        <v>1870</v>
      </c>
      <c r="D494" t="s">
        <v>1870</v>
      </c>
      <c r="E494" s="7" t="s">
        <v>108</v>
      </c>
      <c r="F494" s="7">
        <v>0</v>
      </c>
      <c r="G494" t="s">
        <v>1870</v>
      </c>
      <c r="H494" t="s">
        <v>1238</v>
      </c>
      <c r="I494" t="s">
        <v>1489</v>
      </c>
      <c r="J494" t="s">
        <v>1870</v>
      </c>
      <c r="K494" t="s">
        <v>1870</v>
      </c>
      <c r="L494" t="s">
        <v>1489</v>
      </c>
      <c r="M494" t="s">
        <v>1489</v>
      </c>
      <c r="N494" t="s">
        <v>1870</v>
      </c>
      <c r="O494" t="s">
        <v>1489</v>
      </c>
      <c r="Q494" s="3">
        <v>0</v>
      </c>
    </row>
    <row r="495" spans="1:18" x14ac:dyDescent="0.3">
      <c r="A495" s="249" t="s">
        <v>1870</v>
      </c>
      <c r="B495" s="246">
        <v>600</v>
      </c>
      <c r="C495" t="s">
        <v>1870</v>
      </c>
      <c r="D495" t="s">
        <v>1870</v>
      </c>
      <c r="E495" s="246" t="s">
        <v>1111</v>
      </c>
      <c r="F495">
        <v>0</v>
      </c>
      <c r="G495" t="s">
        <v>1870</v>
      </c>
      <c r="H495" s="248" t="s">
        <v>1240</v>
      </c>
      <c r="I495" s="7" t="s">
        <v>1533</v>
      </c>
      <c r="J495" t="s">
        <v>1870</v>
      </c>
      <c r="K495" t="s">
        <v>1870</v>
      </c>
      <c r="L495" s="246" t="s">
        <v>1537</v>
      </c>
      <c r="M495" s="246" t="s">
        <v>2131</v>
      </c>
      <c r="N495" t="s">
        <v>1870</v>
      </c>
      <c r="O495" s="247" t="s">
        <v>1538</v>
      </c>
      <c r="P495" s="3">
        <v>-200</v>
      </c>
      <c r="Q495" s="3">
        <v>0</v>
      </c>
    </row>
    <row r="496" spans="1:18" x14ac:dyDescent="0.3">
      <c r="A496" s="249" t="s">
        <v>1870</v>
      </c>
      <c r="B496" s="246">
        <v>600</v>
      </c>
      <c r="C496" t="s">
        <v>1870</v>
      </c>
      <c r="D496" t="s">
        <v>1870</v>
      </c>
      <c r="E496" s="7" t="s">
        <v>175</v>
      </c>
      <c r="F496">
        <v>0</v>
      </c>
      <c r="G496" t="s">
        <v>1870</v>
      </c>
      <c r="H496" t="s">
        <v>1242</v>
      </c>
      <c r="I496" s="7" t="s">
        <v>1489</v>
      </c>
      <c r="J496" t="s">
        <v>1870</v>
      </c>
      <c r="K496" t="s">
        <v>1870</v>
      </c>
      <c r="L496" s="7" t="s">
        <v>1489</v>
      </c>
      <c r="M496" s="7" t="s">
        <v>1489</v>
      </c>
      <c r="N496" t="s">
        <v>1870</v>
      </c>
      <c r="O496" t="s">
        <v>1489</v>
      </c>
      <c r="Q496" s="3">
        <v>0</v>
      </c>
    </row>
    <row r="497" spans="1:18" x14ac:dyDescent="0.3">
      <c r="A497" s="249" t="s">
        <v>1870</v>
      </c>
      <c r="B497" s="246">
        <v>620</v>
      </c>
      <c r="C497" t="s">
        <v>1870</v>
      </c>
      <c r="D497" t="s">
        <v>1870</v>
      </c>
      <c r="E497" s="246">
        <v>306</v>
      </c>
      <c r="F497">
        <v>0</v>
      </c>
      <c r="G497" t="s">
        <v>1870</v>
      </c>
      <c r="H497" s="248" t="s">
        <v>1253</v>
      </c>
      <c r="I497" s="246" t="s">
        <v>1539</v>
      </c>
      <c r="J497" t="s">
        <v>1870</v>
      </c>
      <c r="K497" t="s">
        <v>1870</v>
      </c>
      <c r="L497" s="246" t="s">
        <v>1368</v>
      </c>
      <c r="M497" s="7" t="s">
        <v>2131</v>
      </c>
      <c r="N497" t="s">
        <v>1870</v>
      </c>
      <c r="O497" s="247" t="s">
        <v>1392</v>
      </c>
      <c r="Q497" s="3">
        <v>0</v>
      </c>
    </row>
    <row r="498" spans="1:18" x14ac:dyDescent="0.3">
      <c r="A498" s="249" t="s">
        <v>1870</v>
      </c>
      <c r="B498" s="246">
        <v>620</v>
      </c>
      <c r="C498" t="s">
        <v>1870</v>
      </c>
      <c r="D498" t="s">
        <v>1870</v>
      </c>
      <c r="E498" s="246">
        <v>306</v>
      </c>
      <c r="F498">
        <v>0</v>
      </c>
      <c r="G498" t="s">
        <v>1870</v>
      </c>
      <c r="H498" s="248" t="s">
        <v>1253</v>
      </c>
      <c r="I498" s="246" t="s">
        <v>1539</v>
      </c>
      <c r="J498" t="s">
        <v>1870</v>
      </c>
      <c r="K498" t="s">
        <v>1870</v>
      </c>
      <c r="L498" s="246" t="s">
        <v>1540</v>
      </c>
      <c r="M498" t="s">
        <v>2131</v>
      </c>
      <c r="N498" t="s">
        <v>1870</v>
      </c>
      <c r="O498" s="247" t="s">
        <v>1543</v>
      </c>
      <c r="Q498" s="3">
        <v>0</v>
      </c>
    </row>
    <row r="499" spans="1:18" x14ac:dyDescent="0.3">
      <c r="A499" s="249" t="s">
        <v>1870</v>
      </c>
      <c r="B499" s="246">
        <v>620</v>
      </c>
      <c r="C499" t="s">
        <v>1870</v>
      </c>
      <c r="D499" t="s">
        <v>1870</v>
      </c>
      <c r="E499" s="246">
        <v>306</v>
      </c>
      <c r="F499">
        <v>0</v>
      </c>
      <c r="G499" t="s">
        <v>1870</v>
      </c>
      <c r="H499" s="248" t="s">
        <v>1253</v>
      </c>
      <c r="I499" s="246" t="s">
        <v>1539</v>
      </c>
      <c r="J499" t="s">
        <v>1870</v>
      </c>
      <c r="K499" t="s">
        <v>1870</v>
      </c>
      <c r="L499" s="246" t="s">
        <v>1380</v>
      </c>
      <c r="M499" t="s">
        <v>2131</v>
      </c>
      <c r="N499" t="s">
        <v>1870</v>
      </c>
      <c r="O499" s="247" t="s">
        <v>1381</v>
      </c>
      <c r="Q499" s="3">
        <v>0</v>
      </c>
    </row>
    <row r="500" spans="1:18" x14ac:dyDescent="0.3">
      <c r="A500" s="249" t="s">
        <v>1870</v>
      </c>
      <c r="B500" s="246">
        <v>620</v>
      </c>
      <c r="C500" t="s">
        <v>1870</v>
      </c>
      <c r="D500" t="s">
        <v>1870</v>
      </c>
      <c r="E500" s="246" t="s">
        <v>3</v>
      </c>
      <c r="F500">
        <v>0</v>
      </c>
      <c r="G500" t="s">
        <v>1870</v>
      </c>
      <c r="H500" s="248" t="s">
        <v>1245</v>
      </c>
      <c r="I500" t="s">
        <v>1539</v>
      </c>
      <c r="J500" t="s">
        <v>1870</v>
      </c>
      <c r="K500" t="s">
        <v>1870</v>
      </c>
      <c r="L500" s="246" t="s">
        <v>1696</v>
      </c>
      <c r="M500" t="s">
        <v>2131</v>
      </c>
      <c r="N500" t="s">
        <v>1870</v>
      </c>
      <c r="O500" s="247" t="s">
        <v>1981</v>
      </c>
      <c r="P500" s="3">
        <v>51802.400000000001</v>
      </c>
      <c r="Q500" s="3">
        <v>47000</v>
      </c>
    </row>
    <row r="501" spans="1:18" x14ac:dyDescent="0.3">
      <c r="A501" s="249" t="s">
        <v>1870</v>
      </c>
      <c r="B501" s="246">
        <v>620</v>
      </c>
      <c r="C501" t="s">
        <v>1870</v>
      </c>
      <c r="D501" t="s">
        <v>1870</v>
      </c>
      <c r="E501" s="246" t="s">
        <v>16</v>
      </c>
      <c r="F501">
        <v>0</v>
      </c>
      <c r="G501" t="s">
        <v>1870</v>
      </c>
      <c r="H501" s="248" t="s">
        <v>1247</v>
      </c>
      <c r="I501" t="s">
        <v>1539</v>
      </c>
      <c r="J501" t="s">
        <v>1870</v>
      </c>
      <c r="K501" t="s">
        <v>1870</v>
      </c>
      <c r="L501" t="s">
        <v>1696</v>
      </c>
      <c r="M501" t="s">
        <v>2131</v>
      </c>
      <c r="N501" t="s">
        <v>1870</v>
      </c>
      <c r="O501" s="247" t="s">
        <v>1981</v>
      </c>
      <c r="P501" s="3">
        <v>4885.5</v>
      </c>
      <c r="Q501" s="3">
        <v>4500</v>
      </c>
    </row>
    <row r="502" spans="1:18" x14ac:dyDescent="0.3">
      <c r="A502" s="249" t="s">
        <v>1870</v>
      </c>
      <c r="B502" s="246">
        <v>620</v>
      </c>
      <c r="C502" t="s">
        <v>1870</v>
      </c>
      <c r="D502" t="s">
        <v>1870</v>
      </c>
      <c r="E502" s="246" t="s">
        <v>38</v>
      </c>
      <c r="F502">
        <v>0</v>
      </c>
      <c r="G502" t="s">
        <v>1870</v>
      </c>
      <c r="H502" s="248" t="s">
        <v>1249</v>
      </c>
      <c r="I502" t="s">
        <v>1539</v>
      </c>
      <c r="J502" t="s">
        <v>1870</v>
      </c>
      <c r="K502" t="s">
        <v>1870</v>
      </c>
      <c r="L502" t="s">
        <v>1696</v>
      </c>
      <c r="M502" t="s">
        <v>2131</v>
      </c>
      <c r="N502" t="s">
        <v>1870</v>
      </c>
      <c r="O502" s="247" t="s">
        <v>1981</v>
      </c>
      <c r="P502" s="3">
        <v>5304.8</v>
      </c>
      <c r="Q502" s="3">
        <v>6000</v>
      </c>
    </row>
    <row r="503" spans="1:18" x14ac:dyDescent="0.3">
      <c r="A503" s="249" t="s">
        <v>1870</v>
      </c>
      <c r="B503" s="246">
        <v>620</v>
      </c>
      <c r="C503" t="s">
        <v>1870</v>
      </c>
      <c r="D503" t="s">
        <v>1870</v>
      </c>
      <c r="E503" s="246" t="s">
        <v>19</v>
      </c>
      <c r="F503">
        <v>0</v>
      </c>
      <c r="G503" t="s">
        <v>1870</v>
      </c>
      <c r="H503" s="248" t="s">
        <v>1251</v>
      </c>
      <c r="I503" t="s">
        <v>1539</v>
      </c>
      <c r="J503" t="s">
        <v>1870</v>
      </c>
      <c r="K503" t="s">
        <v>1870</v>
      </c>
      <c r="L503" t="s">
        <v>1696</v>
      </c>
      <c r="M503" t="s">
        <v>2131</v>
      </c>
      <c r="N503" t="s">
        <v>1870</v>
      </c>
      <c r="O503" s="247" t="s">
        <v>1981</v>
      </c>
      <c r="P503" s="3">
        <v>1206.3</v>
      </c>
      <c r="Q503" s="3">
        <v>1100</v>
      </c>
    </row>
    <row r="504" spans="1:18" x14ac:dyDescent="0.3">
      <c r="A504" s="249" t="s">
        <v>1870</v>
      </c>
      <c r="B504" s="246">
        <v>620</v>
      </c>
      <c r="C504" t="s">
        <v>1870</v>
      </c>
      <c r="D504" t="s">
        <v>1870</v>
      </c>
      <c r="E504" s="246" t="s">
        <v>22</v>
      </c>
      <c r="F504">
        <v>0</v>
      </c>
      <c r="G504" t="s">
        <v>1870</v>
      </c>
      <c r="H504" s="248" t="s">
        <v>1253</v>
      </c>
      <c r="I504" t="s">
        <v>1539</v>
      </c>
      <c r="J504" t="s">
        <v>1870</v>
      </c>
      <c r="K504" t="s">
        <v>1870</v>
      </c>
      <c r="L504" t="s">
        <v>1696</v>
      </c>
      <c r="M504" t="s">
        <v>2131</v>
      </c>
      <c r="N504" t="s">
        <v>1870</v>
      </c>
      <c r="O504" s="247" t="s">
        <v>1981</v>
      </c>
      <c r="P504" s="3">
        <v>32.25</v>
      </c>
      <c r="Q504" s="3">
        <v>0</v>
      </c>
    </row>
    <row r="505" spans="1:18" x14ac:dyDescent="0.3">
      <c r="A505" s="249" t="s">
        <v>1870</v>
      </c>
      <c r="B505" s="246">
        <v>620</v>
      </c>
      <c r="C505" t="s">
        <v>1870</v>
      </c>
      <c r="D505" t="s">
        <v>1870</v>
      </c>
      <c r="E505" s="246" t="s">
        <v>48</v>
      </c>
      <c r="F505">
        <v>0</v>
      </c>
      <c r="G505" t="s">
        <v>1870</v>
      </c>
      <c r="H505" s="248" t="s">
        <v>1255</v>
      </c>
      <c r="I505" s="246" t="s">
        <v>1408</v>
      </c>
      <c r="J505" t="s">
        <v>1870</v>
      </c>
      <c r="K505" t="s">
        <v>1870</v>
      </c>
      <c r="L505" s="246" t="s">
        <v>1397</v>
      </c>
      <c r="M505" t="s">
        <v>2131</v>
      </c>
      <c r="N505" t="s">
        <v>1870</v>
      </c>
      <c r="O505" s="247" t="s">
        <v>1695</v>
      </c>
      <c r="Q505" s="3">
        <v>0</v>
      </c>
    </row>
    <row r="506" spans="1:18" x14ac:dyDescent="0.3">
      <c r="A506" s="249" t="s">
        <v>1870</v>
      </c>
      <c r="B506" s="246">
        <v>620</v>
      </c>
      <c r="C506" t="s">
        <v>1870</v>
      </c>
      <c r="D506" t="s">
        <v>1870</v>
      </c>
      <c r="E506" s="246" t="s">
        <v>48</v>
      </c>
      <c r="F506">
        <v>0</v>
      </c>
      <c r="G506" t="s">
        <v>1870</v>
      </c>
      <c r="H506" s="248" t="s">
        <v>1255</v>
      </c>
      <c r="I506" s="246" t="s">
        <v>1539</v>
      </c>
      <c r="J506" t="s">
        <v>1870</v>
      </c>
      <c r="K506" t="s">
        <v>1870</v>
      </c>
      <c r="L506" s="246" t="s">
        <v>1546</v>
      </c>
      <c r="M506" t="s">
        <v>2131</v>
      </c>
      <c r="N506" t="s">
        <v>1870</v>
      </c>
      <c r="O506" s="247" t="s">
        <v>2070</v>
      </c>
      <c r="P506" s="3">
        <v>11538.35</v>
      </c>
      <c r="Q506" s="3">
        <v>16000</v>
      </c>
    </row>
    <row r="507" spans="1:18" x14ac:dyDescent="0.3">
      <c r="A507" s="249" t="s">
        <v>1870</v>
      </c>
      <c r="B507" s="246">
        <v>620</v>
      </c>
      <c r="C507" t="s">
        <v>1870</v>
      </c>
      <c r="D507" t="s">
        <v>1870</v>
      </c>
      <c r="E507" s="7" t="s">
        <v>28</v>
      </c>
      <c r="F507" s="7">
        <v>1</v>
      </c>
      <c r="G507" t="s">
        <v>1870</v>
      </c>
      <c r="H507" t="s">
        <v>1257</v>
      </c>
      <c r="I507" s="7" t="s">
        <v>1489</v>
      </c>
      <c r="J507" t="s">
        <v>1870</v>
      </c>
      <c r="K507" t="s">
        <v>1870</v>
      </c>
      <c r="L507" s="7" t="s">
        <v>1489</v>
      </c>
      <c r="M507" s="7" t="s">
        <v>1489</v>
      </c>
      <c r="N507" t="s">
        <v>1870</v>
      </c>
      <c r="O507" t="s">
        <v>1489</v>
      </c>
      <c r="Q507" s="3">
        <v>0</v>
      </c>
    </row>
    <row r="508" spans="1:18" x14ac:dyDescent="0.3">
      <c r="A508" s="249" t="s">
        <v>1870</v>
      </c>
      <c r="B508" s="246">
        <v>620</v>
      </c>
      <c r="C508" t="s">
        <v>1870</v>
      </c>
      <c r="D508" t="s">
        <v>1870</v>
      </c>
      <c r="E508" s="246" t="s">
        <v>108</v>
      </c>
      <c r="F508" s="7">
        <v>0</v>
      </c>
      <c r="G508" t="s">
        <v>1870</v>
      </c>
      <c r="H508" s="248" t="s">
        <v>1259</v>
      </c>
      <c r="I508" s="246" t="s">
        <v>1408</v>
      </c>
      <c r="J508" t="s">
        <v>1870</v>
      </c>
      <c r="K508" t="s">
        <v>1870</v>
      </c>
      <c r="L508" s="246" t="s">
        <v>1423</v>
      </c>
      <c r="M508" s="7" t="s">
        <v>2131</v>
      </c>
      <c r="N508" t="s">
        <v>1870</v>
      </c>
      <c r="O508" s="247" t="s">
        <v>1694</v>
      </c>
      <c r="Q508" s="3">
        <v>0</v>
      </c>
    </row>
    <row r="509" spans="1:18" x14ac:dyDescent="0.3">
      <c r="A509" s="249" t="s">
        <v>1870</v>
      </c>
      <c r="B509" s="246">
        <v>620</v>
      </c>
      <c r="C509" t="s">
        <v>1870</v>
      </c>
      <c r="D509" t="s">
        <v>1870</v>
      </c>
      <c r="E509" s="246" t="s">
        <v>108</v>
      </c>
      <c r="F509" s="7">
        <v>0</v>
      </c>
      <c r="G509" t="s">
        <v>1870</v>
      </c>
      <c r="H509" s="248" t="s">
        <v>1259</v>
      </c>
      <c r="I509" s="246" t="s">
        <v>1539</v>
      </c>
      <c r="J509" t="s">
        <v>1870</v>
      </c>
      <c r="K509" t="s">
        <v>1870</v>
      </c>
      <c r="L509" t="s">
        <v>1423</v>
      </c>
      <c r="M509" t="s">
        <v>2131</v>
      </c>
      <c r="N509" t="s">
        <v>1870</v>
      </c>
      <c r="O509" s="247" t="s">
        <v>2092</v>
      </c>
      <c r="P509" s="3">
        <v>-21648</v>
      </c>
      <c r="Q509" s="3">
        <v>-29000</v>
      </c>
    </row>
    <row r="510" spans="1:18" x14ac:dyDescent="0.3">
      <c r="A510" s="249" t="s">
        <v>1870</v>
      </c>
      <c r="B510" s="246">
        <v>620</v>
      </c>
      <c r="C510" t="s">
        <v>1870</v>
      </c>
      <c r="D510" t="s">
        <v>1870</v>
      </c>
      <c r="E510" s="7" t="s">
        <v>272</v>
      </c>
      <c r="F510">
        <v>0</v>
      </c>
      <c r="G510" t="s">
        <v>1870</v>
      </c>
      <c r="H510" t="s">
        <v>1261</v>
      </c>
      <c r="I510" s="7" t="s">
        <v>1489</v>
      </c>
      <c r="J510" t="s">
        <v>1870</v>
      </c>
      <c r="K510" t="s">
        <v>1870</v>
      </c>
      <c r="L510" s="7" t="s">
        <v>1489</v>
      </c>
      <c r="M510" s="7" t="s">
        <v>1489</v>
      </c>
      <c r="N510" t="s">
        <v>1870</v>
      </c>
      <c r="O510" t="s">
        <v>1489</v>
      </c>
      <c r="Q510" s="3">
        <v>0</v>
      </c>
    </row>
    <row r="511" spans="1:18" x14ac:dyDescent="0.3">
      <c r="A511" s="249" t="s">
        <v>1870</v>
      </c>
      <c r="B511" s="246">
        <v>650</v>
      </c>
      <c r="C511" t="s">
        <v>1870</v>
      </c>
      <c r="D511" t="s">
        <v>1870</v>
      </c>
      <c r="E511" s="7" t="s">
        <v>45</v>
      </c>
      <c r="F511">
        <v>0</v>
      </c>
      <c r="G511" t="s">
        <v>1870</v>
      </c>
      <c r="H511" t="s">
        <v>1264</v>
      </c>
      <c r="I511" t="s">
        <v>1489</v>
      </c>
      <c r="J511" t="s">
        <v>1870</v>
      </c>
      <c r="K511" t="s">
        <v>1870</v>
      </c>
      <c r="L511" t="s">
        <v>1489</v>
      </c>
      <c r="M511" t="s">
        <v>1489</v>
      </c>
      <c r="N511" t="s">
        <v>1870</v>
      </c>
      <c r="O511" t="s">
        <v>1994</v>
      </c>
      <c r="P511" s="3">
        <v>4250.45</v>
      </c>
      <c r="Q511" s="3">
        <v>7500</v>
      </c>
      <c r="R511" s="3">
        <v>0</v>
      </c>
    </row>
    <row r="512" spans="1:18" x14ac:dyDescent="0.3">
      <c r="A512" s="249" t="s">
        <v>1870</v>
      </c>
      <c r="B512" s="246">
        <v>650</v>
      </c>
      <c r="C512" t="s">
        <v>1870</v>
      </c>
      <c r="D512" t="s">
        <v>1870</v>
      </c>
      <c r="E512" s="246" t="s">
        <v>5</v>
      </c>
      <c r="F512">
        <v>0</v>
      </c>
      <c r="G512" t="s">
        <v>1870</v>
      </c>
      <c r="H512" s="248" t="s">
        <v>1266</v>
      </c>
      <c r="I512" s="246" t="s">
        <v>1549</v>
      </c>
      <c r="J512" t="s">
        <v>1870</v>
      </c>
      <c r="K512" t="s">
        <v>1870</v>
      </c>
      <c r="L512" s="246" t="s">
        <v>1398</v>
      </c>
      <c r="M512" s="7" t="s">
        <v>2131</v>
      </c>
      <c r="N512" t="s">
        <v>1870</v>
      </c>
      <c r="O512" s="247" t="s">
        <v>2055</v>
      </c>
      <c r="P512" s="3">
        <v>86196.9</v>
      </c>
      <c r="Q512" s="3">
        <v>87500</v>
      </c>
    </row>
    <row r="513" spans="1:18" x14ac:dyDescent="0.3">
      <c r="A513" s="249" t="s">
        <v>1870</v>
      </c>
      <c r="B513" s="246">
        <v>650</v>
      </c>
      <c r="C513" t="s">
        <v>1870</v>
      </c>
      <c r="D513" t="s">
        <v>1870</v>
      </c>
      <c r="E513" s="7" t="s">
        <v>61</v>
      </c>
      <c r="F513">
        <v>0</v>
      </c>
      <c r="G513" t="s">
        <v>1870</v>
      </c>
      <c r="H513" t="s">
        <v>1268</v>
      </c>
      <c r="I513" s="7" t="s">
        <v>1489</v>
      </c>
      <c r="J513" t="s">
        <v>1870</v>
      </c>
      <c r="K513" t="s">
        <v>1870</v>
      </c>
      <c r="L513" s="7" t="s">
        <v>1489</v>
      </c>
      <c r="M513" s="7" t="s">
        <v>1489</v>
      </c>
      <c r="N513" t="s">
        <v>1870</v>
      </c>
      <c r="O513" t="s">
        <v>1489</v>
      </c>
      <c r="Q513" s="3">
        <v>0</v>
      </c>
    </row>
    <row r="514" spans="1:18" x14ac:dyDescent="0.3">
      <c r="A514" s="249" t="s">
        <v>1870</v>
      </c>
      <c r="B514" s="246">
        <v>650</v>
      </c>
      <c r="C514" t="s">
        <v>1870</v>
      </c>
      <c r="D514" t="s">
        <v>1870</v>
      </c>
      <c r="E514" s="7" t="s">
        <v>345</v>
      </c>
      <c r="F514">
        <v>0</v>
      </c>
      <c r="G514" t="s">
        <v>1870</v>
      </c>
      <c r="H514" t="s">
        <v>1270</v>
      </c>
      <c r="I514" t="s">
        <v>1489</v>
      </c>
      <c r="J514" t="s">
        <v>1870</v>
      </c>
      <c r="K514" t="s">
        <v>1870</v>
      </c>
      <c r="L514" t="s">
        <v>1489</v>
      </c>
      <c r="M514" t="s">
        <v>1489</v>
      </c>
      <c r="N514" t="s">
        <v>1870</v>
      </c>
      <c r="O514" t="s">
        <v>1994</v>
      </c>
      <c r="P514" s="3">
        <v>-4250.45</v>
      </c>
      <c r="Q514" s="3">
        <v>0</v>
      </c>
      <c r="R514" s="3">
        <v>0</v>
      </c>
    </row>
    <row r="515" spans="1:18" x14ac:dyDescent="0.3">
      <c r="A515" s="249" t="s">
        <v>1870</v>
      </c>
      <c r="B515" s="246">
        <v>660</v>
      </c>
      <c r="C515" t="s">
        <v>1870</v>
      </c>
      <c r="D515" t="s">
        <v>1870</v>
      </c>
      <c r="E515" s="7" t="s">
        <v>5</v>
      </c>
      <c r="F515">
        <v>0</v>
      </c>
      <c r="G515" t="s">
        <v>1870</v>
      </c>
      <c r="H515" s="248" t="s">
        <v>1273</v>
      </c>
      <c r="I515" s="246" t="s">
        <v>1550</v>
      </c>
      <c r="J515" t="s">
        <v>1870</v>
      </c>
      <c r="K515" t="s">
        <v>1870</v>
      </c>
      <c r="L515" s="7" t="s">
        <v>1398</v>
      </c>
      <c r="M515" s="7" t="s">
        <v>2131</v>
      </c>
      <c r="N515" t="s">
        <v>1870</v>
      </c>
      <c r="O515" s="247" t="s">
        <v>2056</v>
      </c>
      <c r="P515" s="3">
        <v>39055.550000000003</v>
      </c>
      <c r="Q515" s="3">
        <v>46500</v>
      </c>
    </row>
    <row r="516" spans="1:18" x14ac:dyDescent="0.3">
      <c r="A516" s="249" t="s">
        <v>1870</v>
      </c>
      <c r="B516" s="246">
        <v>660</v>
      </c>
      <c r="C516" t="s">
        <v>1870</v>
      </c>
      <c r="D516" t="s">
        <v>1870</v>
      </c>
      <c r="E516" s="7" t="s">
        <v>6</v>
      </c>
      <c r="F516">
        <v>0</v>
      </c>
      <c r="G516" t="s">
        <v>1870</v>
      </c>
      <c r="H516" t="s">
        <v>1275</v>
      </c>
      <c r="I516" s="7" t="s">
        <v>1489</v>
      </c>
      <c r="J516" t="s">
        <v>1870</v>
      </c>
      <c r="K516" t="s">
        <v>1870</v>
      </c>
      <c r="L516" s="7" t="s">
        <v>1489</v>
      </c>
      <c r="M516" s="7" t="s">
        <v>1489</v>
      </c>
      <c r="N516" t="s">
        <v>1870</v>
      </c>
      <c r="O516" t="s">
        <v>1489</v>
      </c>
      <c r="Q516" s="3">
        <v>0</v>
      </c>
    </row>
    <row r="517" spans="1:18" x14ac:dyDescent="0.3">
      <c r="A517" s="249" t="s">
        <v>1870</v>
      </c>
      <c r="B517" s="246">
        <v>660</v>
      </c>
      <c r="C517" t="s">
        <v>1870</v>
      </c>
      <c r="D517" t="s">
        <v>1870</v>
      </c>
      <c r="E517" s="7" t="s">
        <v>351</v>
      </c>
      <c r="F517">
        <v>0</v>
      </c>
      <c r="G517" t="s">
        <v>1870</v>
      </c>
      <c r="H517" t="s">
        <v>1277</v>
      </c>
      <c r="I517" t="s">
        <v>1489</v>
      </c>
      <c r="J517" t="s">
        <v>1870</v>
      </c>
      <c r="K517" t="s">
        <v>1870</v>
      </c>
      <c r="L517" t="s">
        <v>1489</v>
      </c>
      <c r="M517" t="s">
        <v>1489</v>
      </c>
      <c r="N517" t="s">
        <v>1870</v>
      </c>
      <c r="O517" t="s">
        <v>1489</v>
      </c>
      <c r="Q517" s="3">
        <v>0</v>
      </c>
    </row>
    <row r="518" spans="1:18" x14ac:dyDescent="0.3">
      <c r="A518" s="249" t="s">
        <v>1870</v>
      </c>
      <c r="B518" s="246">
        <v>660</v>
      </c>
      <c r="C518" t="s">
        <v>1870</v>
      </c>
      <c r="D518" t="s">
        <v>1870</v>
      </c>
      <c r="E518" s="7" t="s">
        <v>64</v>
      </c>
      <c r="F518">
        <v>0</v>
      </c>
      <c r="G518" t="s">
        <v>1870</v>
      </c>
      <c r="H518" t="s">
        <v>1279</v>
      </c>
      <c r="I518" t="s">
        <v>1489</v>
      </c>
      <c r="J518" t="s">
        <v>1870</v>
      </c>
      <c r="K518" t="s">
        <v>1870</v>
      </c>
      <c r="L518" t="s">
        <v>1489</v>
      </c>
      <c r="M518" t="s">
        <v>1489</v>
      </c>
      <c r="N518" t="s">
        <v>1870</v>
      </c>
      <c r="O518" t="s">
        <v>1489</v>
      </c>
      <c r="Q518" s="3">
        <v>0</v>
      </c>
    </row>
    <row r="519" spans="1:18" x14ac:dyDescent="0.3">
      <c r="A519" s="249" t="s">
        <v>1870</v>
      </c>
      <c r="B519" s="246">
        <v>710</v>
      </c>
      <c r="C519" t="s">
        <v>1870</v>
      </c>
      <c r="D519" t="s">
        <v>1870</v>
      </c>
      <c r="E519" s="7" t="s">
        <v>183</v>
      </c>
      <c r="F519">
        <v>0</v>
      </c>
      <c r="G519" t="s">
        <v>1870</v>
      </c>
      <c r="H519" t="s">
        <v>1282</v>
      </c>
      <c r="I519" t="s">
        <v>1489</v>
      </c>
      <c r="J519" t="s">
        <v>1870</v>
      </c>
      <c r="K519" t="s">
        <v>1870</v>
      </c>
      <c r="L519" t="s">
        <v>1489</v>
      </c>
      <c r="M519" t="s">
        <v>1489</v>
      </c>
      <c r="N519" t="s">
        <v>1870</v>
      </c>
      <c r="O519" t="s">
        <v>1489</v>
      </c>
      <c r="Q519" s="3">
        <v>0</v>
      </c>
    </row>
    <row r="520" spans="1:18" x14ac:dyDescent="0.3">
      <c r="A520" s="249" t="s">
        <v>1870</v>
      </c>
      <c r="B520" s="246">
        <v>710</v>
      </c>
      <c r="C520" t="s">
        <v>1870</v>
      </c>
      <c r="D520" t="s">
        <v>1870</v>
      </c>
      <c r="E520" s="7" t="s">
        <v>5</v>
      </c>
      <c r="F520">
        <v>0</v>
      </c>
      <c r="G520" t="s">
        <v>1870</v>
      </c>
      <c r="H520" t="s">
        <v>1284</v>
      </c>
      <c r="I520" t="s">
        <v>1489</v>
      </c>
      <c r="J520" t="s">
        <v>1870</v>
      </c>
      <c r="K520" t="s">
        <v>1870</v>
      </c>
      <c r="L520" t="s">
        <v>1489</v>
      </c>
      <c r="M520" t="s">
        <v>1489</v>
      </c>
      <c r="N520" t="s">
        <v>1870</v>
      </c>
      <c r="O520" t="s">
        <v>1489</v>
      </c>
      <c r="Q520" s="3">
        <v>0</v>
      </c>
    </row>
    <row r="521" spans="1:18" x14ac:dyDescent="0.3">
      <c r="A521" s="249" t="s">
        <v>1870</v>
      </c>
      <c r="B521" s="246">
        <v>710</v>
      </c>
      <c r="C521" t="s">
        <v>1870</v>
      </c>
      <c r="D521" t="s">
        <v>1870</v>
      </c>
      <c r="E521" s="246" t="s">
        <v>99</v>
      </c>
      <c r="F521">
        <v>0</v>
      </c>
      <c r="G521" t="s">
        <v>1870</v>
      </c>
      <c r="H521" s="248" t="s">
        <v>1286</v>
      </c>
      <c r="I521" s="246" t="s">
        <v>1551</v>
      </c>
      <c r="J521" t="s">
        <v>1870</v>
      </c>
      <c r="K521" t="s">
        <v>1870</v>
      </c>
      <c r="L521" s="246" t="s">
        <v>1552</v>
      </c>
      <c r="M521" s="7" t="s">
        <v>2131</v>
      </c>
      <c r="N521" t="s">
        <v>1870</v>
      </c>
      <c r="O521" s="247" t="s">
        <v>1553</v>
      </c>
      <c r="P521" s="3">
        <v>4018</v>
      </c>
      <c r="Q521" s="3">
        <v>3500</v>
      </c>
    </row>
    <row r="522" spans="1:18" x14ac:dyDescent="0.3">
      <c r="A522" s="249" t="s">
        <v>1870</v>
      </c>
      <c r="B522" s="246">
        <v>710</v>
      </c>
      <c r="C522" t="s">
        <v>1870</v>
      </c>
      <c r="D522" t="s">
        <v>1870</v>
      </c>
      <c r="E522" s="246" t="s">
        <v>99</v>
      </c>
      <c r="F522" s="246">
        <v>1</v>
      </c>
      <c r="G522" t="s">
        <v>1870</v>
      </c>
      <c r="H522" s="248" t="s">
        <v>1288</v>
      </c>
      <c r="I522" s="246" t="s">
        <v>1557</v>
      </c>
      <c r="J522" t="s">
        <v>1870</v>
      </c>
      <c r="K522" t="s">
        <v>1870</v>
      </c>
      <c r="L522" s="246" t="s">
        <v>1398</v>
      </c>
      <c r="M522" t="s">
        <v>2131</v>
      </c>
      <c r="N522" t="s">
        <v>1870</v>
      </c>
      <c r="O522" s="247" t="s">
        <v>2058</v>
      </c>
      <c r="P522" s="3">
        <v>253273.15</v>
      </c>
      <c r="Q522" s="3">
        <v>0</v>
      </c>
    </row>
    <row r="523" spans="1:18" x14ac:dyDescent="0.3">
      <c r="A523" s="249" t="s">
        <v>1870</v>
      </c>
      <c r="B523" s="246">
        <v>710</v>
      </c>
      <c r="C523" t="s">
        <v>1870</v>
      </c>
      <c r="D523" t="s">
        <v>1870</v>
      </c>
      <c r="E523" s="246" t="s">
        <v>99</v>
      </c>
      <c r="F523" s="246">
        <v>1</v>
      </c>
      <c r="G523" t="s">
        <v>1870</v>
      </c>
      <c r="H523" s="248" t="s">
        <v>1288</v>
      </c>
      <c r="I523" s="246" t="s">
        <v>1555</v>
      </c>
      <c r="J523" t="s">
        <v>1870</v>
      </c>
      <c r="K523" t="s">
        <v>1870</v>
      </c>
      <c r="L523" t="s">
        <v>1398</v>
      </c>
      <c r="M523" t="s">
        <v>2131</v>
      </c>
      <c r="N523" t="s">
        <v>1870</v>
      </c>
      <c r="O523" s="247" t="s">
        <v>2057</v>
      </c>
      <c r="P523" s="3">
        <v>253273.15</v>
      </c>
      <c r="Q523" s="3">
        <v>443793</v>
      </c>
    </row>
    <row r="524" spans="1:18" x14ac:dyDescent="0.3">
      <c r="A524" s="249" t="s">
        <v>1870</v>
      </c>
      <c r="B524" s="246">
        <v>710</v>
      </c>
      <c r="C524" t="s">
        <v>1870</v>
      </c>
      <c r="D524" t="s">
        <v>1870</v>
      </c>
      <c r="E524" s="246" t="s">
        <v>1196</v>
      </c>
      <c r="F524" s="246">
        <v>0</v>
      </c>
      <c r="G524" t="s">
        <v>1870</v>
      </c>
      <c r="H524" s="248" t="s">
        <v>1290</v>
      </c>
      <c r="I524" t="s">
        <v>1555</v>
      </c>
      <c r="J524" t="s">
        <v>1870</v>
      </c>
      <c r="K524" t="s">
        <v>1870</v>
      </c>
      <c r="L524" s="246" t="s">
        <v>1562</v>
      </c>
      <c r="M524" t="s">
        <v>2131</v>
      </c>
      <c r="N524" t="s">
        <v>1870</v>
      </c>
      <c r="O524" s="247" t="s">
        <v>1563</v>
      </c>
      <c r="P524" s="3">
        <v>4475.34</v>
      </c>
      <c r="Q524" s="3">
        <v>5000</v>
      </c>
    </row>
    <row r="525" spans="1:18" x14ac:dyDescent="0.3">
      <c r="A525" s="249" t="s">
        <v>1870</v>
      </c>
      <c r="B525" s="246">
        <v>710</v>
      </c>
      <c r="C525" t="s">
        <v>1870</v>
      </c>
      <c r="D525" t="s">
        <v>1870</v>
      </c>
      <c r="E525" s="7" t="s">
        <v>28</v>
      </c>
      <c r="F525">
        <v>0</v>
      </c>
      <c r="G525" t="s">
        <v>1870</v>
      </c>
      <c r="H525" t="s">
        <v>1292</v>
      </c>
      <c r="I525" s="7" t="s">
        <v>1489</v>
      </c>
      <c r="J525" t="s">
        <v>1870</v>
      </c>
      <c r="K525" t="s">
        <v>1870</v>
      </c>
      <c r="L525" s="7" t="s">
        <v>1489</v>
      </c>
      <c r="M525" s="7" t="s">
        <v>1489</v>
      </c>
      <c r="N525" t="s">
        <v>1870</v>
      </c>
      <c r="O525" t="s">
        <v>1489</v>
      </c>
      <c r="Q525" s="3">
        <v>0</v>
      </c>
    </row>
    <row r="526" spans="1:18" x14ac:dyDescent="0.3">
      <c r="A526" s="249" t="s">
        <v>1870</v>
      </c>
      <c r="B526" s="246">
        <v>720</v>
      </c>
      <c r="C526" t="s">
        <v>1870</v>
      </c>
      <c r="D526" t="s">
        <v>1870</v>
      </c>
      <c r="E526" s="246" t="s">
        <v>183</v>
      </c>
      <c r="F526">
        <v>0</v>
      </c>
      <c r="G526" t="s">
        <v>1870</v>
      </c>
      <c r="H526" s="248" t="s">
        <v>1295</v>
      </c>
      <c r="I526" s="246" t="s">
        <v>1564</v>
      </c>
      <c r="J526" t="s">
        <v>1870</v>
      </c>
      <c r="K526" t="s">
        <v>1870</v>
      </c>
      <c r="L526" s="246" t="s">
        <v>1531</v>
      </c>
      <c r="M526" s="7" t="s">
        <v>2131</v>
      </c>
      <c r="N526" t="s">
        <v>1870</v>
      </c>
      <c r="O526" s="247" t="s">
        <v>2064</v>
      </c>
      <c r="P526" s="3">
        <v>2016376</v>
      </c>
      <c r="Q526" s="3">
        <v>1979716</v>
      </c>
      <c r="R526" s="3">
        <v>2064564</v>
      </c>
    </row>
    <row r="527" spans="1:18" x14ac:dyDescent="0.3">
      <c r="A527" s="249" t="s">
        <v>1870</v>
      </c>
      <c r="B527" s="246">
        <v>720</v>
      </c>
      <c r="C527" t="s">
        <v>1870</v>
      </c>
      <c r="D527" t="s">
        <v>1870</v>
      </c>
      <c r="E527" s="246" t="s">
        <v>183</v>
      </c>
      <c r="F527">
        <v>0</v>
      </c>
      <c r="G527" t="s">
        <v>1870</v>
      </c>
      <c r="H527" s="248" t="s">
        <v>1295</v>
      </c>
      <c r="I527" s="246" t="s">
        <v>1564</v>
      </c>
      <c r="J527" t="s">
        <v>1870</v>
      </c>
      <c r="K527" t="s">
        <v>1870</v>
      </c>
      <c r="L527" s="246" t="s">
        <v>1531</v>
      </c>
      <c r="M527" s="246" t="s">
        <v>2132</v>
      </c>
      <c r="N527" t="s">
        <v>1870</v>
      </c>
      <c r="O527" s="247" t="s">
        <v>2065</v>
      </c>
      <c r="Q527" s="3">
        <v>0</v>
      </c>
    </row>
    <row r="528" spans="1:18" x14ac:dyDescent="0.3">
      <c r="A528" s="249" t="s">
        <v>1870</v>
      </c>
      <c r="B528" s="246">
        <v>720</v>
      </c>
      <c r="C528" t="s">
        <v>1870</v>
      </c>
      <c r="D528" t="s">
        <v>1870</v>
      </c>
      <c r="E528" s="246" t="s">
        <v>183</v>
      </c>
      <c r="F528">
        <v>0</v>
      </c>
      <c r="G528" t="s">
        <v>1870</v>
      </c>
      <c r="H528" s="248" t="s">
        <v>1295</v>
      </c>
      <c r="I528" s="246" t="s">
        <v>1564</v>
      </c>
      <c r="J528" t="s">
        <v>1870</v>
      </c>
      <c r="K528" t="s">
        <v>1870</v>
      </c>
      <c r="L528" s="246" t="s">
        <v>1565</v>
      </c>
      <c r="M528" s="246" t="s">
        <v>2131</v>
      </c>
      <c r="N528" t="s">
        <v>1870</v>
      </c>
      <c r="O528" s="247" t="s">
        <v>2064</v>
      </c>
      <c r="Q528" s="3">
        <v>0</v>
      </c>
    </row>
    <row r="529" spans="1:18" x14ac:dyDescent="0.3">
      <c r="A529" s="249" t="s">
        <v>1870</v>
      </c>
      <c r="B529" s="246">
        <v>720</v>
      </c>
      <c r="C529" t="s">
        <v>1870</v>
      </c>
      <c r="D529" t="s">
        <v>1870</v>
      </c>
      <c r="E529" s="246" t="s">
        <v>183</v>
      </c>
      <c r="F529">
        <v>0</v>
      </c>
      <c r="G529" t="s">
        <v>1870</v>
      </c>
      <c r="H529" s="248" t="s">
        <v>1295</v>
      </c>
      <c r="I529" s="246" t="s">
        <v>1564</v>
      </c>
      <c r="J529" t="s">
        <v>1870</v>
      </c>
      <c r="K529" t="s">
        <v>1870</v>
      </c>
      <c r="L529" s="246" t="s">
        <v>1565</v>
      </c>
      <c r="M529" s="246" t="s">
        <v>2132</v>
      </c>
      <c r="N529" t="s">
        <v>1870</v>
      </c>
      <c r="O529" s="247" t="s">
        <v>2065</v>
      </c>
      <c r="Q529" s="3">
        <v>0</v>
      </c>
    </row>
    <row r="530" spans="1:18" x14ac:dyDescent="0.3">
      <c r="A530" s="249" t="s">
        <v>1870</v>
      </c>
      <c r="B530" s="246">
        <v>720</v>
      </c>
      <c r="C530" t="s">
        <v>1870</v>
      </c>
      <c r="D530" t="s">
        <v>1870</v>
      </c>
      <c r="E530" s="246" t="s">
        <v>183</v>
      </c>
      <c r="F530" s="7">
        <v>1</v>
      </c>
      <c r="G530" t="s">
        <v>1870</v>
      </c>
      <c r="H530" t="s">
        <v>1297</v>
      </c>
      <c r="I530" s="7" t="s">
        <v>1489</v>
      </c>
      <c r="J530" t="s">
        <v>1870</v>
      </c>
      <c r="K530" t="s">
        <v>1870</v>
      </c>
      <c r="L530" s="7" t="s">
        <v>1489</v>
      </c>
      <c r="M530" s="7" t="s">
        <v>1489</v>
      </c>
      <c r="N530" t="s">
        <v>1870</v>
      </c>
      <c r="O530" t="s">
        <v>1489</v>
      </c>
      <c r="Q530" s="3">
        <v>0</v>
      </c>
    </row>
    <row r="531" spans="1:18" x14ac:dyDescent="0.3">
      <c r="A531" s="249" t="s">
        <v>1870</v>
      </c>
      <c r="B531" s="246">
        <v>720</v>
      </c>
      <c r="C531" t="s">
        <v>1870</v>
      </c>
      <c r="D531" t="s">
        <v>1870</v>
      </c>
      <c r="E531" s="246" t="s">
        <v>5</v>
      </c>
      <c r="F531" s="7">
        <v>0</v>
      </c>
      <c r="G531" t="s">
        <v>1870</v>
      </c>
      <c r="H531" s="248" t="s">
        <v>1299</v>
      </c>
      <c r="I531" s="246" t="s">
        <v>1567</v>
      </c>
      <c r="J531" t="s">
        <v>1870</v>
      </c>
      <c r="K531" t="s">
        <v>1870</v>
      </c>
      <c r="L531" s="246" t="s">
        <v>1398</v>
      </c>
      <c r="M531" s="246" t="s">
        <v>2131</v>
      </c>
      <c r="N531" t="s">
        <v>1870</v>
      </c>
      <c r="O531" s="247" t="s">
        <v>2059</v>
      </c>
      <c r="P531" s="3">
        <v>4728.2</v>
      </c>
      <c r="Q531" s="3">
        <v>5000</v>
      </c>
    </row>
    <row r="532" spans="1:18" x14ac:dyDescent="0.3">
      <c r="A532" s="249" t="s">
        <v>1870</v>
      </c>
      <c r="B532" s="246">
        <v>720</v>
      </c>
      <c r="C532" t="s">
        <v>1870</v>
      </c>
      <c r="D532" t="s">
        <v>1870</v>
      </c>
      <c r="E532" s="7" t="s">
        <v>175</v>
      </c>
      <c r="F532">
        <v>0</v>
      </c>
      <c r="G532" t="s">
        <v>1870</v>
      </c>
      <c r="H532" t="s">
        <v>1301</v>
      </c>
      <c r="I532" s="7" t="s">
        <v>1489</v>
      </c>
      <c r="J532" t="s">
        <v>1870</v>
      </c>
      <c r="K532" t="s">
        <v>1870</v>
      </c>
      <c r="L532" s="7" t="s">
        <v>1489</v>
      </c>
      <c r="M532" s="7" t="s">
        <v>1489</v>
      </c>
      <c r="N532" t="s">
        <v>1870</v>
      </c>
      <c r="O532" t="s">
        <v>1489</v>
      </c>
      <c r="P532" s="3">
        <v>-50.5</v>
      </c>
      <c r="Q532" s="3">
        <v>0</v>
      </c>
    </row>
    <row r="533" spans="1:18" x14ac:dyDescent="0.3">
      <c r="A533" s="249" t="s">
        <v>1870</v>
      </c>
      <c r="B533" s="246">
        <v>720</v>
      </c>
      <c r="C533" t="s">
        <v>1870</v>
      </c>
      <c r="D533" t="s">
        <v>1870</v>
      </c>
      <c r="E533" s="7" t="s">
        <v>345</v>
      </c>
      <c r="F533">
        <v>0</v>
      </c>
      <c r="G533" t="s">
        <v>1870</v>
      </c>
      <c r="H533" t="s">
        <v>1303</v>
      </c>
      <c r="I533" t="s">
        <v>1489</v>
      </c>
      <c r="J533" t="s">
        <v>1870</v>
      </c>
      <c r="K533" t="s">
        <v>1870</v>
      </c>
      <c r="L533" t="s">
        <v>1489</v>
      </c>
      <c r="M533" t="s">
        <v>1489</v>
      </c>
      <c r="N533" t="s">
        <v>1870</v>
      </c>
      <c r="O533" t="s">
        <v>1489</v>
      </c>
      <c r="Q533" s="3">
        <v>0</v>
      </c>
    </row>
    <row r="534" spans="1:18" x14ac:dyDescent="0.3">
      <c r="A534" s="249" t="s">
        <v>1870</v>
      </c>
      <c r="B534" s="246">
        <v>810</v>
      </c>
      <c r="C534" t="s">
        <v>1870</v>
      </c>
      <c r="D534" t="s">
        <v>1870</v>
      </c>
      <c r="E534" s="246">
        <v>306</v>
      </c>
      <c r="F534">
        <v>0</v>
      </c>
      <c r="G534" t="s">
        <v>1870</v>
      </c>
      <c r="H534" s="248" t="s">
        <v>1314</v>
      </c>
      <c r="I534" s="246" t="s">
        <v>1587</v>
      </c>
      <c r="J534" t="s">
        <v>1870</v>
      </c>
      <c r="K534" t="s">
        <v>1870</v>
      </c>
      <c r="L534" s="246" t="s">
        <v>1382</v>
      </c>
      <c r="M534" s="7" t="s">
        <v>2131</v>
      </c>
      <c r="N534" t="s">
        <v>1870</v>
      </c>
      <c r="O534" s="247" t="s">
        <v>1383</v>
      </c>
      <c r="Q534" s="3">
        <v>0</v>
      </c>
    </row>
    <row r="535" spans="1:18" x14ac:dyDescent="0.3">
      <c r="A535" s="249" t="s">
        <v>1870</v>
      </c>
      <c r="B535" s="246">
        <v>810</v>
      </c>
      <c r="C535" t="s">
        <v>1870</v>
      </c>
      <c r="D535" t="s">
        <v>1870</v>
      </c>
      <c r="E535" s="246">
        <v>306</v>
      </c>
      <c r="F535">
        <v>0</v>
      </c>
      <c r="G535" t="s">
        <v>1870</v>
      </c>
      <c r="H535" s="248" t="s">
        <v>1314</v>
      </c>
      <c r="I535" s="246" t="s">
        <v>1587</v>
      </c>
      <c r="J535" t="s">
        <v>1870</v>
      </c>
      <c r="K535" t="s">
        <v>1870</v>
      </c>
      <c r="L535" s="246" t="s">
        <v>1540</v>
      </c>
      <c r="M535" t="s">
        <v>2131</v>
      </c>
      <c r="N535" t="s">
        <v>1870</v>
      </c>
      <c r="O535" s="247" t="s">
        <v>1543</v>
      </c>
      <c r="Q535" s="3">
        <v>0</v>
      </c>
    </row>
    <row r="536" spans="1:18" x14ac:dyDescent="0.3">
      <c r="A536" s="249" t="s">
        <v>1870</v>
      </c>
      <c r="B536" s="246">
        <v>810</v>
      </c>
      <c r="C536" t="s">
        <v>1870</v>
      </c>
      <c r="D536" t="s">
        <v>1870</v>
      </c>
      <c r="E536" s="246">
        <v>306</v>
      </c>
      <c r="F536">
        <v>0</v>
      </c>
      <c r="G536" t="s">
        <v>1870</v>
      </c>
      <c r="H536" s="248" t="s">
        <v>1314</v>
      </c>
      <c r="I536" s="246" t="s">
        <v>1587</v>
      </c>
      <c r="J536" t="s">
        <v>1870</v>
      </c>
      <c r="K536" t="s">
        <v>1870</v>
      </c>
      <c r="L536" s="246" t="s">
        <v>1380</v>
      </c>
      <c r="M536" t="s">
        <v>2131</v>
      </c>
      <c r="N536" t="s">
        <v>1870</v>
      </c>
      <c r="O536" s="247" t="s">
        <v>1381</v>
      </c>
      <c r="Q536" s="3">
        <v>0</v>
      </c>
    </row>
    <row r="537" spans="1:18" x14ac:dyDescent="0.3">
      <c r="A537" s="249" t="s">
        <v>1870</v>
      </c>
      <c r="B537" s="246">
        <v>810</v>
      </c>
      <c r="C537" t="s">
        <v>1870</v>
      </c>
      <c r="D537" t="s">
        <v>1870</v>
      </c>
      <c r="E537" s="246">
        <v>306</v>
      </c>
      <c r="F537">
        <v>0</v>
      </c>
      <c r="G537" t="s">
        <v>1870</v>
      </c>
      <c r="H537" s="248" t="s">
        <v>1314</v>
      </c>
      <c r="I537" s="246" t="s">
        <v>1587</v>
      </c>
      <c r="J537" t="s">
        <v>1870</v>
      </c>
      <c r="K537" t="s">
        <v>1870</v>
      </c>
      <c r="L537" s="246" t="s">
        <v>1393</v>
      </c>
      <c r="M537" t="s">
        <v>2131</v>
      </c>
      <c r="N537" t="s">
        <v>1870</v>
      </c>
      <c r="O537" s="247" t="s">
        <v>2073</v>
      </c>
      <c r="Q537" s="3">
        <v>0</v>
      </c>
    </row>
    <row r="538" spans="1:18" x14ac:dyDescent="0.3">
      <c r="A538" s="249" t="s">
        <v>1870</v>
      </c>
      <c r="B538" s="246">
        <v>810</v>
      </c>
      <c r="C538" t="s">
        <v>1870</v>
      </c>
      <c r="D538" t="s">
        <v>1870</v>
      </c>
      <c r="E538" s="246" t="s">
        <v>3</v>
      </c>
      <c r="F538">
        <v>0</v>
      </c>
      <c r="G538" t="s">
        <v>1870</v>
      </c>
      <c r="H538" s="248" t="s">
        <v>1306</v>
      </c>
      <c r="I538" t="s">
        <v>1587</v>
      </c>
      <c r="J538" t="s">
        <v>1870</v>
      </c>
      <c r="K538" t="s">
        <v>1870</v>
      </c>
      <c r="L538" s="246" t="s">
        <v>1410</v>
      </c>
      <c r="M538" t="s">
        <v>2131</v>
      </c>
      <c r="N538" t="s">
        <v>1870</v>
      </c>
      <c r="O538" s="247" t="s">
        <v>1411</v>
      </c>
      <c r="P538" s="3">
        <v>31015.65</v>
      </c>
      <c r="Q538" s="3">
        <v>28200</v>
      </c>
      <c r="R538" s="3">
        <v>0</v>
      </c>
    </row>
    <row r="539" spans="1:18" x14ac:dyDescent="0.3">
      <c r="A539" s="249" t="s">
        <v>1870</v>
      </c>
      <c r="B539" s="246">
        <v>810</v>
      </c>
      <c r="C539" t="s">
        <v>1870</v>
      </c>
      <c r="D539" t="s">
        <v>1870</v>
      </c>
      <c r="E539" s="246" t="s">
        <v>3</v>
      </c>
      <c r="F539">
        <v>0</v>
      </c>
      <c r="G539" t="s">
        <v>1870</v>
      </c>
      <c r="H539" s="248" t="s">
        <v>1306</v>
      </c>
      <c r="I539" t="s">
        <v>1587</v>
      </c>
      <c r="J539" t="s">
        <v>1870</v>
      </c>
      <c r="K539" t="s">
        <v>1870</v>
      </c>
      <c r="L539" s="246" t="s">
        <v>1410</v>
      </c>
      <c r="M539" s="246" t="s">
        <v>2138</v>
      </c>
      <c r="N539" t="s">
        <v>1870</v>
      </c>
      <c r="O539" s="247" t="s">
        <v>1424</v>
      </c>
      <c r="Q539" s="3">
        <v>0</v>
      </c>
    </row>
    <row r="540" spans="1:18" x14ac:dyDescent="0.3">
      <c r="A540" s="249" t="s">
        <v>1870</v>
      </c>
      <c r="B540" s="246">
        <v>810</v>
      </c>
      <c r="C540" t="s">
        <v>1870</v>
      </c>
      <c r="D540" t="s">
        <v>1870</v>
      </c>
      <c r="E540" s="246" t="s">
        <v>16</v>
      </c>
      <c r="F540">
        <v>0</v>
      </c>
      <c r="G540" t="s">
        <v>1870</v>
      </c>
      <c r="H540" s="248" t="s">
        <v>1308</v>
      </c>
      <c r="I540" t="s">
        <v>1587</v>
      </c>
      <c r="J540" t="s">
        <v>1870</v>
      </c>
      <c r="K540" t="s">
        <v>1870</v>
      </c>
      <c r="L540" s="246" t="s">
        <v>1367</v>
      </c>
      <c r="M540" s="246" t="s">
        <v>2131</v>
      </c>
      <c r="N540" t="s">
        <v>1870</v>
      </c>
      <c r="O540" s="247" t="s">
        <v>1378</v>
      </c>
      <c r="P540" s="3">
        <v>2605</v>
      </c>
      <c r="Q540" s="3">
        <v>2700</v>
      </c>
    </row>
    <row r="541" spans="1:18" x14ac:dyDescent="0.3">
      <c r="A541" s="249" t="s">
        <v>1870</v>
      </c>
      <c r="B541" s="246">
        <v>810</v>
      </c>
      <c r="C541" t="s">
        <v>1870</v>
      </c>
      <c r="D541" t="s">
        <v>1870</v>
      </c>
      <c r="E541" s="246" t="s">
        <v>16</v>
      </c>
      <c r="F541">
        <v>0</v>
      </c>
      <c r="G541" t="s">
        <v>1870</v>
      </c>
      <c r="H541" s="248" t="s">
        <v>1308</v>
      </c>
      <c r="I541" t="s">
        <v>1587</v>
      </c>
      <c r="J541" t="s">
        <v>1870</v>
      </c>
      <c r="K541" t="s">
        <v>1870</v>
      </c>
      <c r="L541" s="246" t="s">
        <v>1413</v>
      </c>
      <c r="M541" t="s">
        <v>2131</v>
      </c>
      <c r="N541" t="s">
        <v>1870</v>
      </c>
      <c r="O541" s="247" t="s">
        <v>1414</v>
      </c>
      <c r="Q541" s="3">
        <v>0</v>
      </c>
    </row>
    <row r="542" spans="1:18" x14ac:dyDescent="0.3">
      <c r="A542" s="249" t="s">
        <v>1870</v>
      </c>
      <c r="B542" s="246">
        <v>810</v>
      </c>
      <c r="C542" t="s">
        <v>1870</v>
      </c>
      <c r="D542" t="s">
        <v>1870</v>
      </c>
      <c r="E542" s="246" t="s">
        <v>38</v>
      </c>
      <c r="F542">
        <v>0</v>
      </c>
      <c r="G542" t="s">
        <v>1870</v>
      </c>
      <c r="H542" s="248" t="s">
        <v>1310</v>
      </c>
      <c r="I542" t="s">
        <v>1587</v>
      </c>
      <c r="J542" t="s">
        <v>1870</v>
      </c>
      <c r="K542" t="s">
        <v>1870</v>
      </c>
      <c r="L542" s="246" t="s">
        <v>1386</v>
      </c>
      <c r="M542" t="s">
        <v>2131</v>
      </c>
      <c r="N542" t="s">
        <v>1870</v>
      </c>
      <c r="O542" s="247" t="s">
        <v>1387</v>
      </c>
      <c r="P542" s="3">
        <v>1981.45</v>
      </c>
      <c r="Q542" s="3">
        <v>2405</v>
      </c>
    </row>
    <row r="543" spans="1:18" x14ac:dyDescent="0.3">
      <c r="A543" s="249" t="s">
        <v>1870</v>
      </c>
      <c r="B543" s="246">
        <v>810</v>
      </c>
      <c r="C543" t="s">
        <v>1870</v>
      </c>
      <c r="D543" t="s">
        <v>1870</v>
      </c>
      <c r="E543" s="246" t="s">
        <v>19</v>
      </c>
      <c r="F543">
        <v>0</v>
      </c>
      <c r="G543" t="s">
        <v>1870</v>
      </c>
      <c r="H543" s="248" t="s">
        <v>1312</v>
      </c>
      <c r="I543" t="s">
        <v>1587</v>
      </c>
      <c r="J543" t="s">
        <v>1870</v>
      </c>
      <c r="K543" t="s">
        <v>1870</v>
      </c>
      <c r="L543" s="246" t="s">
        <v>1375</v>
      </c>
      <c r="M543" t="s">
        <v>2131</v>
      </c>
      <c r="N543" t="s">
        <v>1870</v>
      </c>
      <c r="O543" s="247" t="s">
        <v>1379</v>
      </c>
      <c r="P543" s="3">
        <v>798.4</v>
      </c>
      <c r="Q543" s="3">
        <v>785</v>
      </c>
    </row>
    <row r="544" spans="1:18" x14ac:dyDescent="0.3">
      <c r="A544" s="249" t="s">
        <v>1870</v>
      </c>
      <c r="B544" s="246">
        <v>810</v>
      </c>
      <c r="C544" t="s">
        <v>1870</v>
      </c>
      <c r="D544" t="s">
        <v>1870</v>
      </c>
      <c r="E544" s="246" t="s">
        <v>22</v>
      </c>
      <c r="F544">
        <v>0</v>
      </c>
      <c r="G544" t="s">
        <v>1870</v>
      </c>
      <c r="H544" s="248" t="s">
        <v>1314</v>
      </c>
      <c r="I544" t="s">
        <v>1587</v>
      </c>
      <c r="J544" t="s">
        <v>1870</v>
      </c>
      <c r="K544" t="s">
        <v>1870</v>
      </c>
      <c r="L544" s="246" t="s">
        <v>1410</v>
      </c>
      <c r="M544" t="s">
        <v>2131</v>
      </c>
      <c r="N544" t="s">
        <v>1870</v>
      </c>
      <c r="O544" s="247" t="s">
        <v>1411</v>
      </c>
      <c r="P544" s="3">
        <v>0</v>
      </c>
      <c r="Q544" s="3">
        <v>3000</v>
      </c>
    </row>
    <row r="545" spans="1:17" x14ac:dyDescent="0.3">
      <c r="A545" s="249" t="s">
        <v>1870</v>
      </c>
      <c r="B545" s="246">
        <v>810</v>
      </c>
      <c r="C545" t="s">
        <v>1870</v>
      </c>
      <c r="D545" t="s">
        <v>1870</v>
      </c>
      <c r="E545" s="246" t="s">
        <v>81</v>
      </c>
      <c r="F545">
        <v>0</v>
      </c>
      <c r="G545" t="s">
        <v>1870</v>
      </c>
      <c r="H545" s="248" t="s">
        <v>1316</v>
      </c>
      <c r="I545" t="s">
        <v>1587</v>
      </c>
      <c r="J545" t="s">
        <v>1870</v>
      </c>
      <c r="K545" t="s">
        <v>1870</v>
      </c>
      <c r="L545" s="246" t="s">
        <v>1368</v>
      </c>
      <c r="M545" t="s">
        <v>2131</v>
      </c>
      <c r="N545" t="s">
        <v>1870</v>
      </c>
      <c r="O545" s="247" t="s">
        <v>1392</v>
      </c>
      <c r="Q545" s="3">
        <v>0</v>
      </c>
    </row>
    <row r="546" spans="1:17" x14ac:dyDescent="0.3">
      <c r="A546" s="249" t="s">
        <v>1870</v>
      </c>
      <c r="B546" s="246">
        <v>810</v>
      </c>
      <c r="C546" t="s">
        <v>1870</v>
      </c>
      <c r="D546" t="s">
        <v>1870</v>
      </c>
      <c r="E546" s="246" t="s">
        <v>25</v>
      </c>
      <c r="F546">
        <v>0</v>
      </c>
      <c r="G546" t="s">
        <v>1870</v>
      </c>
      <c r="H546" s="248" t="s">
        <v>1318</v>
      </c>
      <c r="I546" s="246" t="s">
        <v>1568</v>
      </c>
      <c r="J546" t="s">
        <v>1870</v>
      </c>
      <c r="K546" t="s">
        <v>1870</v>
      </c>
      <c r="L546" s="246" t="s">
        <v>1426</v>
      </c>
      <c r="M546" t="s">
        <v>2131</v>
      </c>
      <c r="N546" t="s">
        <v>1870</v>
      </c>
      <c r="O546" s="247" t="s">
        <v>2088</v>
      </c>
      <c r="P546" s="3">
        <v>4842</v>
      </c>
      <c r="Q546" s="3">
        <v>4200</v>
      </c>
    </row>
    <row r="547" spans="1:17" x14ac:dyDescent="0.3">
      <c r="A547" s="249" t="s">
        <v>1870</v>
      </c>
      <c r="B547" s="246">
        <v>810</v>
      </c>
      <c r="C547" t="s">
        <v>1870</v>
      </c>
      <c r="D547" t="s">
        <v>1870</v>
      </c>
      <c r="E547" s="246" t="s">
        <v>159</v>
      </c>
      <c r="F547">
        <v>0</v>
      </c>
      <c r="G547" t="s">
        <v>1870</v>
      </c>
      <c r="H547" s="248" t="s">
        <v>1320</v>
      </c>
      <c r="I547" t="s">
        <v>1568</v>
      </c>
      <c r="J547" t="s">
        <v>1870</v>
      </c>
      <c r="K547" t="s">
        <v>1870</v>
      </c>
      <c r="L547" s="246" t="s">
        <v>1500</v>
      </c>
      <c r="M547" s="246" t="s">
        <v>2132</v>
      </c>
      <c r="N547" t="s">
        <v>1870</v>
      </c>
      <c r="O547" s="247" t="s">
        <v>1858</v>
      </c>
      <c r="P547" s="3">
        <v>10301.6</v>
      </c>
      <c r="Q547" s="3">
        <v>13000</v>
      </c>
    </row>
    <row r="548" spans="1:17" x14ac:dyDescent="0.3">
      <c r="A548" s="249" t="s">
        <v>1870</v>
      </c>
      <c r="B548" s="246">
        <v>810</v>
      </c>
      <c r="C548" t="s">
        <v>1870</v>
      </c>
      <c r="D548" t="s">
        <v>1870</v>
      </c>
      <c r="E548" s="246" t="s">
        <v>159</v>
      </c>
      <c r="F548" s="246">
        <v>1</v>
      </c>
      <c r="G548" t="s">
        <v>1870</v>
      </c>
      <c r="H548" s="248" t="s">
        <v>1322</v>
      </c>
      <c r="I548" t="s">
        <v>1568</v>
      </c>
      <c r="J548" t="s">
        <v>1870</v>
      </c>
      <c r="K548" t="s">
        <v>1870</v>
      </c>
      <c r="L548" t="s">
        <v>1500</v>
      </c>
      <c r="M548" s="246" t="s">
        <v>2133</v>
      </c>
      <c r="N548" t="s">
        <v>1870</v>
      </c>
      <c r="O548" s="247" t="s">
        <v>1859</v>
      </c>
      <c r="P548" s="3">
        <v>72794.7</v>
      </c>
      <c r="Q548" s="3">
        <v>90000</v>
      </c>
    </row>
    <row r="549" spans="1:17" x14ac:dyDescent="0.3">
      <c r="A549" s="249" t="s">
        <v>1870</v>
      </c>
      <c r="B549" s="246">
        <v>810</v>
      </c>
      <c r="C549" t="s">
        <v>1870</v>
      </c>
      <c r="D549" t="s">
        <v>1870</v>
      </c>
      <c r="E549" s="246" t="s">
        <v>131</v>
      </c>
      <c r="F549" s="246">
        <v>0</v>
      </c>
      <c r="G549" t="s">
        <v>1870</v>
      </c>
      <c r="H549" s="248" t="s">
        <v>1324</v>
      </c>
      <c r="I549" t="s">
        <v>1568</v>
      </c>
      <c r="J549" t="s">
        <v>1870</v>
      </c>
      <c r="K549" t="s">
        <v>1870</v>
      </c>
      <c r="L549" s="246" t="s">
        <v>1570</v>
      </c>
      <c r="M549" s="246" t="s">
        <v>2131</v>
      </c>
      <c r="N549" t="s">
        <v>1870</v>
      </c>
      <c r="O549" s="247" t="s">
        <v>1571</v>
      </c>
      <c r="P549" s="3">
        <v>13756.15</v>
      </c>
      <c r="Q549" s="3">
        <v>14000</v>
      </c>
    </row>
    <row r="550" spans="1:17" x14ac:dyDescent="0.3">
      <c r="A550" s="249" t="s">
        <v>1870</v>
      </c>
      <c r="B550" s="246">
        <v>810</v>
      </c>
      <c r="C550" t="s">
        <v>1870</v>
      </c>
      <c r="D550" t="s">
        <v>1870</v>
      </c>
      <c r="E550" s="246" t="s">
        <v>131</v>
      </c>
      <c r="F550" s="246">
        <v>1</v>
      </c>
      <c r="G550" t="s">
        <v>1870</v>
      </c>
      <c r="H550" s="248" t="s">
        <v>1326</v>
      </c>
      <c r="I550" t="s">
        <v>1568</v>
      </c>
      <c r="J550" t="s">
        <v>1870</v>
      </c>
      <c r="K550" t="s">
        <v>1870</v>
      </c>
      <c r="L550" t="s">
        <v>1570</v>
      </c>
      <c r="M550" t="s">
        <v>2131</v>
      </c>
      <c r="N550" t="s">
        <v>1870</v>
      </c>
      <c r="O550" s="247" t="s">
        <v>1571</v>
      </c>
      <c r="P550" s="3">
        <v>84222.9</v>
      </c>
      <c r="Q550" s="3">
        <v>50000</v>
      </c>
    </row>
    <row r="551" spans="1:17" x14ac:dyDescent="0.3">
      <c r="A551" s="249" t="s">
        <v>1870</v>
      </c>
      <c r="B551" s="246">
        <v>810</v>
      </c>
      <c r="C551" t="s">
        <v>1870</v>
      </c>
      <c r="D551" t="s">
        <v>1870</v>
      </c>
      <c r="E551" s="246" t="s">
        <v>131</v>
      </c>
      <c r="F551" s="246">
        <v>2</v>
      </c>
      <c r="G551" t="s">
        <v>1870</v>
      </c>
      <c r="H551" s="248" t="s">
        <v>1328</v>
      </c>
      <c r="I551" t="s">
        <v>1568</v>
      </c>
      <c r="J551" t="s">
        <v>1870</v>
      </c>
      <c r="K551" t="s">
        <v>1870</v>
      </c>
      <c r="L551" t="s">
        <v>1570</v>
      </c>
      <c r="M551" t="s">
        <v>2131</v>
      </c>
      <c r="N551" t="s">
        <v>1870</v>
      </c>
      <c r="O551" s="247" t="s">
        <v>1571</v>
      </c>
      <c r="Q551" s="3">
        <v>0</v>
      </c>
    </row>
    <row r="552" spans="1:17" x14ac:dyDescent="0.3">
      <c r="A552" s="249" t="s">
        <v>1870</v>
      </c>
      <c r="B552" s="246">
        <v>810</v>
      </c>
      <c r="C552" t="s">
        <v>1870</v>
      </c>
      <c r="D552" t="s">
        <v>1870</v>
      </c>
      <c r="E552" s="246" t="s">
        <v>48</v>
      </c>
      <c r="F552" s="246">
        <v>0</v>
      </c>
      <c r="G552" t="s">
        <v>1870</v>
      </c>
      <c r="H552" s="248" t="s">
        <v>1330</v>
      </c>
      <c r="I552" t="s">
        <v>1568</v>
      </c>
      <c r="J552" t="s">
        <v>1870</v>
      </c>
      <c r="K552" t="s">
        <v>1870</v>
      </c>
      <c r="L552" s="246" t="s">
        <v>1397</v>
      </c>
      <c r="M552" t="s">
        <v>2131</v>
      </c>
      <c r="N552" t="s">
        <v>1870</v>
      </c>
      <c r="O552" s="247" t="s">
        <v>1400</v>
      </c>
      <c r="P552" s="3">
        <v>4427</v>
      </c>
      <c r="Q552" s="3">
        <v>16200</v>
      </c>
    </row>
    <row r="553" spans="1:17" x14ac:dyDescent="0.3">
      <c r="A553" s="249" t="s">
        <v>1870</v>
      </c>
      <c r="B553" s="246">
        <v>810</v>
      </c>
      <c r="C553" t="s">
        <v>1870</v>
      </c>
      <c r="D553" t="s">
        <v>1870</v>
      </c>
      <c r="E553" s="246" t="s">
        <v>93</v>
      </c>
      <c r="F553">
        <v>0</v>
      </c>
      <c r="G553" t="s">
        <v>1870</v>
      </c>
      <c r="H553" s="248" t="s">
        <v>1332</v>
      </c>
      <c r="I553" t="s">
        <v>1568</v>
      </c>
      <c r="J553" t="s">
        <v>1870</v>
      </c>
      <c r="K553" t="s">
        <v>1870</v>
      </c>
      <c r="L553" s="246" t="s">
        <v>1573</v>
      </c>
      <c r="M553" s="246" t="s">
        <v>2133</v>
      </c>
      <c r="N553" t="s">
        <v>1870</v>
      </c>
      <c r="O553" s="247" t="s">
        <v>1786</v>
      </c>
      <c r="P553" s="3">
        <v>415.42</v>
      </c>
      <c r="Q553" s="3">
        <v>2500</v>
      </c>
    </row>
    <row r="554" spans="1:17" x14ac:dyDescent="0.3">
      <c r="A554" s="249" t="s">
        <v>1870</v>
      </c>
      <c r="B554" s="246">
        <v>810</v>
      </c>
      <c r="C554" t="s">
        <v>1870</v>
      </c>
      <c r="D554" t="s">
        <v>1870</v>
      </c>
      <c r="E554" s="7" t="s">
        <v>164</v>
      </c>
      <c r="F554">
        <v>0</v>
      </c>
      <c r="G554" t="s">
        <v>1870</v>
      </c>
      <c r="H554" t="s">
        <v>1334</v>
      </c>
      <c r="I554" s="7" t="s">
        <v>1489</v>
      </c>
      <c r="J554" t="s">
        <v>1870</v>
      </c>
      <c r="K554" t="s">
        <v>1870</v>
      </c>
      <c r="L554" s="7" t="s">
        <v>1489</v>
      </c>
      <c r="M554" s="7" t="s">
        <v>1489</v>
      </c>
      <c r="N554" t="s">
        <v>1870</v>
      </c>
      <c r="O554" t="s">
        <v>1489</v>
      </c>
      <c r="Q554" s="3">
        <v>0</v>
      </c>
    </row>
    <row r="555" spans="1:17" x14ac:dyDescent="0.3">
      <c r="A555" s="249" t="s">
        <v>1870</v>
      </c>
      <c r="B555" s="246">
        <v>810</v>
      </c>
      <c r="C555" t="s">
        <v>1870</v>
      </c>
      <c r="D555" t="s">
        <v>1870</v>
      </c>
      <c r="E555" s="246" t="s">
        <v>96</v>
      </c>
      <c r="F555">
        <v>0</v>
      </c>
      <c r="G555" t="s">
        <v>1870</v>
      </c>
      <c r="H555" s="248" t="s">
        <v>1336</v>
      </c>
      <c r="I555" t="s">
        <v>1568</v>
      </c>
      <c r="J555" t="s">
        <v>1870</v>
      </c>
      <c r="K555" t="s">
        <v>1870</v>
      </c>
      <c r="L555" s="246" t="s">
        <v>1607</v>
      </c>
      <c r="M555" s="246" t="s">
        <v>2139</v>
      </c>
      <c r="N555" t="s">
        <v>1870</v>
      </c>
      <c r="O555" s="247" t="s">
        <v>1608</v>
      </c>
      <c r="P555" s="3">
        <v>855598.12</v>
      </c>
      <c r="Q555" s="3">
        <v>0</v>
      </c>
    </row>
    <row r="556" spans="1:17" x14ac:dyDescent="0.3">
      <c r="A556" s="249" t="s">
        <v>1870</v>
      </c>
      <c r="B556" s="246">
        <v>810</v>
      </c>
      <c r="C556" t="s">
        <v>1870</v>
      </c>
      <c r="D556" t="s">
        <v>1870</v>
      </c>
      <c r="E556" s="246" t="s">
        <v>5</v>
      </c>
      <c r="F556">
        <v>0</v>
      </c>
      <c r="G556" t="s">
        <v>1870</v>
      </c>
      <c r="H556" s="248" t="s">
        <v>1338</v>
      </c>
      <c r="I556" s="7" t="s">
        <v>1568</v>
      </c>
      <c r="J556" t="s">
        <v>1870</v>
      </c>
      <c r="K556" t="s">
        <v>1870</v>
      </c>
      <c r="L556" s="246" t="s">
        <v>1426</v>
      </c>
      <c r="M556" s="246" t="s">
        <v>2132</v>
      </c>
      <c r="N556" t="s">
        <v>1870</v>
      </c>
      <c r="O556" s="247" t="s">
        <v>2089</v>
      </c>
      <c r="P556" s="3">
        <v>25657.599999999999</v>
      </c>
      <c r="Q556" s="3">
        <v>25000</v>
      </c>
    </row>
    <row r="557" spans="1:17" x14ac:dyDescent="0.3">
      <c r="A557" s="249" t="s">
        <v>1870</v>
      </c>
      <c r="B557" s="246">
        <v>810</v>
      </c>
      <c r="C557" t="s">
        <v>1870</v>
      </c>
      <c r="D557" t="s">
        <v>1870</v>
      </c>
      <c r="E557" s="246" t="s">
        <v>5</v>
      </c>
      <c r="F557" s="246">
        <v>1</v>
      </c>
      <c r="G557" t="s">
        <v>1870</v>
      </c>
      <c r="H557" s="248" t="s">
        <v>1340</v>
      </c>
      <c r="I557" t="s">
        <v>1568</v>
      </c>
      <c r="J557" t="s">
        <v>1870</v>
      </c>
      <c r="K557" t="s">
        <v>1870</v>
      </c>
      <c r="L557" s="246" t="s">
        <v>1398</v>
      </c>
      <c r="M557" s="246" t="s">
        <v>2131</v>
      </c>
      <c r="N557" t="s">
        <v>1870</v>
      </c>
      <c r="O557" s="247" t="s">
        <v>2060</v>
      </c>
      <c r="P557" s="3">
        <v>65275</v>
      </c>
      <c r="Q557" s="3">
        <v>62000</v>
      </c>
    </row>
    <row r="558" spans="1:17" x14ac:dyDescent="0.3">
      <c r="A558" s="249" t="s">
        <v>1870</v>
      </c>
      <c r="B558" s="246">
        <v>810</v>
      </c>
      <c r="C558" t="s">
        <v>1870</v>
      </c>
      <c r="D558" t="s">
        <v>1870</v>
      </c>
      <c r="E558" s="246" t="s">
        <v>138</v>
      </c>
      <c r="F558" s="246">
        <v>0</v>
      </c>
      <c r="G558" t="s">
        <v>1870</v>
      </c>
      <c r="H558" s="248" t="s">
        <v>1342</v>
      </c>
      <c r="I558" t="s">
        <v>1568</v>
      </c>
      <c r="J558" t="s">
        <v>1870</v>
      </c>
      <c r="K558" t="s">
        <v>1870</v>
      </c>
      <c r="L558" s="246" t="s">
        <v>765</v>
      </c>
      <c r="M558" t="s">
        <v>2131</v>
      </c>
      <c r="N558" t="s">
        <v>1870</v>
      </c>
      <c r="O558" s="247" t="s">
        <v>2039</v>
      </c>
      <c r="P558" s="3">
        <v>97321.43</v>
      </c>
      <c r="Q558" s="3">
        <v>0</v>
      </c>
    </row>
    <row r="559" spans="1:17" x14ac:dyDescent="0.3">
      <c r="A559" s="249" t="s">
        <v>1870</v>
      </c>
      <c r="B559" s="246">
        <v>810</v>
      </c>
      <c r="C559" t="s">
        <v>1870</v>
      </c>
      <c r="D559" t="s">
        <v>1870</v>
      </c>
      <c r="E559" s="7" t="s">
        <v>28</v>
      </c>
      <c r="F559" s="7">
        <v>1</v>
      </c>
      <c r="G559" t="s">
        <v>1870</v>
      </c>
      <c r="H559" t="s">
        <v>1344</v>
      </c>
      <c r="I559" s="7" t="s">
        <v>1489</v>
      </c>
      <c r="J559" t="s">
        <v>1870</v>
      </c>
      <c r="K559" t="s">
        <v>1870</v>
      </c>
      <c r="L559" s="7" t="s">
        <v>1489</v>
      </c>
      <c r="M559" s="7" t="s">
        <v>1489</v>
      </c>
      <c r="N559" t="s">
        <v>1870</v>
      </c>
      <c r="O559" t="s">
        <v>1489</v>
      </c>
      <c r="Q559" s="3">
        <v>0</v>
      </c>
    </row>
    <row r="560" spans="1:17" x14ac:dyDescent="0.3">
      <c r="A560" s="249" t="s">
        <v>1870</v>
      </c>
      <c r="B560" s="246">
        <v>810</v>
      </c>
      <c r="C560" t="s">
        <v>1870</v>
      </c>
      <c r="D560" t="s">
        <v>1870</v>
      </c>
      <c r="E560" s="246" t="s">
        <v>335</v>
      </c>
      <c r="F560" s="7">
        <v>0</v>
      </c>
      <c r="G560" t="s">
        <v>1870</v>
      </c>
      <c r="H560" s="248" t="s">
        <v>1346</v>
      </c>
      <c r="I560" s="7" t="s">
        <v>1568</v>
      </c>
      <c r="J560" t="s">
        <v>1870</v>
      </c>
      <c r="K560" t="s">
        <v>1870</v>
      </c>
      <c r="L560" s="246" t="s">
        <v>1487</v>
      </c>
      <c r="M560" s="7" t="s">
        <v>2131</v>
      </c>
      <c r="N560" t="s">
        <v>1870</v>
      </c>
      <c r="O560" s="247" t="s">
        <v>1575</v>
      </c>
      <c r="P560" s="3">
        <v>-19469</v>
      </c>
      <c r="Q560" s="3">
        <v>-20000</v>
      </c>
    </row>
    <row r="561" spans="1:18" x14ac:dyDescent="0.3">
      <c r="A561" s="249" t="s">
        <v>1870</v>
      </c>
      <c r="B561" s="246">
        <v>810</v>
      </c>
      <c r="C561" t="s">
        <v>1870</v>
      </c>
      <c r="D561" t="s">
        <v>1870</v>
      </c>
      <c r="E561" s="246" t="s">
        <v>1096</v>
      </c>
      <c r="F561">
        <v>0</v>
      </c>
      <c r="G561" t="s">
        <v>1870</v>
      </c>
      <c r="H561" s="248" t="s">
        <v>1348</v>
      </c>
      <c r="I561" t="s">
        <v>1568</v>
      </c>
      <c r="J561" t="s">
        <v>1870</v>
      </c>
      <c r="K561" t="s">
        <v>1870</v>
      </c>
      <c r="L561" s="246" t="s">
        <v>1787</v>
      </c>
      <c r="M561" s="246" t="s">
        <v>2133</v>
      </c>
      <c r="N561" t="s">
        <v>1870</v>
      </c>
      <c r="O561" s="247" t="s">
        <v>1574</v>
      </c>
      <c r="P561" s="3">
        <v>-11068.25</v>
      </c>
      <c r="Q561" s="3">
        <v>-7300</v>
      </c>
    </row>
    <row r="562" spans="1:18" x14ac:dyDescent="0.3">
      <c r="A562" s="249" t="s">
        <v>1870</v>
      </c>
      <c r="B562" s="246">
        <v>810</v>
      </c>
      <c r="C562" t="s">
        <v>1870</v>
      </c>
      <c r="D562" t="s">
        <v>1870</v>
      </c>
      <c r="E562" s="246" t="s">
        <v>338</v>
      </c>
      <c r="F562">
        <v>0</v>
      </c>
      <c r="G562" t="s">
        <v>1870</v>
      </c>
      <c r="H562" s="248" t="s">
        <v>1350</v>
      </c>
      <c r="I562" t="s">
        <v>1568</v>
      </c>
      <c r="J562" t="s">
        <v>1870</v>
      </c>
      <c r="K562" t="s">
        <v>1870</v>
      </c>
      <c r="L562" s="246" t="s">
        <v>1487</v>
      </c>
      <c r="M562" s="246" t="s">
        <v>2132</v>
      </c>
      <c r="N562" t="s">
        <v>1870</v>
      </c>
      <c r="O562" s="247" t="s">
        <v>1576</v>
      </c>
      <c r="P562" s="3">
        <v>-129119.7</v>
      </c>
      <c r="Q562" s="3">
        <v>0</v>
      </c>
    </row>
    <row r="563" spans="1:18" x14ac:dyDescent="0.3">
      <c r="A563" s="249" t="s">
        <v>1870</v>
      </c>
      <c r="B563" s="246">
        <v>810</v>
      </c>
      <c r="C563" t="s">
        <v>1870</v>
      </c>
      <c r="D563" t="s">
        <v>1870</v>
      </c>
      <c r="E563" s="246" t="s">
        <v>58</v>
      </c>
      <c r="F563">
        <v>0</v>
      </c>
      <c r="G563" t="s">
        <v>1870</v>
      </c>
      <c r="H563" s="248" t="s">
        <v>1352</v>
      </c>
      <c r="I563" t="s">
        <v>1568</v>
      </c>
      <c r="J563" t="s">
        <v>1870</v>
      </c>
      <c r="K563" t="s">
        <v>1870</v>
      </c>
      <c r="L563" t="s">
        <v>1487</v>
      </c>
      <c r="M563" s="246" t="s">
        <v>2133</v>
      </c>
      <c r="N563" t="s">
        <v>1870</v>
      </c>
      <c r="O563" s="247" t="s">
        <v>1577</v>
      </c>
      <c r="P563" s="3">
        <v>-176339.1</v>
      </c>
      <c r="Q563" s="3">
        <v>-160000</v>
      </c>
    </row>
    <row r="564" spans="1:18" x14ac:dyDescent="0.3">
      <c r="A564" s="249" t="s">
        <v>1870</v>
      </c>
      <c r="B564" s="246">
        <v>810</v>
      </c>
      <c r="C564" t="s">
        <v>1870</v>
      </c>
      <c r="D564" t="s">
        <v>1870</v>
      </c>
      <c r="E564" s="246" t="s">
        <v>58</v>
      </c>
      <c r="F564" s="246">
        <v>1</v>
      </c>
      <c r="G564" t="s">
        <v>1870</v>
      </c>
      <c r="H564" s="248" t="s">
        <v>1354</v>
      </c>
      <c r="I564" t="s">
        <v>1568</v>
      </c>
      <c r="J564" t="s">
        <v>1870</v>
      </c>
      <c r="K564" t="s">
        <v>1870</v>
      </c>
      <c r="L564" t="s">
        <v>1487</v>
      </c>
      <c r="M564" s="246" t="s">
        <v>2134</v>
      </c>
      <c r="N564" t="s">
        <v>1870</v>
      </c>
      <c r="O564" s="247" t="s">
        <v>1578</v>
      </c>
      <c r="P564" s="3">
        <v>-70830</v>
      </c>
      <c r="Q564" s="3">
        <v>-90000</v>
      </c>
    </row>
    <row r="565" spans="1:18" x14ac:dyDescent="0.3">
      <c r="A565" s="249" t="s">
        <v>1870</v>
      </c>
      <c r="B565" s="246">
        <v>810</v>
      </c>
      <c r="C565" t="s">
        <v>1870</v>
      </c>
      <c r="D565" t="s">
        <v>1870</v>
      </c>
      <c r="E565" s="246" t="s">
        <v>61</v>
      </c>
      <c r="F565" s="246">
        <v>0</v>
      </c>
      <c r="G565" t="s">
        <v>1870</v>
      </c>
      <c r="H565" s="248" t="s">
        <v>1356</v>
      </c>
      <c r="I565" t="s">
        <v>1568</v>
      </c>
      <c r="J565" t="s">
        <v>1870</v>
      </c>
      <c r="K565" t="s">
        <v>1870</v>
      </c>
      <c r="L565" s="246" t="s">
        <v>1580</v>
      </c>
      <c r="M565" s="246" t="s">
        <v>2131</v>
      </c>
      <c r="N565" t="s">
        <v>1870</v>
      </c>
      <c r="O565" s="247" t="s">
        <v>2074</v>
      </c>
      <c r="P565" s="3">
        <v>-5345.25</v>
      </c>
      <c r="Q565" s="3">
        <v>0</v>
      </c>
    </row>
    <row r="566" spans="1:18" x14ac:dyDescent="0.3">
      <c r="A566" s="249" t="s">
        <v>1870</v>
      </c>
      <c r="B566" s="246">
        <v>810</v>
      </c>
      <c r="C566" t="s">
        <v>1870</v>
      </c>
      <c r="D566" t="s">
        <v>1870</v>
      </c>
      <c r="E566" s="7" t="s">
        <v>345</v>
      </c>
      <c r="F566">
        <v>0</v>
      </c>
      <c r="G566" t="s">
        <v>1870</v>
      </c>
      <c r="H566" t="s">
        <v>1358</v>
      </c>
      <c r="I566" s="7" t="s">
        <v>1489</v>
      </c>
      <c r="J566" t="s">
        <v>1870</v>
      </c>
      <c r="K566" t="s">
        <v>1870</v>
      </c>
      <c r="L566" s="7" t="s">
        <v>1489</v>
      </c>
      <c r="M566" s="7" t="s">
        <v>1489</v>
      </c>
      <c r="N566" t="s">
        <v>1870</v>
      </c>
      <c r="O566" t="s">
        <v>1489</v>
      </c>
      <c r="Q566" s="3">
        <v>0</v>
      </c>
    </row>
    <row r="567" spans="1:18" x14ac:dyDescent="0.3">
      <c r="A567" s="249" t="s">
        <v>1870</v>
      </c>
      <c r="B567" s="246">
        <v>810</v>
      </c>
      <c r="C567" t="s">
        <v>1870</v>
      </c>
      <c r="D567" t="s">
        <v>1870</v>
      </c>
      <c r="E567" s="246" t="s">
        <v>351</v>
      </c>
      <c r="F567">
        <v>0</v>
      </c>
      <c r="G567" t="s">
        <v>1870</v>
      </c>
      <c r="H567" s="248" t="s">
        <v>1360</v>
      </c>
      <c r="I567" s="7" t="s">
        <v>1568</v>
      </c>
      <c r="J567" t="s">
        <v>1870</v>
      </c>
      <c r="K567" t="s">
        <v>1870</v>
      </c>
      <c r="L567" s="7" t="s">
        <v>1580</v>
      </c>
      <c r="M567" s="7" t="s">
        <v>2131</v>
      </c>
      <c r="N567" t="s">
        <v>1870</v>
      </c>
      <c r="O567" s="247" t="s">
        <v>2074</v>
      </c>
      <c r="P567" s="3">
        <v>-3243</v>
      </c>
      <c r="Q567" s="3">
        <v>0</v>
      </c>
    </row>
    <row r="568" spans="1:18" x14ac:dyDescent="0.3">
      <c r="A568" s="249" t="s">
        <v>1870</v>
      </c>
      <c r="B568" s="246">
        <v>810</v>
      </c>
      <c r="C568" t="s">
        <v>1870</v>
      </c>
      <c r="D568" t="s">
        <v>1870</v>
      </c>
      <c r="E568" s="7" t="s">
        <v>64</v>
      </c>
      <c r="F568">
        <v>0</v>
      </c>
      <c r="G568" t="s">
        <v>1870</v>
      </c>
      <c r="H568" t="s">
        <v>1362</v>
      </c>
      <c r="I568" s="7" t="s">
        <v>1489</v>
      </c>
      <c r="J568" t="s">
        <v>1870</v>
      </c>
      <c r="K568" t="s">
        <v>1870</v>
      </c>
      <c r="L568" s="7" t="s">
        <v>1489</v>
      </c>
      <c r="M568" s="7" t="s">
        <v>1489</v>
      </c>
      <c r="N568" t="s">
        <v>1870</v>
      </c>
      <c r="O568" t="s">
        <v>1489</v>
      </c>
      <c r="Q568" s="3">
        <v>0</v>
      </c>
    </row>
    <row r="569" spans="1:18" x14ac:dyDescent="0.3">
      <c r="A569" s="249" t="s">
        <v>1870</v>
      </c>
      <c r="B569" s="246">
        <v>810</v>
      </c>
      <c r="C569" t="s">
        <v>1870</v>
      </c>
      <c r="D569" t="s">
        <v>1870</v>
      </c>
      <c r="E569" s="246" t="s">
        <v>144</v>
      </c>
      <c r="F569">
        <v>0</v>
      </c>
      <c r="G569" t="s">
        <v>1870</v>
      </c>
      <c r="H569" s="248" t="s">
        <v>1364</v>
      </c>
      <c r="I569" s="7" t="s">
        <v>1568</v>
      </c>
      <c r="J569" t="s">
        <v>1870</v>
      </c>
      <c r="K569" t="s">
        <v>1870</v>
      </c>
      <c r="L569" s="246" t="s">
        <v>1686</v>
      </c>
      <c r="M569" s="7" t="s">
        <v>2131</v>
      </c>
      <c r="N569" t="s">
        <v>1870</v>
      </c>
      <c r="O569" s="247" t="s">
        <v>1687</v>
      </c>
      <c r="P569" s="3">
        <v>-855598.12</v>
      </c>
      <c r="Q569" s="3">
        <v>-36690</v>
      </c>
    </row>
    <row r="570" spans="1:18" x14ac:dyDescent="0.3">
      <c r="A570" s="249" t="s">
        <v>1870</v>
      </c>
      <c r="B570" s="246">
        <v>3500</v>
      </c>
      <c r="C570" t="s">
        <v>1870</v>
      </c>
      <c r="D570" t="s">
        <v>1870</v>
      </c>
      <c r="E570" s="246" t="s">
        <v>3</v>
      </c>
      <c r="F570">
        <v>0</v>
      </c>
      <c r="G570" t="s">
        <v>1870</v>
      </c>
      <c r="H570" s="248" t="s">
        <v>468</v>
      </c>
      <c r="I570" s="246" t="s">
        <v>1587</v>
      </c>
      <c r="J570" t="s">
        <v>1870</v>
      </c>
      <c r="K570" t="s">
        <v>1870</v>
      </c>
      <c r="L570" s="246" t="s">
        <v>1410</v>
      </c>
      <c r="M570" t="s">
        <v>2131</v>
      </c>
      <c r="N570" t="s">
        <v>1870</v>
      </c>
      <c r="O570" s="247" t="s">
        <v>1411</v>
      </c>
      <c r="P570" s="3">
        <v>24900.3</v>
      </c>
      <c r="Q570" s="3">
        <v>23000</v>
      </c>
      <c r="R570" s="3">
        <v>0</v>
      </c>
    </row>
    <row r="571" spans="1:18" x14ac:dyDescent="0.3">
      <c r="A571" s="249" t="s">
        <v>1870</v>
      </c>
      <c r="B571" s="246">
        <v>3500</v>
      </c>
      <c r="C571" t="s">
        <v>1870</v>
      </c>
      <c r="D571" t="s">
        <v>1870</v>
      </c>
      <c r="E571" s="246" t="s">
        <v>3</v>
      </c>
      <c r="F571">
        <v>0</v>
      </c>
      <c r="G571" t="s">
        <v>1870</v>
      </c>
      <c r="H571" s="248" t="s">
        <v>468</v>
      </c>
      <c r="I571" s="246" t="s">
        <v>1587</v>
      </c>
      <c r="J571" t="s">
        <v>1870</v>
      </c>
      <c r="K571" t="s">
        <v>1870</v>
      </c>
      <c r="L571" s="246" t="s">
        <v>1410</v>
      </c>
      <c r="M571" s="246" t="s">
        <v>2138</v>
      </c>
      <c r="N571" t="s">
        <v>1870</v>
      </c>
      <c r="O571" s="247" t="s">
        <v>1424</v>
      </c>
      <c r="Q571" s="3">
        <v>0</v>
      </c>
    </row>
    <row r="572" spans="1:18" x14ac:dyDescent="0.3">
      <c r="A572" s="249" t="s">
        <v>1870</v>
      </c>
      <c r="B572" s="246">
        <v>3500</v>
      </c>
      <c r="C572" t="s">
        <v>1870</v>
      </c>
      <c r="D572" t="s">
        <v>1870</v>
      </c>
      <c r="E572" s="246" t="s">
        <v>16</v>
      </c>
      <c r="F572">
        <v>0</v>
      </c>
      <c r="G572" t="s">
        <v>1870</v>
      </c>
      <c r="H572" s="248" t="s">
        <v>470</v>
      </c>
      <c r="I572" t="s">
        <v>1587</v>
      </c>
      <c r="J572" t="s">
        <v>1870</v>
      </c>
      <c r="K572" t="s">
        <v>1870</v>
      </c>
      <c r="L572" s="246" t="s">
        <v>1367</v>
      </c>
      <c r="M572" s="246" t="s">
        <v>2131</v>
      </c>
      <c r="N572" t="s">
        <v>1870</v>
      </c>
      <c r="O572" s="247" t="s">
        <v>1378</v>
      </c>
      <c r="P572" s="3">
        <v>2347.75</v>
      </c>
      <c r="Q572" s="3">
        <v>2000</v>
      </c>
    </row>
    <row r="573" spans="1:18" x14ac:dyDescent="0.3">
      <c r="A573" s="249" t="s">
        <v>1870</v>
      </c>
      <c r="B573" s="246">
        <v>3500</v>
      </c>
      <c r="C573" t="s">
        <v>1870</v>
      </c>
      <c r="D573" t="s">
        <v>1870</v>
      </c>
      <c r="E573" s="246" t="s">
        <v>16</v>
      </c>
      <c r="F573">
        <v>0</v>
      </c>
      <c r="G573" t="s">
        <v>1870</v>
      </c>
      <c r="H573" s="248" t="s">
        <v>470</v>
      </c>
      <c r="I573" t="s">
        <v>1587</v>
      </c>
      <c r="J573" t="s">
        <v>1870</v>
      </c>
      <c r="K573" t="s">
        <v>1870</v>
      </c>
      <c r="L573" s="246" t="s">
        <v>1413</v>
      </c>
      <c r="M573" t="s">
        <v>2131</v>
      </c>
      <c r="N573" t="s">
        <v>1870</v>
      </c>
      <c r="O573" s="247" t="s">
        <v>1414</v>
      </c>
      <c r="Q573" s="3">
        <v>0</v>
      </c>
    </row>
    <row r="574" spans="1:18" x14ac:dyDescent="0.3">
      <c r="A574" s="249" t="s">
        <v>1870</v>
      </c>
      <c r="B574" s="246">
        <v>3500</v>
      </c>
      <c r="C574" t="s">
        <v>1870</v>
      </c>
      <c r="D574" t="s">
        <v>1870</v>
      </c>
      <c r="E574" s="246" t="s">
        <v>38</v>
      </c>
      <c r="F574">
        <v>0</v>
      </c>
      <c r="G574" t="s">
        <v>1870</v>
      </c>
      <c r="H574" s="248" t="s">
        <v>472</v>
      </c>
      <c r="I574" t="s">
        <v>1587</v>
      </c>
      <c r="J574" t="s">
        <v>1870</v>
      </c>
      <c r="K574" t="s">
        <v>1870</v>
      </c>
      <c r="L574" s="246" t="s">
        <v>1386</v>
      </c>
      <c r="M574" t="s">
        <v>2131</v>
      </c>
      <c r="N574" t="s">
        <v>1870</v>
      </c>
      <c r="O574" s="247" t="s">
        <v>1387</v>
      </c>
      <c r="P574" s="3">
        <v>1046.5</v>
      </c>
      <c r="Q574" s="3">
        <v>850</v>
      </c>
    </row>
    <row r="575" spans="1:18" x14ac:dyDescent="0.3">
      <c r="A575" s="249" t="s">
        <v>1870</v>
      </c>
      <c r="B575" s="246">
        <v>3500</v>
      </c>
      <c r="C575" t="s">
        <v>1870</v>
      </c>
      <c r="D575" t="s">
        <v>1870</v>
      </c>
      <c r="E575" s="246" t="s">
        <v>19</v>
      </c>
      <c r="F575">
        <v>0</v>
      </c>
      <c r="G575" t="s">
        <v>1870</v>
      </c>
      <c r="H575" s="248" t="s">
        <v>474</v>
      </c>
      <c r="I575" t="s">
        <v>1587</v>
      </c>
      <c r="J575" t="s">
        <v>1870</v>
      </c>
      <c r="K575" t="s">
        <v>1870</v>
      </c>
      <c r="L575" s="246" t="s">
        <v>1375</v>
      </c>
      <c r="M575" t="s">
        <v>2131</v>
      </c>
      <c r="N575" t="s">
        <v>1870</v>
      </c>
      <c r="O575" s="247" t="s">
        <v>1379</v>
      </c>
      <c r="P575" s="3">
        <v>579.70000000000005</v>
      </c>
      <c r="Q575" s="3">
        <v>500</v>
      </c>
    </row>
    <row r="576" spans="1:18" x14ac:dyDescent="0.3">
      <c r="A576" s="249" t="s">
        <v>1870</v>
      </c>
      <c r="B576" s="246">
        <v>3500</v>
      </c>
      <c r="C576" t="s">
        <v>1870</v>
      </c>
      <c r="D576" t="s">
        <v>1870</v>
      </c>
      <c r="E576" s="246" t="s">
        <v>22</v>
      </c>
      <c r="F576">
        <v>0</v>
      </c>
      <c r="G576" t="s">
        <v>1870</v>
      </c>
      <c r="H576" s="248" t="s">
        <v>476</v>
      </c>
      <c r="I576" s="7" t="s">
        <v>1489</v>
      </c>
      <c r="J576" t="s">
        <v>1870</v>
      </c>
      <c r="K576" t="s">
        <v>1870</v>
      </c>
      <c r="L576" s="7" t="s">
        <v>1489</v>
      </c>
      <c r="M576" s="7" t="s">
        <v>1489</v>
      </c>
      <c r="N576" t="s">
        <v>1870</v>
      </c>
      <c r="O576">
        <v>0</v>
      </c>
      <c r="Q576" s="3">
        <v>0</v>
      </c>
    </row>
    <row r="577" spans="1:17" x14ac:dyDescent="0.3">
      <c r="A577" s="249" t="s">
        <v>1870</v>
      </c>
      <c r="B577" s="246">
        <v>3500</v>
      </c>
      <c r="C577" t="s">
        <v>1870</v>
      </c>
      <c r="D577" t="s">
        <v>1870</v>
      </c>
      <c r="E577" s="246" t="s">
        <v>22</v>
      </c>
      <c r="F577">
        <v>0</v>
      </c>
      <c r="G577" t="s">
        <v>1870</v>
      </c>
      <c r="H577" s="248" t="s">
        <v>476</v>
      </c>
      <c r="I577" s="7" t="s">
        <v>1587</v>
      </c>
      <c r="J577" t="s">
        <v>1870</v>
      </c>
      <c r="K577" t="s">
        <v>1870</v>
      </c>
      <c r="L577" s="246" t="s">
        <v>1382</v>
      </c>
      <c r="M577" s="7" t="s">
        <v>2131</v>
      </c>
      <c r="N577" t="s">
        <v>1870</v>
      </c>
      <c r="O577" s="247" t="s">
        <v>1383</v>
      </c>
      <c r="Q577" s="3">
        <v>0</v>
      </c>
    </row>
    <row r="578" spans="1:17" x14ac:dyDescent="0.3">
      <c r="A578" s="249" t="s">
        <v>1870</v>
      </c>
      <c r="B578" s="246">
        <v>3500</v>
      </c>
      <c r="C578" t="s">
        <v>1870</v>
      </c>
      <c r="D578" t="s">
        <v>1870</v>
      </c>
      <c r="E578" s="246" t="s">
        <v>22</v>
      </c>
      <c r="F578">
        <v>0</v>
      </c>
      <c r="G578" t="s">
        <v>1870</v>
      </c>
      <c r="H578" s="248" t="s">
        <v>476</v>
      </c>
      <c r="I578" s="7" t="s">
        <v>1587</v>
      </c>
      <c r="J578" t="s">
        <v>1870</v>
      </c>
      <c r="K578" t="s">
        <v>1870</v>
      </c>
      <c r="L578" s="246" t="s">
        <v>1368</v>
      </c>
      <c r="M578" t="s">
        <v>2131</v>
      </c>
      <c r="N578" t="s">
        <v>1870</v>
      </c>
      <c r="O578" s="247" t="s">
        <v>1392</v>
      </c>
      <c r="Q578" s="3">
        <v>0</v>
      </c>
    </row>
    <row r="579" spans="1:17" x14ac:dyDescent="0.3">
      <c r="A579" s="249" t="s">
        <v>1870</v>
      </c>
      <c r="B579" s="246">
        <v>3500</v>
      </c>
      <c r="C579" t="s">
        <v>1870</v>
      </c>
      <c r="D579" t="s">
        <v>1870</v>
      </c>
      <c r="E579" s="246" t="s">
        <v>22</v>
      </c>
      <c r="F579">
        <v>0</v>
      </c>
      <c r="G579" t="s">
        <v>1870</v>
      </c>
      <c r="H579" s="248" t="s">
        <v>476</v>
      </c>
      <c r="I579" s="7" t="s">
        <v>1587</v>
      </c>
      <c r="J579" t="s">
        <v>1870</v>
      </c>
      <c r="K579" t="s">
        <v>1870</v>
      </c>
      <c r="L579" s="246" t="s">
        <v>1540</v>
      </c>
      <c r="M579" t="s">
        <v>2131</v>
      </c>
      <c r="N579" t="s">
        <v>1870</v>
      </c>
      <c r="O579" s="247" t="s">
        <v>1543</v>
      </c>
      <c r="Q579" s="3">
        <v>0</v>
      </c>
    </row>
    <row r="580" spans="1:17" x14ac:dyDescent="0.3">
      <c r="A580" s="249" t="s">
        <v>1870</v>
      </c>
      <c r="B580" s="246">
        <v>3500</v>
      </c>
      <c r="C580" t="s">
        <v>1870</v>
      </c>
      <c r="D580" t="s">
        <v>1870</v>
      </c>
      <c r="E580" s="246" t="s">
        <v>22</v>
      </c>
      <c r="F580">
        <v>0</v>
      </c>
      <c r="G580" t="s">
        <v>1870</v>
      </c>
      <c r="H580" s="248" t="s">
        <v>476</v>
      </c>
      <c r="I580" s="7" t="s">
        <v>1587</v>
      </c>
      <c r="J580" t="s">
        <v>1870</v>
      </c>
      <c r="K580" t="s">
        <v>1870</v>
      </c>
      <c r="L580" s="246" t="s">
        <v>1380</v>
      </c>
      <c r="M580" t="s">
        <v>2131</v>
      </c>
      <c r="N580" t="s">
        <v>1870</v>
      </c>
      <c r="O580" s="247" t="s">
        <v>1381</v>
      </c>
      <c r="Q580" s="3">
        <v>0</v>
      </c>
    </row>
    <row r="581" spans="1:17" x14ac:dyDescent="0.3">
      <c r="A581" s="249" t="s">
        <v>1870</v>
      </c>
      <c r="B581" s="246">
        <v>3500</v>
      </c>
      <c r="C581" t="s">
        <v>1870</v>
      </c>
      <c r="D581" t="s">
        <v>1870</v>
      </c>
      <c r="E581" s="246" t="s">
        <v>22</v>
      </c>
      <c r="F581">
        <v>0</v>
      </c>
      <c r="G581" t="s">
        <v>1870</v>
      </c>
      <c r="H581" s="248" t="s">
        <v>476</v>
      </c>
      <c r="I581" s="7" t="s">
        <v>1587</v>
      </c>
      <c r="J581" t="s">
        <v>1870</v>
      </c>
      <c r="K581" t="s">
        <v>1870</v>
      </c>
      <c r="L581" s="246" t="s">
        <v>1393</v>
      </c>
      <c r="M581" t="s">
        <v>2131</v>
      </c>
      <c r="N581" t="s">
        <v>1870</v>
      </c>
      <c r="O581" s="247" t="s">
        <v>2073</v>
      </c>
      <c r="Q581" s="3">
        <v>0</v>
      </c>
    </row>
    <row r="582" spans="1:17" x14ac:dyDescent="0.3">
      <c r="A582" s="249" t="s">
        <v>1870</v>
      </c>
      <c r="B582" s="246">
        <v>3500</v>
      </c>
      <c r="C582" t="s">
        <v>1870</v>
      </c>
      <c r="D582" t="s">
        <v>1870</v>
      </c>
      <c r="E582" s="246" t="s">
        <v>25</v>
      </c>
      <c r="F582">
        <v>0</v>
      </c>
      <c r="G582" t="s">
        <v>1870</v>
      </c>
      <c r="H582" s="248" t="s">
        <v>478</v>
      </c>
      <c r="I582" s="246" t="s">
        <v>1794</v>
      </c>
      <c r="J582" t="s">
        <v>1870</v>
      </c>
      <c r="K582" t="s">
        <v>1870</v>
      </c>
      <c r="L582" s="246" t="s">
        <v>1831</v>
      </c>
      <c r="M582" t="s">
        <v>2131</v>
      </c>
      <c r="N582" t="s">
        <v>1870</v>
      </c>
      <c r="O582" s="247" t="s">
        <v>1832</v>
      </c>
      <c r="Q582" s="3">
        <v>0</v>
      </c>
    </row>
    <row r="583" spans="1:17" x14ac:dyDescent="0.3">
      <c r="A583" s="249" t="s">
        <v>1870</v>
      </c>
      <c r="B583" s="246">
        <v>3500</v>
      </c>
      <c r="C583" t="s">
        <v>1870</v>
      </c>
      <c r="D583" t="s">
        <v>1870</v>
      </c>
      <c r="E583" s="246" t="s">
        <v>25</v>
      </c>
      <c r="F583">
        <v>0</v>
      </c>
      <c r="G583" t="s">
        <v>1870</v>
      </c>
      <c r="H583" s="248" t="s">
        <v>478</v>
      </c>
      <c r="I583" s="246" t="s">
        <v>1794</v>
      </c>
      <c r="J583" t="s">
        <v>1870</v>
      </c>
      <c r="K583" t="s">
        <v>1870</v>
      </c>
      <c r="L583" s="246" t="s">
        <v>1493</v>
      </c>
      <c r="M583" t="s">
        <v>2131</v>
      </c>
      <c r="N583" t="s">
        <v>1870</v>
      </c>
      <c r="O583" s="247" t="s">
        <v>1494</v>
      </c>
      <c r="Q583" s="3">
        <v>0</v>
      </c>
    </row>
    <row r="584" spans="1:17" x14ac:dyDescent="0.3">
      <c r="A584" s="249" t="s">
        <v>1870</v>
      </c>
      <c r="B584" s="246">
        <v>3500</v>
      </c>
      <c r="C584" t="s">
        <v>1870</v>
      </c>
      <c r="D584" t="s">
        <v>1870</v>
      </c>
      <c r="E584" s="246" t="s">
        <v>25</v>
      </c>
      <c r="F584">
        <v>0</v>
      </c>
      <c r="G584" t="s">
        <v>1870</v>
      </c>
      <c r="H584" s="248" t="s">
        <v>478</v>
      </c>
      <c r="I584" s="246" t="s">
        <v>1795</v>
      </c>
      <c r="J584" t="s">
        <v>1870</v>
      </c>
      <c r="K584" t="s">
        <v>1870</v>
      </c>
      <c r="L584" s="246" t="s">
        <v>1426</v>
      </c>
      <c r="M584" t="s">
        <v>2131</v>
      </c>
      <c r="N584" t="s">
        <v>1870</v>
      </c>
      <c r="O584" s="247" t="s">
        <v>1830</v>
      </c>
      <c r="P584" s="3">
        <v>862.65</v>
      </c>
      <c r="Q584" s="3">
        <v>1500</v>
      </c>
    </row>
    <row r="585" spans="1:17" x14ac:dyDescent="0.3">
      <c r="A585" s="249" t="s">
        <v>1870</v>
      </c>
      <c r="B585" s="246">
        <v>3500</v>
      </c>
      <c r="C585" t="s">
        <v>1870</v>
      </c>
      <c r="D585" t="s">
        <v>1870</v>
      </c>
      <c r="E585" s="246" t="s">
        <v>159</v>
      </c>
      <c r="F585">
        <v>0</v>
      </c>
      <c r="G585" t="s">
        <v>1870</v>
      </c>
      <c r="H585" s="248" t="s">
        <v>480</v>
      </c>
      <c r="I585" t="s">
        <v>1795</v>
      </c>
      <c r="J585" t="s">
        <v>1870</v>
      </c>
      <c r="K585" t="s">
        <v>1870</v>
      </c>
      <c r="L585" s="246" t="s">
        <v>1500</v>
      </c>
      <c r="M585" s="246" t="s">
        <v>2132</v>
      </c>
      <c r="N585" t="s">
        <v>1870</v>
      </c>
      <c r="O585" s="247" t="s">
        <v>1502</v>
      </c>
      <c r="Q585" s="3">
        <v>0</v>
      </c>
    </row>
    <row r="586" spans="1:17" x14ac:dyDescent="0.3">
      <c r="A586" s="249" t="s">
        <v>1870</v>
      </c>
      <c r="B586" s="246">
        <v>3500</v>
      </c>
      <c r="C586" t="s">
        <v>1870</v>
      </c>
      <c r="D586" t="s">
        <v>1870</v>
      </c>
      <c r="E586" s="246" t="s">
        <v>159</v>
      </c>
      <c r="F586">
        <v>0</v>
      </c>
      <c r="G586" t="s">
        <v>1870</v>
      </c>
      <c r="H586" s="248" t="s">
        <v>480</v>
      </c>
      <c r="I586" t="s">
        <v>1795</v>
      </c>
      <c r="J586" t="s">
        <v>1870</v>
      </c>
      <c r="K586" t="s">
        <v>1870</v>
      </c>
      <c r="L586" s="246" t="s">
        <v>1500</v>
      </c>
      <c r="M586" s="246" t="s">
        <v>2133</v>
      </c>
      <c r="N586" t="s">
        <v>1870</v>
      </c>
      <c r="O586" s="247" t="s">
        <v>1503</v>
      </c>
      <c r="P586" s="3">
        <v>2134.35</v>
      </c>
      <c r="Q586" s="3">
        <v>4700</v>
      </c>
    </row>
    <row r="587" spans="1:17" x14ac:dyDescent="0.3">
      <c r="A587" s="249" t="s">
        <v>1870</v>
      </c>
      <c r="B587" s="246">
        <v>3500</v>
      </c>
      <c r="C587" t="s">
        <v>1870</v>
      </c>
      <c r="D587" t="s">
        <v>1870</v>
      </c>
      <c r="E587" s="246" t="s">
        <v>159</v>
      </c>
      <c r="F587" s="246">
        <v>1</v>
      </c>
      <c r="G587" t="s">
        <v>1870</v>
      </c>
      <c r="H587" s="248" t="s">
        <v>482</v>
      </c>
      <c r="I587" s="246" t="s">
        <v>1794</v>
      </c>
      <c r="J587" t="s">
        <v>1870</v>
      </c>
      <c r="K587" t="s">
        <v>1870</v>
      </c>
      <c r="L587" t="s">
        <v>1500</v>
      </c>
      <c r="M587" s="246" t="s">
        <v>2131</v>
      </c>
      <c r="N587" t="s">
        <v>1870</v>
      </c>
      <c r="O587" s="247" t="s">
        <v>1501</v>
      </c>
      <c r="Q587" s="3">
        <v>0</v>
      </c>
    </row>
    <row r="588" spans="1:17" x14ac:dyDescent="0.3">
      <c r="A588" s="249" t="s">
        <v>1870</v>
      </c>
      <c r="B588" s="246">
        <v>3500</v>
      </c>
      <c r="C588" t="s">
        <v>1870</v>
      </c>
      <c r="D588" t="s">
        <v>1870</v>
      </c>
      <c r="E588" s="7" t="s">
        <v>439</v>
      </c>
      <c r="F588" s="7">
        <v>0</v>
      </c>
      <c r="G588" t="s">
        <v>1870</v>
      </c>
      <c r="H588" t="s">
        <v>484</v>
      </c>
      <c r="I588" s="7" t="s">
        <v>1489</v>
      </c>
      <c r="J588" t="s">
        <v>1870</v>
      </c>
      <c r="K588" t="s">
        <v>1870</v>
      </c>
      <c r="L588" s="7" t="s">
        <v>1489</v>
      </c>
      <c r="M588" s="7" t="s">
        <v>1489</v>
      </c>
      <c r="N588" t="s">
        <v>1870</v>
      </c>
      <c r="O588">
        <v>0</v>
      </c>
      <c r="Q588" s="3">
        <v>0</v>
      </c>
    </row>
    <row r="589" spans="1:17" x14ac:dyDescent="0.3">
      <c r="A589" s="249" t="s">
        <v>1870</v>
      </c>
      <c r="B589" s="246">
        <v>3500</v>
      </c>
      <c r="C589" t="s">
        <v>1870</v>
      </c>
      <c r="D589" t="s">
        <v>1870</v>
      </c>
      <c r="E589" s="246" t="s">
        <v>131</v>
      </c>
      <c r="F589" s="246">
        <v>0</v>
      </c>
      <c r="G589" t="s">
        <v>1870</v>
      </c>
      <c r="H589" s="248" t="s">
        <v>486</v>
      </c>
      <c r="I589" s="246" t="s">
        <v>1795</v>
      </c>
      <c r="J589" t="s">
        <v>1870</v>
      </c>
      <c r="K589" t="s">
        <v>1870</v>
      </c>
      <c r="L589" s="246" t="s">
        <v>1426</v>
      </c>
      <c r="M589" s="7" t="s">
        <v>2131</v>
      </c>
      <c r="N589" t="s">
        <v>1870</v>
      </c>
      <c r="O589" s="247" t="s">
        <v>1830</v>
      </c>
      <c r="P589" s="3">
        <v>1831.75</v>
      </c>
      <c r="Q589" s="3">
        <v>11000</v>
      </c>
    </row>
    <row r="590" spans="1:17" x14ac:dyDescent="0.3">
      <c r="A590" s="249" t="s">
        <v>1870</v>
      </c>
      <c r="B590" s="246">
        <v>3500</v>
      </c>
      <c r="C590" t="s">
        <v>1870</v>
      </c>
      <c r="D590" t="s">
        <v>1870</v>
      </c>
      <c r="E590" s="246" t="s">
        <v>131</v>
      </c>
      <c r="F590" s="7">
        <v>1</v>
      </c>
      <c r="G590" t="s">
        <v>1870</v>
      </c>
      <c r="H590" t="s">
        <v>488</v>
      </c>
      <c r="I590" s="7" t="s">
        <v>1489</v>
      </c>
      <c r="J590" t="s">
        <v>1870</v>
      </c>
      <c r="K590" t="s">
        <v>1870</v>
      </c>
      <c r="L590" s="7" t="s">
        <v>1489</v>
      </c>
      <c r="M590" s="7" t="s">
        <v>1489</v>
      </c>
      <c r="N590" t="s">
        <v>1870</v>
      </c>
      <c r="O590">
        <v>0</v>
      </c>
      <c r="Q590" s="3">
        <v>0</v>
      </c>
    </row>
    <row r="591" spans="1:17" x14ac:dyDescent="0.3">
      <c r="A591" s="249" t="s">
        <v>1870</v>
      </c>
      <c r="B591" s="246">
        <v>3500</v>
      </c>
      <c r="C591" t="s">
        <v>1870</v>
      </c>
      <c r="D591" t="s">
        <v>1870</v>
      </c>
      <c r="E591" s="246" t="s">
        <v>131</v>
      </c>
      <c r="F591" s="246">
        <v>2</v>
      </c>
      <c r="G591" t="s">
        <v>1870</v>
      </c>
      <c r="H591" s="248" t="s">
        <v>490</v>
      </c>
      <c r="I591" s="246" t="s">
        <v>1798</v>
      </c>
      <c r="J591" t="s">
        <v>1870</v>
      </c>
      <c r="K591" t="s">
        <v>1870</v>
      </c>
      <c r="L591" s="246" t="s">
        <v>1822</v>
      </c>
      <c r="M591" s="7" t="s">
        <v>2131</v>
      </c>
      <c r="N591" t="s">
        <v>1870</v>
      </c>
      <c r="O591" s="247" t="s">
        <v>2183</v>
      </c>
      <c r="Q591" s="3">
        <v>0</v>
      </c>
    </row>
    <row r="592" spans="1:17" x14ac:dyDescent="0.3">
      <c r="A592" s="249" t="s">
        <v>1870</v>
      </c>
      <c r="B592" s="246">
        <v>3500</v>
      </c>
      <c r="C592" t="s">
        <v>1870</v>
      </c>
      <c r="D592" t="s">
        <v>1870</v>
      </c>
      <c r="E592" s="246" t="s">
        <v>131</v>
      </c>
      <c r="F592" s="246">
        <v>2</v>
      </c>
      <c r="G592" t="s">
        <v>1870</v>
      </c>
      <c r="H592" s="248" t="s">
        <v>490</v>
      </c>
      <c r="I592" s="246" t="s">
        <v>1798</v>
      </c>
      <c r="J592" t="s">
        <v>1870</v>
      </c>
      <c r="K592" t="s">
        <v>1870</v>
      </c>
      <c r="L592" s="246" t="s">
        <v>1812</v>
      </c>
      <c r="M592" t="s">
        <v>2131</v>
      </c>
      <c r="N592" t="s">
        <v>1870</v>
      </c>
      <c r="O592" s="247" t="s">
        <v>2184</v>
      </c>
      <c r="Q592" s="3">
        <v>0</v>
      </c>
    </row>
    <row r="593" spans="1:17" x14ac:dyDescent="0.3">
      <c r="A593" s="249" t="s">
        <v>1870</v>
      </c>
      <c r="B593" s="246">
        <v>3500</v>
      </c>
      <c r="C593" t="s">
        <v>1870</v>
      </c>
      <c r="D593" t="s">
        <v>1870</v>
      </c>
      <c r="E593" s="246" t="s">
        <v>131</v>
      </c>
      <c r="F593" s="246">
        <v>2</v>
      </c>
      <c r="G593" t="s">
        <v>1870</v>
      </c>
      <c r="H593" s="248" t="s">
        <v>490</v>
      </c>
      <c r="I593" s="246" t="s">
        <v>1798</v>
      </c>
      <c r="J593" t="s">
        <v>1870</v>
      </c>
      <c r="K593" t="s">
        <v>1870</v>
      </c>
      <c r="L593" s="246" t="s">
        <v>1504</v>
      </c>
      <c r="M593" t="s">
        <v>2131</v>
      </c>
      <c r="N593" t="s">
        <v>1870</v>
      </c>
      <c r="O593" s="247" t="s">
        <v>2177</v>
      </c>
      <c r="P593" s="3">
        <v>33237.19</v>
      </c>
      <c r="Q593" s="3">
        <v>20000</v>
      </c>
    </row>
    <row r="594" spans="1:17" x14ac:dyDescent="0.3">
      <c r="A594" s="249" t="s">
        <v>1870</v>
      </c>
      <c r="B594" s="246">
        <v>3500</v>
      </c>
      <c r="C594" t="s">
        <v>1870</v>
      </c>
      <c r="D594" t="s">
        <v>1870</v>
      </c>
      <c r="E594" s="246" t="s">
        <v>131</v>
      </c>
      <c r="F594" s="246">
        <v>2</v>
      </c>
      <c r="G594" t="s">
        <v>1870</v>
      </c>
      <c r="H594" s="248" t="s">
        <v>490</v>
      </c>
      <c r="I594" s="246" t="s">
        <v>1798</v>
      </c>
      <c r="J594" t="s">
        <v>1870</v>
      </c>
      <c r="K594" t="s">
        <v>1870</v>
      </c>
      <c r="L594" s="246" t="s">
        <v>1504</v>
      </c>
      <c r="M594" s="246" t="s">
        <v>2132</v>
      </c>
      <c r="N594" t="s">
        <v>1870</v>
      </c>
      <c r="O594" s="247" t="s">
        <v>2179</v>
      </c>
      <c r="Q594" s="3">
        <v>0</v>
      </c>
    </row>
    <row r="595" spans="1:17" x14ac:dyDescent="0.3">
      <c r="A595" s="249" t="s">
        <v>1870</v>
      </c>
      <c r="B595" s="246">
        <v>3500</v>
      </c>
      <c r="C595" t="s">
        <v>1870</v>
      </c>
      <c r="D595" t="s">
        <v>1870</v>
      </c>
      <c r="E595" s="246" t="s">
        <v>131</v>
      </c>
      <c r="F595" s="246">
        <v>2</v>
      </c>
      <c r="G595" t="s">
        <v>1870</v>
      </c>
      <c r="H595" s="248" t="s">
        <v>490</v>
      </c>
      <c r="I595" s="246" t="s">
        <v>1798</v>
      </c>
      <c r="J595" t="s">
        <v>1870</v>
      </c>
      <c r="K595" t="s">
        <v>1870</v>
      </c>
      <c r="L595" s="246" t="s">
        <v>1504</v>
      </c>
      <c r="M595" s="246" t="s">
        <v>2133</v>
      </c>
      <c r="N595" t="s">
        <v>1870</v>
      </c>
      <c r="O595" s="247" t="s">
        <v>2178</v>
      </c>
      <c r="Q595" s="3">
        <v>0</v>
      </c>
    </row>
    <row r="596" spans="1:17" x14ac:dyDescent="0.3">
      <c r="A596" s="249" t="s">
        <v>1870</v>
      </c>
      <c r="B596" s="246">
        <v>3500</v>
      </c>
      <c r="C596" t="s">
        <v>1870</v>
      </c>
      <c r="D596" t="s">
        <v>1870</v>
      </c>
      <c r="E596" s="246" t="s">
        <v>131</v>
      </c>
      <c r="F596" s="246">
        <v>2</v>
      </c>
      <c r="G596" t="s">
        <v>1870</v>
      </c>
      <c r="H596" s="248" t="s">
        <v>490</v>
      </c>
      <c r="I596" s="246" t="s">
        <v>1798</v>
      </c>
      <c r="J596" t="s">
        <v>1870</v>
      </c>
      <c r="K596" t="s">
        <v>1870</v>
      </c>
      <c r="L596" s="246" t="s">
        <v>1504</v>
      </c>
      <c r="M596" s="246" t="s">
        <v>2134</v>
      </c>
      <c r="N596" t="s">
        <v>1870</v>
      </c>
      <c r="O596" s="247" t="s">
        <v>2180</v>
      </c>
      <c r="Q596" s="3">
        <v>0</v>
      </c>
    </row>
    <row r="597" spans="1:17" x14ac:dyDescent="0.3">
      <c r="A597" s="249" t="s">
        <v>1870</v>
      </c>
      <c r="B597" s="246">
        <v>3500</v>
      </c>
      <c r="C597" t="s">
        <v>1870</v>
      </c>
      <c r="D597" t="s">
        <v>1870</v>
      </c>
      <c r="E597" s="246" t="s">
        <v>131</v>
      </c>
      <c r="F597" s="246">
        <v>2</v>
      </c>
      <c r="G597" t="s">
        <v>1870</v>
      </c>
      <c r="H597" s="248" t="s">
        <v>490</v>
      </c>
      <c r="I597" s="246" t="s">
        <v>1798</v>
      </c>
      <c r="J597" t="s">
        <v>1870</v>
      </c>
      <c r="K597" t="s">
        <v>1870</v>
      </c>
      <c r="L597" s="246" t="s">
        <v>1504</v>
      </c>
      <c r="M597" s="246" t="s">
        <v>2135</v>
      </c>
      <c r="N597" t="s">
        <v>1870</v>
      </c>
      <c r="O597" s="247" t="s">
        <v>2181</v>
      </c>
      <c r="Q597" s="3">
        <v>0</v>
      </c>
    </row>
    <row r="598" spans="1:17" x14ac:dyDescent="0.3">
      <c r="A598" s="249" t="s">
        <v>1870</v>
      </c>
      <c r="B598" s="246">
        <v>3500</v>
      </c>
      <c r="C598" t="s">
        <v>1870</v>
      </c>
      <c r="D598" t="s">
        <v>1870</v>
      </c>
      <c r="E598" s="246" t="s">
        <v>131</v>
      </c>
      <c r="F598" s="246">
        <v>2</v>
      </c>
      <c r="G598" t="s">
        <v>1870</v>
      </c>
      <c r="H598" s="248" t="s">
        <v>490</v>
      </c>
      <c r="I598" s="246" t="s">
        <v>1798</v>
      </c>
      <c r="J598" t="s">
        <v>1870</v>
      </c>
      <c r="K598" t="s">
        <v>1870</v>
      </c>
      <c r="L598" s="246" t="s">
        <v>1504</v>
      </c>
      <c r="M598" s="246" t="s">
        <v>2137</v>
      </c>
      <c r="N598" t="s">
        <v>1870</v>
      </c>
      <c r="O598" s="247" t="s">
        <v>2182</v>
      </c>
      <c r="Q598" s="3">
        <v>0</v>
      </c>
    </row>
    <row r="599" spans="1:17" x14ac:dyDescent="0.3">
      <c r="A599" s="249" t="s">
        <v>1870</v>
      </c>
      <c r="B599" s="246">
        <v>3500</v>
      </c>
      <c r="C599" t="s">
        <v>1870</v>
      </c>
      <c r="D599" t="s">
        <v>1870</v>
      </c>
      <c r="E599" s="246" t="s">
        <v>131</v>
      </c>
      <c r="F599" s="246">
        <v>3</v>
      </c>
      <c r="G599" t="s">
        <v>1870</v>
      </c>
      <c r="H599" s="248" t="s">
        <v>1998</v>
      </c>
      <c r="I599" s="246" t="s">
        <v>1797</v>
      </c>
      <c r="J599" t="s">
        <v>1870</v>
      </c>
      <c r="K599" t="s">
        <v>1870</v>
      </c>
      <c r="L599" s="246" t="s">
        <v>1812</v>
      </c>
      <c r="M599" s="246" t="s">
        <v>2131</v>
      </c>
      <c r="N599" t="s">
        <v>1870</v>
      </c>
      <c r="O599" s="247" t="s">
        <v>2250</v>
      </c>
      <c r="Q599" s="3">
        <v>0</v>
      </c>
    </row>
    <row r="600" spans="1:17" x14ac:dyDescent="0.3">
      <c r="A600" s="249" t="s">
        <v>1870</v>
      </c>
      <c r="B600" s="246">
        <v>3500</v>
      </c>
      <c r="C600" t="s">
        <v>1870</v>
      </c>
      <c r="D600" t="s">
        <v>1870</v>
      </c>
      <c r="E600" s="246" t="s">
        <v>131</v>
      </c>
      <c r="F600" s="246">
        <v>4</v>
      </c>
      <c r="G600" t="s">
        <v>1870</v>
      </c>
      <c r="H600" s="248" t="s">
        <v>1999</v>
      </c>
      <c r="I600" t="s">
        <v>1797</v>
      </c>
      <c r="J600" t="s">
        <v>1870</v>
      </c>
      <c r="K600" t="s">
        <v>1870</v>
      </c>
      <c r="L600" s="246" t="s">
        <v>1822</v>
      </c>
      <c r="M600" t="s">
        <v>2131</v>
      </c>
      <c r="N600" t="s">
        <v>1870</v>
      </c>
      <c r="O600" s="247" t="s">
        <v>2251</v>
      </c>
      <c r="Q600" s="3">
        <v>0</v>
      </c>
    </row>
    <row r="601" spans="1:17" x14ac:dyDescent="0.3">
      <c r="A601" s="249" t="s">
        <v>1870</v>
      </c>
      <c r="B601" s="246">
        <v>3500</v>
      </c>
      <c r="C601" t="s">
        <v>1870</v>
      </c>
      <c r="D601" t="s">
        <v>1870</v>
      </c>
      <c r="E601" s="246" t="s">
        <v>123</v>
      </c>
      <c r="F601" s="246">
        <v>0</v>
      </c>
      <c r="G601" t="s">
        <v>1870</v>
      </c>
      <c r="H601" s="248" t="s">
        <v>494</v>
      </c>
      <c r="I601" s="246" t="s">
        <v>1795</v>
      </c>
      <c r="J601" t="s">
        <v>1870</v>
      </c>
      <c r="K601" t="s">
        <v>1870</v>
      </c>
      <c r="L601" s="246" t="s">
        <v>1678</v>
      </c>
      <c r="M601" t="s">
        <v>2131</v>
      </c>
      <c r="N601" t="s">
        <v>1870</v>
      </c>
      <c r="O601" s="247" t="s">
        <v>2027</v>
      </c>
      <c r="P601" s="3">
        <v>2051.15</v>
      </c>
      <c r="Q601" s="3">
        <v>9300</v>
      </c>
    </row>
    <row r="602" spans="1:17" x14ac:dyDescent="0.3">
      <c r="A602" s="249" t="s">
        <v>1870</v>
      </c>
      <c r="B602" s="246">
        <v>3500</v>
      </c>
      <c r="C602" t="s">
        <v>1870</v>
      </c>
      <c r="D602" t="s">
        <v>1870</v>
      </c>
      <c r="E602" s="246" t="s">
        <v>123</v>
      </c>
      <c r="F602" s="246">
        <v>1</v>
      </c>
      <c r="G602" t="s">
        <v>1870</v>
      </c>
      <c r="H602" s="248" t="s">
        <v>496</v>
      </c>
      <c r="I602" t="s">
        <v>1795</v>
      </c>
      <c r="J602" t="s">
        <v>1870</v>
      </c>
      <c r="K602" t="s">
        <v>1870</v>
      </c>
      <c r="L602" t="s">
        <v>1678</v>
      </c>
      <c r="M602" t="s">
        <v>2131</v>
      </c>
      <c r="N602" t="s">
        <v>1870</v>
      </c>
      <c r="O602" s="247" t="s">
        <v>2027</v>
      </c>
      <c r="P602" s="3">
        <v>10688.95</v>
      </c>
      <c r="Q602" s="3">
        <v>11700</v>
      </c>
    </row>
    <row r="603" spans="1:17" x14ac:dyDescent="0.3">
      <c r="A603" s="249" t="s">
        <v>1870</v>
      </c>
      <c r="B603" s="246">
        <v>3500</v>
      </c>
      <c r="C603" t="s">
        <v>1870</v>
      </c>
      <c r="D603" t="s">
        <v>1870</v>
      </c>
      <c r="E603" s="246" t="s">
        <v>48</v>
      </c>
      <c r="F603" s="246">
        <v>0</v>
      </c>
      <c r="G603" t="s">
        <v>1870</v>
      </c>
      <c r="H603" s="248" t="s">
        <v>498</v>
      </c>
      <c r="I603" s="246" t="s">
        <v>1794</v>
      </c>
      <c r="J603" t="s">
        <v>1870</v>
      </c>
      <c r="K603" t="s">
        <v>1870</v>
      </c>
      <c r="L603" s="246" t="s">
        <v>1418</v>
      </c>
      <c r="M603" t="s">
        <v>2131</v>
      </c>
      <c r="N603" t="s">
        <v>1870</v>
      </c>
      <c r="O603" s="247" t="s">
        <v>2091</v>
      </c>
      <c r="Q603" s="3">
        <v>0</v>
      </c>
    </row>
    <row r="604" spans="1:17" x14ac:dyDescent="0.3">
      <c r="A604" s="249" t="s">
        <v>1870</v>
      </c>
      <c r="B604" s="246">
        <v>3500</v>
      </c>
      <c r="C604" t="s">
        <v>1870</v>
      </c>
      <c r="D604" t="s">
        <v>1870</v>
      </c>
      <c r="E604" s="246" t="s">
        <v>48</v>
      </c>
      <c r="F604" s="246">
        <v>0</v>
      </c>
      <c r="G604" t="s">
        <v>1870</v>
      </c>
      <c r="H604" s="248" t="s">
        <v>498</v>
      </c>
      <c r="I604" s="246" t="s">
        <v>1795</v>
      </c>
      <c r="J604" t="s">
        <v>1870</v>
      </c>
      <c r="K604" t="s">
        <v>1870</v>
      </c>
      <c r="L604" t="s">
        <v>1418</v>
      </c>
      <c r="M604" t="s">
        <v>2131</v>
      </c>
      <c r="N604" t="s">
        <v>1870</v>
      </c>
      <c r="O604" s="247" t="s">
        <v>2091</v>
      </c>
      <c r="P604" s="3">
        <v>20132.7</v>
      </c>
      <c r="Q604" s="3">
        <v>16500</v>
      </c>
    </row>
    <row r="605" spans="1:17" x14ac:dyDescent="0.3">
      <c r="A605" s="249" t="s">
        <v>1870</v>
      </c>
      <c r="B605" s="246">
        <v>3500</v>
      </c>
      <c r="C605" t="s">
        <v>1870</v>
      </c>
      <c r="D605" t="s">
        <v>1870</v>
      </c>
      <c r="E605" s="246" t="s">
        <v>53</v>
      </c>
      <c r="F605">
        <v>0</v>
      </c>
      <c r="G605" t="s">
        <v>1870</v>
      </c>
      <c r="H605" s="248" t="s">
        <v>500</v>
      </c>
      <c r="I605" s="246">
        <v>96901</v>
      </c>
      <c r="J605" t="s">
        <v>1870</v>
      </c>
      <c r="K605" t="s">
        <v>1870</v>
      </c>
      <c r="L605" s="246">
        <v>3441</v>
      </c>
      <c r="M605" s="246" t="s">
        <v>2139</v>
      </c>
      <c r="N605" t="s">
        <v>1870</v>
      </c>
      <c r="O605" s="247" t="s">
        <v>2248</v>
      </c>
      <c r="P605" s="3">
        <v>446935.2</v>
      </c>
      <c r="Q605" s="3">
        <v>0</v>
      </c>
    </row>
    <row r="606" spans="1:17" x14ac:dyDescent="0.3">
      <c r="A606" s="249" t="s">
        <v>1870</v>
      </c>
      <c r="B606" s="246">
        <v>3500</v>
      </c>
      <c r="C606" t="s">
        <v>1870</v>
      </c>
      <c r="D606" t="s">
        <v>1870</v>
      </c>
      <c r="E606" s="7" t="s">
        <v>164</v>
      </c>
      <c r="F606">
        <v>0</v>
      </c>
      <c r="G606" t="s">
        <v>1870</v>
      </c>
      <c r="H606" t="s">
        <v>502</v>
      </c>
      <c r="I606" t="s">
        <v>1489</v>
      </c>
      <c r="J606" t="s">
        <v>1870</v>
      </c>
      <c r="K606" t="s">
        <v>1870</v>
      </c>
      <c r="L606">
        <v>0</v>
      </c>
      <c r="M606" t="s">
        <v>1489</v>
      </c>
      <c r="N606" t="s">
        <v>1870</v>
      </c>
      <c r="O606">
        <v>0</v>
      </c>
      <c r="Q606" s="3">
        <v>0</v>
      </c>
    </row>
    <row r="607" spans="1:17" x14ac:dyDescent="0.3">
      <c r="A607" s="249" t="s">
        <v>1870</v>
      </c>
      <c r="B607" s="246">
        <v>3500</v>
      </c>
      <c r="C607" t="s">
        <v>1870</v>
      </c>
      <c r="D607" t="s">
        <v>1870</v>
      </c>
      <c r="E607" s="246" t="s">
        <v>96</v>
      </c>
      <c r="F607">
        <v>0</v>
      </c>
      <c r="G607" t="s">
        <v>1870</v>
      </c>
      <c r="H607" s="248" t="s">
        <v>504</v>
      </c>
      <c r="I607" s="246" t="s">
        <v>1795</v>
      </c>
      <c r="J607" t="s">
        <v>1870</v>
      </c>
      <c r="K607" t="s">
        <v>1870</v>
      </c>
      <c r="L607" s="246" t="s">
        <v>1607</v>
      </c>
      <c r="M607" t="s">
        <v>2139</v>
      </c>
      <c r="N607" t="s">
        <v>1870</v>
      </c>
      <c r="O607" s="247" t="s">
        <v>1608</v>
      </c>
      <c r="P607" s="3">
        <v>2</v>
      </c>
      <c r="Q607" s="3">
        <v>0</v>
      </c>
    </row>
    <row r="608" spans="1:17" x14ac:dyDescent="0.3">
      <c r="A608" s="249" t="s">
        <v>1870</v>
      </c>
      <c r="B608" s="246">
        <v>3500</v>
      </c>
      <c r="C608" t="s">
        <v>1870</v>
      </c>
      <c r="D608" t="s">
        <v>1870</v>
      </c>
      <c r="E608" s="7" t="s">
        <v>6</v>
      </c>
      <c r="F608">
        <v>0</v>
      </c>
      <c r="G608" t="s">
        <v>1870</v>
      </c>
      <c r="H608" t="s">
        <v>506</v>
      </c>
      <c r="I608" t="s">
        <v>1489</v>
      </c>
      <c r="J608" t="s">
        <v>1870</v>
      </c>
      <c r="K608" t="s">
        <v>1870</v>
      </c>
      <c r="L608" t="s">
        <v>1489</v>
      </c>
      <c r="M608" t="s">
        <v>1489</v>
      </c>
      <c r="N608" t="s">
        <v>1870</v>
      </c>
      <c r="O608">
        <v>0</v>
      </c>
      <c r="Q608" s="3">
        <v>0</v>
      </c>
    </row>
    <row r="609" spans="1:18" x14ac:dyDescent="0.3">
      <c r="A609" s="249" t="s">
        <v>1870</v>
      </c>
      <c r="B609" s="246">
        <v>3500</v>
      </c>
      <c r="C609" t="s">
        <v>1870</v>
      </c>
      <c r="D609" t="s">
        <v>1870</v>
      </c>
      <c r="E609" s="7" t="s">
        <v>6</v>
      </c>
      <c r="F609" s="7">
        <v>1</v>
      </c>
      <c r="G609" t="s">
        <v>1870</v>
      </c>
      <c r="H609" t="s">
        <v>508</v>
      </c>
      <c r="I609" t="s">
        <v>1489</v>
      </c>
      <c r="J609" t="s">
        <v>1870</v>
      </c>
      <c r="K609" t="s">
        <v>1870</v>
      </c>
      <c r="L609" t="s">
        <v>1489</v>
      </c>
      <c r="M609" t="s">
        <v>1489</v>
      </c>
      <c r="N609" t="s">
        <v>1870</v>
      </c>
      <c r="O609">
        <v>0</v>
      </c>
      <c r="Q609" s="3">
        <v>0</v>
      </c>
    </row>
    <row r="610" spans="1:18" x14ac:dyDescent="0.3">
      <c r="A610" s="249" t="s">
        <v>1870</v>
      </c>
      <c r="B610" s="246">
        <v>3500</v>
      </c>
      <c r="C610" t="s">
        <v>1870</v>
      </c>
      <c r="D610" t="s">
        <v>1870</v>
      </c>
      <c r="E610" s="7" t="s">
        <v>6</v>
      </c>
      <c r="F610" s="7">
        <v>2</v>
      </c>
      <c r="G610" t="s">
        <v>1870</v>
      </c>
      <c r="H610" t="s">
        <v>510</v>
      </c>
      <c r="I610" t="s">
        <v>1489</v>
      </c>
      <c r="J610" t="s">
        <v>1870</v>
      </c>
      <c r="K610" t="s">
        <v>1870</v>
      </c>
      <c r="L610" t="s">
        <v>1489</v>
      </c>
      <c r="M610" t="s">
        <v>1489</v>
      </c>
      <c r="N610" t="s">
        <v>1870</v>
      </c>
      <c r="O610">
        <v>0</v>
      </c>
      <c r="Q610" s="3">
        <v>0</v>
      </c>
    </row>
    <row r="611" spans="1:18" x14ac:dyDescent="0.3">
      <c r="A611" s="249" t="s">
        <v>1870</v>
      </c>
      <c r="B611" s="246">
        <v>3500</v>
      </c>
      <c r="C611" t="s">
        <v>1870</v>
      </c>
      <c r="D611" t="s">
        <v>1870</v>
      </c>
      <c r="E611" s="7" t="s">
        <v>28</v>
      </c>
      <c r="F611" s="7">
        <v>1</v>
      </c>
      <c r="G611" t="s">
        <v>1870</v>
      </c>
      <c r="H611" t="s">
        <v>512</v>
      </c>
      <c r="I611" t="s">
        <v>1489</v>
      </c>
      <c r="J611" t="s">
        <v>1870</v>
      </c>
      <c r="K611" t="s">
        <v>1870</v>
      </c>
      <c r="L611" t="s">
        <v>1489</v>
      </c>
      <c r="M611" t="s">
        <v>1489</v>
      </c>
      <c r="N611" t="s">
        <v>1870</v>
      </c>
      <c r="O611">
        <v>0</v>
      </c>
      <c r="Q611" s="3">
        <v>0</v>
      </c>
    </row>
    <row r="612" spans="1:18" x14ac:dyDescent="0.3">
      <c r="A612" s="249" t="s">
        <v>1870</v>
      </c>
      <c r="B612" s="246">
        <v>3500</v>
      </c>
      <c r="C612" t="s">
        <v>1870</v>
      </c>
      <c r="D612" t="s">
        <v>1870</v>
      </c>
      <c r="E612" s="246" t="s">
        <v>335</v>
      </c>
      <c r="F612" s="7">
        <v>0</v>
      </c>
      <c r="G612" t="s">
        <v>1870</v>
      </c>
      <c r="H612" s="248" t="s">
        <v>514</v>
      </c>
      <c r="I612" t="s">
        <v>1489</v>
      </c>
      <c r="J612" t="s">
        <v>1870</v>
      </c>
      <c r="K612" t="s">
        <v>1870</v>
      </c>
      <c r="L612" t="s">
        <v>1489</v>
      </c>
      <c r="M612" t="s">
        <v>1489</v>
      </c>
      <c r="N612" t="s">
        <v>1870</v>
      </c>
      <c r="O612">
        <v>0</v>
      </c>
      <c r="Q612" s="3">
        <v>0</v>
      </c>
    </row>
    <row r="613" spans="1:18" x14ac:dyDescent="0.3">
      <c r="A613" s="249" t="s">
        <v>1870</v>
      </c>
      <c r="B613" s="246">
        <v>3500</v>
      </c>
      <c r="C613" t="s">
        <v>1870</v>
      </c>
      <c r="D613" t="s">
        <v>1870</v>
      </c>
      <c r="E613" s="246" t="s">
        <v>335</v>
      </c>
      <c r="F613" s="7">
        <v>0</v>
      </c>
      <c r="G613" t="s">
        <v>1870</v>
      </c>
      <c r="H613" s="248" t="s">
        <v>514</v>
      </c>
      <c r="I613" s="246" t="s">
        <v>1794</v>
      </c>
      <c r="J613" t="s">
        <v>1870</v>
      </c>
      <c r="K613" t="s">
        <v>1870</v>
      </c>
      <c r="L613" s="246" t="s">
        <v>1842</v>
      </c>
      <c r="M613" s="246" t="s">
        <v>2131</v>
      </c>
      <c r="N613" t="s">
        <v>1870</v>
      </c>
      <c r="O613" s="247" t="s">
        <v>2300</v>
      </c>
      <c r="P613" s="3">
        <v>-15088</v>
      </c>
      <c r="Q613" s="3">
        <v>-32000</v>
      </c>
    </row>
    <row r="614" spans="1:18" x14ac:dyDescent="0.3">
      <c r="A614" s="249" t="s">
        <v>1870</v>
      </c>
      <c r="B614" s="246">
        <v>3500</v>
      </c>
      <c r="C614" t="s">
        <v>1870</v>
      </c>
      <c r="D614" t="s">
        <v>1870</v>
      </c>
      <c r="E614" s="246" t="s">
        <v>335</v>
      </c>
      <c r="F614" s="7">
        <v>0</v>
      </c>
      <c r="G614" t="s">
        <v>1870</v>
      </c>
      <c r="H614" s="248" t="s">
        <v>514</v>
      </c>
      <c r="I614" s="246" t="s">
        <v>1532</v>
      </c>
      <c r="J614" t="s">
        <v>1870</v>
      </c>
      <c r="K614" t="s">
        <v>1870</v>
      </c>
      <c r="L614" t="s">
        <v>1842</v>
      </c>
      <c r="M614" t="s">
        <v>2131</v>
      </c>
      <c r="N614" t="s">
        <v>1870</v>
      </c>
      <c r="O614" s="247" t="s">
        <v>1847</v>
      </c>
      <c r="P614" s="3">
        <v>-9000</v>
      </c>
      <c r="Q614" s="3">
        <v>0</v>
      </c>
    </row>
    <row r="615" spans="1:18" x14ac:dyDescent="0.3">
      <c r="A615" s="249" t="s">
        <v>1870</v>
      </c>
      <c r="B615" s="246">
        <v>3500</v>
      </c>
      <c r="C615" t="s">
        <v>1870</v>
      </c>
      <c r="D615" t="s">
        <v>1870</v>
      </c>
      <c r="E615" s="246" t="s">
        <v>335</v>
      </c>
      <c r="F615" s="7">
        <v>0</v>
      </c>
      <c r="G615" t="s">
        <v>1870</v>
      </c>
      <c r="H615" s="248" t="s">
        <v>514</v>
      </c>
      <c r="I615" s="246" t="s">
        <v>1532</v>
      </c>
      <c r="J615" t="s">
        <v>1870</v>
      </c>
      <c r="K615" t="s">
        <v>1870</v>
      </c>
      <c r="L615" t="s">
        <v>1842</v>
      </c>
      <c r="M615" t="s">
        <v>2131</v>
      </c>
      <c r="N615" t="s">
        <v>1870</v>
      </c>
      <c r="O615" s="247" t="s">
        <v>1846</v>
      </c>
      <c r="P615" s="3">
        <v>-10500</v>
      </c>
      <c r="Q615" s="3">
        <v>0</v>
      </c>
    </row>
    <row r="616" spans="1:18" x14ac:dyDescent="0.3">
      <c r="A616" s="249" t="s">
        <v>1870</v>
      </c>
      <c r="B616" s="246">
        <v>3500</v>
      </c>
      <c r="C616" t="s">
        <v>1870</v>
      </c>
      <c r="D616" t="s">
        <v>1870</v>
      </c>
      <c r="E616" s="246" t="s">
        <v>335</v>
      </c>
      <c r="F616" s="7">
        <v>0</v>
      </c>
      <c r="G616" t="s">
        <v>1870</v>
      </c>
      <c r="H616" s="248" t="s">
        <v>514</v>
      </c>
      <c r="I616" s="246" t="s">
        <v>1844</v>
      </c>
      <c r="J616" t="s">
        <v>1870</v>
      </c>
      <c r="K616" t="s">
        <v>1870</v>
      </c>
      <c r="L616" t="s">
        <v>1842</v>
      </c>
      <c r="M616" t="s">
        <v>2131</v>
      </c>
      <c r="N616" t="s">
        <v>1870</v>
      </c>
      <c r="O616" s="247" t="s">
        <v>1845</v>
      </c>
      <c r="Q616" s="3">
        <v>0</v>
      </c>
    </row>
    <row r="617" spans="1:18" x14ac:dyDescent="0.3">
      <c r="A617" s="249" t="s">
        <v>1870</v>
      </c>
      <c r="B617" s="246">
        <v>3500</v>
      </c>
      <c r="C617" t="s">
        <v>1870</v>
      </c>
      <c r="D617" t="s">
        <v>1870</v>
      </c>
      <c r="E617" s="246" t="s">
        <v>335</v>
      </c>
      <c r="F617" s="7">
        <v>1</v>
      </c>
      <c r="G617" t="s">
        <v>1870</v>
      </c>
      <c r="H617" t="s">
        <v>516</v>
      </c>
      <c r="I617" s="7" t="s">
        <v>1489</v>
      </c>
      <c r="J617" t="s">
        <v>1870</v>
      </c>
      <c r="K617" t="s">
        <v>1870</v>
      </c>
      <c r="L617" s="7" t="s">
        <v>1489</v>
      </c>
      <c r="M617" s="7" t="s">
        <v>1489</v>
      </c>
      <c r="N617" t="s">
        <v>1870</v>
      </c>
      <c r="O617">
        <v>0</v>
      </c>
      <c r="Q617" s="3">
        <v>0</v>
      </c>
    </row>
    <row r="618" spans="1:18" x14ac:dyDescent="0.3">
      <c r="A618" s="249" t="s">
        <v>1870</v>
      </c>
      <c r="B618" s="246">
        <v>3500</v>
      </c>
      <c r="C618" t="s">
        <v>1870</v>
      </c>
      <c r="D618" t="s">
        <v>1870</v>
      </c>
      <c r="E618" s="246" t="s">
        <v>335</v>
      </c>
      <c r="F618" s="246">
        <v>2</v>
      </c>
      <c r="G618" t="s">
        <v>1870</v>
      </c>
      <c r="H618" s="248" t="s">
        <v>518</v>
      </c>
      <c r="I618" s="246" t="s">
        <v>1798</v>
      </c>
      <c r="J618" t="s">
        <v>1870</v>
      </c>
      <c r="K618" t="s">
        <v>1870</v>
      </c>
      <c r="L618" s="246" t="s">
        <v>1813</v>
      </c>
      <c r="M618" s="7" t="s">
        <v>2131</v>
      </c>
      <c r="N618" t="s">
        <v>1870</v>
      </c>
      <c r="O618" s="247" t="s">
        <v>2185</v>
      </c>
      <c r="P618" s="3">
        <v>-85920.7</v>
      </c>
      <c r="Q618" s="3">
        <v>-71800</v>
      </c>
    </row>
    <row r="619" spans="1:18" x14ac:dyDescent="0.3">
      <c r="A619" s="249" t="s">
        <v>1870</v>
      </c>
      <c r="B619" s="246">
        <v>3500</v>
      </c>
      <c r="C619" t="s">
        <v>1870</v>
      </c>
      <c r="D619" t="s">
        <v>1870</v>
      </c>
      <c r="E619" s="246" t="s">
        <v>61</v>
      </c>
      <c r="F619" s="246">
        <v>0</v>
      </c>
      <c r="G619" t="s">
        <v>1870</v>
      </c>
      <c r="H619" s="248" t="s">
        <v>520</v>
      </c>
      <c r="I619" s="246" t="s">
        <v>1805</v>
      </c>
      <c r="J619" t="s">
        <v>1870</v>
      </c>
      <c r="K619" t="s">
        <v>1870</v>
      </c>
      <c r="L619" s="246" t="s">
        <v>1443</v>
      </c>
      <c r="M619" t="s">
        <v>2131</v>
      </c>
      <c r="N619" t="s">
        <v>1870</v>
      </c>
      <c r="O619" s="247" t="s">
        <v>2031</v>
      </c>
      <c r="P619" s="3">
        <v>-5344.5</v>
      </c>
      <c r="Q619" s="3">
        <v>-5500</v>
      </c>
      <c r="R619" s="3">
        <v>-5344.5</v>
      </c>
    </row>
    <row r="620" spans="1:18" x14ac:dyDescent="0.3">
      <c r="A620" s="249" t="s">
        <v>1870</v>
      </c>
      <c r="B620" s="246">
        <v>3500</v>
      </c>
      <c r="C620" t="s">
        <v>1870</v>
      </c>
      <c r="D620" t="s">
        <v>1870</v>
      </c>
      <c r="E620" s="246" t="s">
        <v>61</v>
      </c>
      <c r="F620" s="246">
        <v>0</v>
      </c>
      <c r="G620" t="s">
        <v>1870</v>
      </c>
      <c r="H620" s="248" t="s">
        <v>520</v>
      </c>
      <c r="I620" s="246" t="s">
        <v>1550</v>
      </c>
      <c r="J620" t="s">
        <v>1870</v>
      </c>
      <c r="K620" t="s">
        <v>1870</v>
      </c>
      <c r="L620" s="246" t="s">
        <v>1849</v>
      </c>
      <c r="M620" t="s">
        <v>2131</v>
      </c>
      <c r="N620" t="s">
        <v>1870</v>
      </c>
      <c r="O620" s="247" t="s">
        <v>1850</v>
      </c>
      <c r="Q620" s="3">
        <v>0</v>
      </c>
    </row>
    <row r="621" spans="1:18" x14ac:dyDescent="0.3">
      <c r="A621" s="249" t="s">
        <v>1870</v>
      </c>
      <c r="B621" s="246">
        <v>3500</v>
      </c>
      <c r="C621" t="s">
        <v>1870</v>
      </c>
      <c r="D621" t="s">
        <v>1870</v>
      </c>
      <c r="E621" s="246" t="s">
        <v>61</v>
      </c>
      <c r="F621" s="246">
        <v>0</v>
      </c>
      <c r="G621" t="s">
        <v>1870</v>
      </c>
      <c r="H621" s="248" t="s">
        <v>520</v>
      </c>
      <c r="I621" s="246" t="s">
        <v>1801</v>
      </c>
      <c r="J621" t="s">
        <v>1870</v>
      </c>
      <c r="K621" t="s">
        <v>1870</v>
      </c>
      <c r="L621" s="246" t="s">
        <v>1851</v>
      </c>
      <c r="M621" t="s">
        <v>2131</v>
      </c>
      <c r="N621" t="s">
        <v>1870</v>
      </c>
      <c r="O621" s="247" t="s">
        <v>2196</v>
      </c>
      <c r="P621" s="3">
        <v>-1176.1999999999998</v>
      </c>
      <c r="Q621" s="3">
        <v>0</v>
      </c>
    </row>
    <row r="622" spans="1:18" x14ac:dyDescent="0.3">
      <c r="A622" s="249" t="s">
        <v>1870</v>
      </c>
      <c r="B622" s="246">
        <v>3500</v>
      </c>
      <c r="C622" t="s">
        <v>1870</v>
      </c>
      <c r="D622" t="s">
        <v>1870</v>
      </c>
      <c r="E622" s="246" t="s">
        <v>345</v>
      </c>
      <c r="F622" s="246">
        <v>3</v>
      </c>
      <c r="G622" t="s">
        <v>1870</v>
      </c>
      <c r="H622" s="248" t="s">
        <v>522</v>
      </c>
      <c r="I622" s="246" t="s">
        <v>1797</v>
      </c>
      <c r="J622" t="s">
        <v>1870</v>
      </c>
      <c r="K622" t="s">
        <v>1870</v>
      </c>
      <c r="L622" s="246" t="s">
        <v>2125</v>
      </c>
      <c r="M622" s="246" t="s">
        <v>2135</v>
      </c>
      <c r="N622" t="s">
        <v>1870</v>
      </c>
      <c r="O622" s="247" t="s">
        <v>2252</v>
      </c>
      <c r="Q622" s="3">
        <v>0</v>
      </c>
    </row>
    <row r="623" spans="1:18" x14ac:dyDescent="0.3">
      <c r="A623" s="249" t="s">
        <v>1870</v>
      </c>
      <c r="B623" s="246">
        <v>3500</v>
      </c>
      <c r="C623" t="s">
        <v>1870</v>
      </c>
      <c r="D623" t="s">
        <v>1870</v>
      </c>
      <c r="E623" s="246" t="s">
        <v>64</v>
      </c>
      <c r="F623" s="246">
        <v>0</v>
      </c>
      <c r="G623" t="s">
        <v>1870</v>
      </c>
      <c r="H623" s="248" t="s">
        <v>524</v>
      </c>
      <c r="I623" s="246" t="s">
        <v>1710</v>
      </c>
      <c r="J623" t="s">
        <v>1870</v>
      </c>
      <c r="K623" t="s">
        <v>1870</v>
      </c>
      <c r="L623" s="246" t="s">
        <v>1711</v>
      </c>
      <c r="M623" s="246" t="s">
        <v>2131</v>
      </c>
      <c r="N623" t="s">
        <v>1870</v>
      </c>
      <c r="O623" s="247" t="s">
        <v>1712</v>
      </c>
      <c r="P623" s="3">
        <v>-446937.2</v>
      </c>
      <c r="Q623" s="3">
        <v>0</v>
      </c>
    </row>
    <row r="624" spans="1:18" x14ac:dyDescent="0.3">
      <c r="A624" s="249" t="s">
        <v>1870</v>
      </c>
      <c r="B624" s="246">
        <v>3501</v>
      </c>
      <c r="C624" t="s">
        <v>1870</v>
      </c>
      <c r="D624" t="s">
        <v>1870</v>
      </c>
      <c r="E624" s="246" t="s">
        <v>25</v>
      </c>
      <c r="F624">
        <v>0</v>
      </c>
      <c r="G624" t="s">
        <v>1870</v>
      </c>
      <c r="H624" s="248" t="s">
        <v>527</v>
      </c>
      <c r="I624" s="246" t="s">
        <v>1799</v>
      </c>
      <c r="J624" t="s">
        <v>1870</v>
      </c>
      <c r="K624" t="s">
        <v>1870</v>
      </c>
      <c r="L624" s="246" t="s">
        <v>1504</v>
      </c>
      <c r="M624" s="246" t="s">
        <v>2137</v>
      </c>
      <c r="N624" t="s">
        <v>1870</v>
      </c>
      <c r="O624" s="247" t="s">
        <v>2186</v>
      </c>
      <c r="Q624" s="3">
        <v>9000</v>
      </c>
    </row>
    <row r="625" spans="1:18" x14ac:dyDescent="0.3">
      <c r="A625" s="249" t="s">
        <v>1870</v>
      </c>
      <c r="B625" s="246">
        <v>3501</v>
      </c>
      <c r="C625" t="s">
        <v>1870</v>
      </c>
      <c r="D625" t="s">
        <v>1870</v>
      </c>
      <c r="E625" s="7" t="s">
        <v>159</v>
      </c>
      <c r="F625">
        <v>0</v>
      </c>
      <c r="G625" t="s">
        <v>1870</v>
      </c>
      <c r="H625" t="s">
        <v>529</v>
      </c>
      <c r="I625" s="7" t="s">
        <v>1489</v>
      </c>
      <c r="J625" t="s">
        <v>1870</v>
      </c>
      <c r="K625" t="s">
        <v>1870</v>
      </c>
      <c r="L625" s="7" t="s">
        <v>1489</v>
      </c>
      <c r="M625" s="7" t="s">
        <v>1489</v>
      </c>
      <c r="N625" t="s">
        <v>1870</v>
      </c>
      <c r="O625">
        <v>0</v>
      </c>
      <c r="Q625" s="3">
        <v>0</v>
      </c>
    </row>
    <row r="626" spans="1:18" x14ac:dyDescent="0.3">
      <c r="A626" s="249" t="s">
        <v>1870</v>
      </c>
      <c r="B626" s="246">
        <v>3501</v>
      </c>
      <c r="C626" t="s">
        <v>1870</v>
      </c>
      <c r="D626" t="s">
        <v>1870</v>
      </c>
      <c r="E626" s="7" t="s">
        <v>159</v>
      </c>
      <c r="F626" s="7">
        <v>1</v>
      </c>
      <c r="G626" t="s">
        <v>1870</v>
      </c>
      <c r="H626" t="s">
        <v>531</v>
      </c>
      <c r="I626" t="s">
        <v>1489</v>
      </c>
      <c r="J626" t="s">
        <v>1870</v>
      </c>
      <c r="K626" t="s">
        <v>1870</v>
      </c>
      <c r="L626" t="s">
        <v>1489</v>
      </c>
      <c r="M626" t="s">
        <v>1489</v>
      </c>
      <c r="N626" t="s">
        <v>1870</v>
      </c>
      <c r="O626">
        <v>0</v>
      </c>
      <c r="Q626" s="3">
        <v>0</v>
      </c>
    </row>
    <row r="627" spans="1:18" x14ac:dyDescent="0.3">
      <c r="A627" s="249" t="s">
        <v>1870</v>
      </c>
      <c r="B627" s="246">
        <v>3501</v>
      </c>
      <c r="C627" t="s">
        <v>1870</v>
      </c>
      <c r="D627" t="s">
        <v>1870</v>
      </c>
      <c r="E627" s="7" t="s">
        <v>439</v>
      </c>
      <c r="F627" s="7">
        <v>0</v>
      </c>
      <c r="G627" t="s">
        <v>1870</v>
      </c>
      <c r="H627" t="s">
        <v>533</v>
      </c>
      <c r="I627" t="s">
        <v>1489</v>
      </c>
      <c r="J627" t="s">
        <v>1870</v>
      </c>
      <c r="K627" t="s">
        <v>1870</v>
      </c>
      <c r="L627" t="s">
        <v>1489</v>
      </c>
      <c r="M627" t="s">
        <v>1489</v>
      </c>
      <c r="N627" t="s">
        <v>1870</v>
      </c>
      <c r="O627">
        <v>0</v>
      </c>
      <c r="Q627" s="3">
        <v>0</v>
      </c>
    </row>
    <row r="628" spans="1:18" x14ac:dyDescent="0.3">
      <c r="A628" s="249" t="s">
        <v>1870</v>
      </c>
      <c r="B628" s="246">
        <v>3501</v>
      </c>
      <c r="C628" t="s">
        <v>1870</v>
      </c>
      <c r="D628" t="s">
        <v>1870</v>
      </c>
      <c r="E628" s="246" t="s">
        <v>131</v>
      </c>
      <c r="F628">
        <v>0</v>
      </c>
      <c r="G628" t="s">
        <v>1870</v>
      </c>
      <c r="H628" s="248" t="s">
        <v>535</v>
      </c>
      <c r="I628" s="7" t="s">
        <v>1799</v>
      </c>
      <c r="J628" t="s">
        <v>1870</v>
      </c>
      <c r="K628" t="s">
        <v>1870</v>
      </c>
      <c r="L628" s="246" t="s">
        <v>1822</v>
      </c>
      <c r="M628" s="246" t="s">
        <v>2131</v>
      </c>
      <c r="N628" t="s">
        <v>1870</v>
      </c>
      <c r="O628" s="247" t="s">
        <v>2187</v>
      </c>
      <c r="Q628" s="3">
        <v>1000</v>
      </c>
    </row>
    <row r="629" spans="1:18" x14ac:dyDescent="0.3">
      <c r="A629" s="249" t="s">
        <v>1870</v>
      </c>
      <c r="B629" s="246">
        <v>3501</v>
      </c>
      <c r="C629" t="s">
        <v>1870</v>
      </c>
      <c r="D629" t="s">
        <v>1870</v>
      </c>
      <c r="E629" s="246" t="s">
        <v>131</v>
      </c>
      <c r="F629" s="7">
        <v>1</v>
      </c>
      <c r="G629" t="s">
        <v>1870</v>
      </c>
      <c r="H629" t="s">
        <v>537</v>
      </c>
      <c r="I629" s="7" t="s">
        <v>1489</v>
      </c>
      <c r="J629" t="s">
        <v>1870</v>
      </c>
      <c r="K629" t="s">
        <v>1870</v>
      </c>
      <c r="L629" s="7" t="s">
        <v>1489</v>
      </c>
      <c r="M629" s="7" t="s">
        <v>1489</v>
      </c>
      <c r="N629" t="s">
        <v>1870</v>
      </c>
      <c r="O629">
        <v>0</v>
      </c>
      <c r="Q629" s="3">
        <v>0</v>
      </c>
    </row>
    <row r="630" spans="1:18" x14ac:dyDescent="0.3">
      <c r="A630" s="249" t="s">
        <v>1870</v>
      </c>
      <c r="B630" s="246">
        <v>3501</v>
      </c>
      <c r="C630" t="s">
        <v>1870</v>
      </c>
      <c r="D630" t="s">
        <v>1870</v>
      </c>
      <c r="E630" s="246" t="s">
        <v>131</v>
      </c>
      <c r="F630" s="246">
        <v>2</v>
      </c>
      <c r="G630" t="s">
        <v>1870</v>
      </c>
      <c r="H630" s="248" t="s">
        <v>539</v>
      </c>
      <c r="I630" s="7" t="s">
        <v>1799</v>
      </c>
      <c r="J630" t="s">
        <v>1870</v>
      </c>
      <c r="K630" t="s">
        <v>1870</v>
      </c>
      <c r="L630" s="7" t="s">
        <v>1822</v>
      </c>
      <c r="M630" s="7" t="s">
        <v>2131</v>
      </c>
      <c r="N630" t="s">
        <v>1870</v>
      </c>
      <c r="O630" s="247" t="s">
        <v>2187</v>
      </c>
      <c r="Q630" s="3">
        <v>0</v>
      </c>
    </row>
    <row r="631" spans="1:18" x14ac:dyDescent="0.3">
      <c r="A631" s="249" t="s">
        <v>1870</v>
      </c>
      <c r="B631" s="246">
        <v>3501</v>
      </c>
      <c r="C631" t="s">
        <v>1870</v>
      </c>
      <c r="D631" t="s">
        <v>1870</v>
      </c>
      <c r="E631" s="246" t="s">
        <v>131</v>
      </c>
      <c r="F631" s="246">
        <v>2</v>
      </c>
      <c r="G631" t="s">
        <v>1870</v>
      </c>
      <c r="H631" s="248" t="s">
        <v>539</v>
      </c>
      <c r="I631" s="7" t="s">
        <v>1799</v>
      </c>
      <c r="J631" t="s">
        <v>1870</v>
      </c>
      <c r="K631" t="s">
        <v>1870</v>
      </c>
      <c r="L631" s="246" t="s">
        <v>1812</v>
      </c>
      <c r="M631" t="s">
        <v>2131</v>
      </c>
      <c r="N631" t="s">
        <v>1870</v>
      </c>
      <c r="O631" s="247" t="s">
        <v>2188</v>
      </c>
      <c r="P631" s="3">
        <v>9721.11</v>
      </c>
      <c r="Q631" s="3">
        <v>12000</v>
      </c>
      <c r="R631" s="3">
        <v>10000</v>
      </c>
    </row>
    <row r="632" spans="1:18" x14ac:dyDescent="0.3">
      <c r="A632" s="249" t="s">
        <v>1870</v>
      </c>
      <c r="B632" s="246">
        <v>3501</v>
      </c>
      <c r="C632" t="s">
        <v>1870</v>
      </c>
      <c r="D632" t="s">
        <v>1870</v>
      </c>
      <c r="E632" s="246" t="s">
        <v>131</v>
      </c>
      <c r="F632" s="246">
        <v>2</v>
      </c>
      <c r="G632" t="s">
        <v>1870</v>
      </c>
      <c r="H632" s="248" t="s">
        <v>539</v>
      </c>
      <c r="I632" s="7" t="s">
        <v>1799</v>
      </c>
      <c r="J632" t="s">
        <v>1870</v>
      </c>
      <c r="K632" t="s">
        <v>1870</v>
      </c>
      <c r="L632" s="246" t="s">
        <v>1504</v>
      </c>
      <c r="M632" t="s">
        <v>2131</v>
      </c>
      <c r="N632" t="s">
        <v>1870</v>
      </c>
      <c r="O632" s="247" t="s">
        <v>2189</v>
      </c>
      <c r="Q632" s="3">
        <v>0</v>
      </c>
    </row>
    <row r="633" spans="1:18" x14ac:dyDescent="0.3">
      <c r="A633" s="249" t="s">
        <v>1870</v>
      </c>
      <c r="B633" s="246">
        <v>3501</v>
      </c>
      <c r="C633" t="s">
        <v>1870</v>
      </c>
      <c r="D633" t="s">
        <v>1870</v>
      </c>
      <c r="E633" s="246" t="s">
        <v>131</v>
      </c>
      <c r="F633" s="246">
        <v>2</v>
      </c>
      <c r="G633" t="s">
        <v>1870</v>
      </c>
      <c r="H633" s="248" t="s">
        <v>539</v>
      </c>
      <c r="I633" s="7" t="s">
        <v>1799</v>
      </c>
      <c r="J633" t="s">
        <v>1870</v>
      </c>
      <c r="K633" t="s">
        <v>1870</v>
      </c>
      <c r="L633" s="246" t="s">
        <v>1504</v>
      </c>
      <c r="M633" s="246" t="s">
        <v>2132</v>
      </c>
      <c r="N633" t="s">
        <v>1870</v>
      </c>
      <c r="O633" s="247" t="s">
        <v>2190</v>
      </c>
      <c r="Q633" s="3">
        <v>0</v>
      </c>
    </row>
    <row r="634" spans="1:18" x14ac:dyDescent="0.3">
      <c r="A634" s="249" t="s">
        <v>1870</v>
      </c>
      <c r="B634" s="246">
        <v>3501</v>
      </c>
      <c r="C634" t="s">
        <v>1870</v>
      </c>
      <c r="D634" t="s">
        <v>1870</v>
      </c>
      <c r="E634" s="246" t="s">
        <v>131</v>
      </c>
      <c r="F634" s="246">
        <v>2</v>
      </c>
      <c r="G634" t="s">
        <v>1870</v>
      </c>
      <c r="H634" s="248" t="s">
        <v>539</v>
      </c>
      <c r="I634" s="7" t="s">
        <v>1799</v>
      </c>
      <c r="J634" t="s">
        <v>1870</v>
      </c>
      <c r="K634" t="s">
        <v>1870</v>
      </c>
      <c r="L634" s="246" t="s">
        <v>1504</v>
      </c>
      <c r="M634" s="246" t="s">
        <v>2133</v>
      </c>
      <c r="N634" t="s">
        <v>1870</v>
      </c>
      <c r="O634" s="247" t="s">
        <v>2191</v>
      </c>
      <c r="Q634" s="3">
        <v>0</v>
      </c>
    </row>
    <row r="635" spans="1:18" x14ac:dyDescent="0.3">
      <c r="A635" s="249" t="s">
        <v>1870</v>
      </c>
      <c r="B635" s="246">
        <v>3501</v>
      </c>
      <c r="C635" t="s">
        <v>1870</v>
      </c>
      <c r="D635" t="s">
        <v>1870</v>
      </c>
      <c r="E635" s="246" t="s">
        <v>131</v>
      </c>
      <c r="F635" s="246">
        <v>2</v>
      </c>
      <c r="G635" t="s">
        <v>1870</v>
      </c>
      <c r="H635" s="248" t="s">
        <v>539</v>
      </c>
      <c r="I635" s="7" t="s">
        <v>1799</v>
      </c>
      <c r="J635" t="s">
        <v>1870</v>
      </c>
      <c r="K635" t="s">
        <v>1870</v>
      </c>
      <c r="L635" s="246" t="s">
        <v>1504</v>
      </c>
      <c r="M635" s="246" t="s">
        <v>2134</v>
      </c>
      <c r="N635" t="s">
        <v>1870</v>
      </c>
      <c r="O635" s="247" t="s">
        <v>2192</v>
      </c>
      <c r="Q635" s="3">
        <v>0</v>
      </c>
    </row>
    <row r="636" spans="1:18" x14ac:dyDescent="0.3">
      <c r="A636" s="249" t="s">
        <v>1870</v>
      </c>
      <c r="B636" s="246">
        <v>3501</v>
      </c>
      <c r="C636" t="s">
        <v>1870</v>
      </c>
      <c r="D636" t="s">
        <v>1870</v>
      </c>
      <c r="E636" s="246" t="s">
        <v>131</v>
      </c>
      <c r="F636" s="246">
        <v>2</v>
      </c>
      <c r="G636" t="s">
        <v>1870</v>
      </c>
      <c r="H636" s="248" t="s">
        <v>539</v>
      </c>
      <c r="I636" s="7" t="s">
        <v>1799</v>
      </c>
      <c r="J636" t="s">
        <v>1870</v>
      </c>
      <c r="K636" t="s">
        <v>1870</v>
      </c>
      <c r="L636" s="246" t="s">
        <v>1504</v>
      </c>
      <c r="M636" s="246" t="s">
        <v>2135</v>
      </c>
      <c r="N636" t="s">
        <v>1870</v>
      </c>
      <c r="O636" s="247" t="s">
        <v>2193</v>
      </c>
      <c r="Q636" s="3">
        <v>0</v>
      </c>
    </row>
    <row r="637" spans="1:18" x14ac:dyDescent="0.3">
      <c r="A637" s="249" t="s">
        <v>1870</v>
      </c>
      <c r="B637" s="246">
        <v>3501</v>
      </c>
      <c r="C637" t="s">
        <v>1870</v>
      </c>
      <c r="D637" t="s">
        <v>1870</v>
      </c>
      <c r="E637" s="246" t="s">
        <v>123</v>
      </c>
      <c r="F637" s="246">
        <v>0</v>
      </c>
      <c r="G637" t="s">
        <v>1870</v>
      </c>
      <c r="H637" s="248" t="s">
        <v>541</v>
      </c>
      <c r="I637" t="s">
        <v>1799</v>
      </c>
      <c r="J637" t="s">
        <v>1870</v>
      </c>
      <c r="K637" t="s">
        <v>1870</v>
      </c>
      <c r="L637" s="246" t="s">
        <v>1812</v>
      </c>
      <c r="M637" s="246" t="s">
        <v>2131</v>
      </c>
      <c r="N637" t="s">
        <v>1870</v>
      </c>
      <c r="O637" s="247" t="s">
        <v>2194</v>
      </c>
      <c r="Q637" s="3">
        <v>1000</v>
      </c>
    </row>
    <row r="638" spans="1:18" x14ac:dyDescent="0.3">
      <c r="A638" s="249" t="s">
        <v>1870</v>
      </c>
      <c r="B638" s="246">
        <v>3501</v>
      </c>
      <c r="C638" t="s">
        <v>1870</v>
      </c>
      <c r="D638" t="s">
        <v>1870</v>
      </c>
      <c r="E638" s="246" t="s">
        <v>123</v>
      </c>
      <c r="F638" s="7">
        <v>1</v>
      </c>
      <c r="G638" t="s">
        <v>1870</v>
      </c>
      <c r="H638" t="s">
        <v>543</v>
      </c>
      <c r="I638" s="7" t="s">
        <v>1489</v>
      </c>
      <c r="J638" t="s">
        <v>1870</v>
      </c>
      <c r="K638" t="s">
        <v>1870</v>
      </c>
      <c r="L638" s="7" t="s">
        <v>1489</v>
      </c>
      <c r="M638" s="7" t="s">
        <v>1489</v>
      </c>
      <c r="N638" t="s">
        <v>1870</v>
      </c>
      <c r="O638">
        <v>0</v>
      </c>
      <c r="Q638" s="3">
        <v>0</v>
      </c>
    </row>
    <row r="639" spans="1:18" x14ac:dyDescent="0.3">
      <c r="A639" s="249" t="s">
        <v>1870</v>
      </c>
      <c r="B639" s="246">
        <v>3501</v>
      </c>
      <c r="C639" t="s">
        <v>1870</v>
      </c>
      <c r="D639" t="s">
        <v>1870</v>
      </c>
      <c r="E639" s="246" t="s">
        <v>48</v>
      </c>
      <c r="F639" s="7">
        <v>0</v>
      </c>
      <c r="G639" t="s">
        <v>1870</v>
      </c>
      <c r="H639" s="248" t="s">
        <v>545</v>
      </c>
      <c r="I639" s="246" t="s">
        <v>1794</v>
      </c>
      <c r="J639" t="s">
        <v>1870</v>
      </c>
      <c r="K639" t="s">
        <v>1870</v>
      </c>
      <c r="L639" s="246">
        <v>3130</v>
      </c>
      <c r="M639" s="246" t="s">
        <v>2133</v>
      </c>
      <c r="N639" t="s">
        <v>1870</v>
      </c>
      <c r="O639" s="247" t="s">
        <v>2066</v>
      </c>
      <c r="P639" s="3">
        <v>1819.8</v>
      </c>
      <c r="Q639" s="3">
        <v>500</v>
      </c>
    </row>
    <row r="640" spans="1:18" x14ac:dyDescent="0.3">
      <c r="A640" s="249" t="s">
        <v>1870</v>
      </c>
      <c r="B640" s="246">
        <v>3501</v>
      </c>
      <c r="C640" t="s">
        <v>1870</v>
      </c>
      <c r="D640" t="s">
        <v>1870</v>
      </c>
      <c r="E640" s="7" t="s">
        <v>6</v>
      </c>
      <c r="F640">
        <v>0</v>
      </c>
      <c r="G640" t="s">
        <v>1870</v>
      </c>
      <c r="H640" t="s">
        <v>547</v>
      </c>
      <c r="I640" s="7" t="s">
        <v>1489</v>
      </c>
      <c r="J640" t="s">
        <v>1870</v>
      </c>
      <c r="K640" t="s">
        <v>1870</v>
      </c>
      <c r="L640" s="7" t="s">
        <v>1489</v>
      </c>
      <c r="M640" s="7" t="s">
        <v>1489</v>
      </c>
      <c r="N640" t="s">
        <v>1870</v>
      </c>
      <c r="O640">
        <v>0</v>
      </c>
      <c r="Q640" s="3">
        <v>0</v>
      </c>
    </row>
    <row r="641" spans="1:17" x14ac:dyDescent="0.3">
      <c r="A641" s="249" t="s">
        <v>1870</v>
      </c>
      <c r="B641" s="246">
        <v>3501</v>
      </c>
      <c r="C641" t="s">
        <v>1870</v>
      </c>
      <c r="D641" t="s">
        <v>1870</v>
      </c>
      <c r="E641" s="246" t="s">
        <v>335</v>
      </c>
      <c r="F641">
        <v>0</v>
      </c>
      <c r="G641" t="s">
        <v>1870</v>
      </c>
      <c r="H641" s="248" t="s">
        <v>549</v>
      </c>
      <c r="I641" s="246" t="s">
        <v>1844</v>
      </c>
      <c r="J641" t="s">
        <v>1870</v>
      </c>
      <c r="K641" t="s">
        <v>1870</v>
      </c>
      <c r="L641" s="246" t="s">
        <v>1842</v>
      </c>
      <c r="M641" s="246" t="s">
        <v>2131</v>
      </c>
      <c r="N641" t="s">
        <v>1870</v>
      </c>
      <c r="O641" s="247" t="s">
        <v>1845</v>
      </c>
      <c r="P641" s="3">
        <v>-2640</v>
      </c>
      <c r="Q641" s="3">
        <v>-2410</v>
      </c>
    </row>
    <row r="642" spans="1:17" x14ac:dyDescent="0.3">
      <c r="A642" s="249" t="s">
        <v>1870</v>
      </c>
      <c r="B642" s="246">
        <v>3501</v>
      </c>
      <c r="C642" t="s">
        <v>1870</v>
      </c>
      <c r="D642" t="s">
        <v>1870</v>
      </c>
      <c r="E642" s="246" t="s">
        <v>335</v>
      </c>
      <c r="F642" s="246">
        <v>2</v>
      </c>
      <c r="G642" t="s">
        <v>1870</v>
      </c>
      <c r="H642" s="248" t="s">
        <v>551</v>
      </c>
      <c r="I642" s="246" t="s">
        <v>1799</v>
      </c>
      <c r="J642" t="s">
        <v>1870</v>
      </c>
      <c r="K642" t="s">
        <v>1870</v>
      </c>
      <c r="L642" s="246" t="s">
        <v>1813</v>
      </c>
      <c r="M642" t="s">
        <v>2131</v>
      </c>
      <c r="N642" t="s">
        <v>1870</v>
      </c>
      <c r="O642" s="247" t="s">
        <v>2195</v>
      </c>
      <c r="P642" s="3">
        <v>-93513.4</v>
      </c>
      <c r="Q642" s="3">
        <v>-70800</v>
      </c>
    </row>
    <row r="643" spans="1:17" x14ac:dyDescent="0.3">
      <c r="A643" s="249" t="s">
        <v>1870</v>
      </c>
      <c r="B643" s="246">
        <v>3501</v>
      </c>
      <c r="C643" t="s">
        <v>1870</v>
      </c>
      <c r="D643" t="s">
        <v>1870</v>
      </c>
      <c r="E643" s="7" t="s">
        <v>61</v>
      </c>
      <c r="F643" s="7">
        <v>0</v>
      </c>
      <c r="G643" t="s">
        <v>1870</v>
      </c>
      <c r="H643" t="s">
        <v>553</v>
      </c>
      <c r="I643" s="7" t="s">
        <v>1489</v>
      </c>
      <c r="J643" t="s">
        <v>1870</v>
      </c>
      <c r="K643" t="s">
        <v>1870</v>
      </c>
      <c r="L643" s="7" t="s">
        <v>1489</v>
      </c>
      <c r="M643" s="7" t="s">
        <v>1489</v>
      </c>
      <c r="N643" t="s">
        <v>1870</v>
      </c>
      <c r="O643">
        <v>0</v>
      </c>
      <c r="Q643" s="3">
        <v>0</v>
      </c>
    </row>
    <row r="644" spans="1:17" x14ac:dyDescent="0.3">
      <c r="A644" s="249" t="s">
        <v>1870</v>
      </c>
      <c r="B644" s="246">
        <v>3501</v>
      </c>
      <c r="C644" t="s">
        <v>1870</v>
      </c>
      <c r="D644" t="s">
        <v>1870</v>
      </c>
      <c r="E644" s="7" t="s">
        <v>64</v>
      </c>
      <c r="F644">
        <v>0</v>
      </c>
      <c r="G644" t="s">
        <v>1870</v>
      </c>
      <c r="H644" t="s">
        <v>555</v>
      </c>
      <c r="I644" t="s">
        <v>1489</v>
      </c>
      <c r="J644" t="s">
        <v>1870</v>
      </c>
      <c r="K644" t="s">
        <v>1870</v>
      </c>
      <c r="L644" t="s">
        <v>1489</v>
      </c>
      <c r="M644" t="s">
        <v>1489</v>
      </c>
      <c r="N644" t="s">
        <v>1870</v>
      </c>
      <c r="O644">
        <v>0</v>
      </c>
      <c r="Q644" s="3">
        <v>0</v>
      </c>
    </row>
    <row r="645" spans="1:17" x14ac:dyDescent="0.3">
      <c r="A645" s="249" t="s">
        <v>1870</v>
      </c>
      <c r="B645" s="246">
        <v>3503</v>
      </c>
      <c r="C645" t="s">
        <v>1870</v>
      </c>
      <c r="D645" t="s">
        <v>1870</v>
      </c>
      <c r="E645" s="7" t="s">
        <v>25</v>
      </c>
      <c r="F645">
        <v>0</v>
      </c>
      <c r="G645" t="s">
        <v>1870</v>
      </c>
      <c r="H645" t="s">
        <v>558</v>
      </c>
      <c r="I645" t="s">
        <v>1489</v>
      </c>
      <c r="J645" t="s">
        <v>1870</v>
      </c>
      <c r="K645" t="s">
        <v>1870</v>
      </c>
      <c r="L645" t="s">
        <v>1489</v>
      </c>
      <c r="M645" t="s">
        <v>1489</v>
      </c>
      <c r="N645" t="s">
        <v>1870</v>
      </c>
      <c r="O645">
        <v>0</v>
      </c>
      <c r="Q645" s="3">
        <v>0</v>
      </c>
    </row>
    <row r="646" spans="1:17" x14ac:dyDescent="0.3">
      <c r="A646" s="249" t="s">
        <v>1870</v>
      </c>
      <c r="B646" s="246">
        <v>3503</v>
      </c>
      <c r="C646" t="s">
        <v>1870</v>
      </c>
      <c r="D646" t="s">
        <v>1870</v>
      </c>
      <c r="E646" s="7" t="s">
        <v>159</v>
      </c>
      <c r="F646">
        <v>0</v>
      </c>
      <c r="G646" t="s">
        <v>1870</v>
      </c>
      <c r="H646" t="s">
        <v>560</v>
      </c>
      <c r="I646" t="s">
        <v>1489</v>
      </c>
      <c r="J646" t="s">
        <v>1870</v>
      </c>
      <c r="K646" t="s">
        <v>1870</v>
      </c>
      <c r="L646" t="s">
        <v>1489</v>
      </c>
      <c r="M646" t="s">
        <v>1489</v>
      </c>
      <c r="N646" t="s">
        <v>1870</v>
      </c>
      <c r="O646">
        <v>0</v>
      </c>
      <c r="Q646" s="3">
        <v>0</v>
      </c>
    </row>
    <row r="647" spans="1:17" x14ac:dyDescent="0.3">
      <c r="A647" s="249" t="s">
        <v>1870</v>
      </c>
      <c r="B647" s="246">
        <v>3503</v>
      </c>
      <c r="C647" t="s">
        <v>1870</v>
      </c>
      <c r="D647" t="s">
        <v>1870</v>
      </c>
      <c r="E647" s="7" t="s">
        <v>159</v>
      </c>
      <c r="F647" s="7">
        <v>1</v>
      </c>
      <c r="G647" t="s">
        <v>1870</v>
      </c>
      <c r="H647" t="s">
        <v>562</v>
      </c>
      <c r="I647" t="s">
        <v>1489</v>
      </c>
      <c r="J647" t="s">
        <v>1870</v>
      </c>
      <c r="K647" t="s">
        <v>1870</v>
      </c>
      <c r="L647" t="s">
        <v>1489</v>
      </c>
      <c r="M647" t="s">
        <v>1489</v>
      </c>
      <c r="N647" t="s">
        <v>1870</v>
      </c>
      <c r="O647">
        <v>0</v>
      </c>
      <c r="Q647" s="3">
        <v>0</v>
      </c>
    </row>
    <row r="648" spans="1:17" x14ac:dyDescent="0.3">
      <c r="A648" s="249" t="s">
        <v>1870</v>
      </c>
      <c r="B648" s="246">
        <v>3503</v>
      </c>
      <c r="C648" t="s">
        <v>1870</v>
      </c>
      <c r="D648" t="s">
        <v>1870</v>
      </c>
      <c r="E648" s="7" t="s">
        <v>439</v>
      </c>
      <c r="F648" s="7">
        <v>0</v>
      </c>
      <c r="G648" t="s">
        <v>1870</v>
      </c>
      <c r="H648" t="s">
        <v>564</v>
      </c>
      <c r="I648" t="s">
        <v>1489</v>
      </c>
      <c r="J648" t="s">
        <v>1870</v>
      </c>
      <c r="K648" t="s">
        <v>1870</v>
      </c>
      <c r="L648" t="s">
        <v>1489</v>
      </c>
      <c r="M648" t="s">
        <v>1489</v>
      </c>
      <c r="N648" t="s">
        <v>1870</v>
      </c>
      <c r="O648">
        <v>0</v>
      </c>
      <c r="Q648" s="3">
        <v>0</v>
      </c>
    </row>
    <row r="649" spans="1:17" x14ac:dyDescent="0.3">
      <c r="A649" s="249" t="s">
        <v>1870</v>
      </c>
      <c r="B649" s="246">
        <v>3503</v>
      </c>
      <c r="C649" t="s">
        <v>1870</v>
      </c>
      <c r="D649" t="s">
        <v>1870</v>
      </c>
      <c r="E649" s="246" t="s">
        <v>131</v>
      </c>
      <c r="F649" s="246">
        <v>0</v>
      </c>
      <c r="G649" t="s">
        <v>1870</v>
      </c>
      <c r="H649" s="248" t="s">
        <v>566</v>
      </c>
      <c r="I649" s="246" t="s">
        <v>1801</v>
      </c>
      <c r="J649" t="s">
        <v>1870</v>
      </c>
      <c r="K649" t="s">
        <v>1870</v>
      </c>
      <c r="L649" s="246" t="s">
        <v>1812</v>
      </c>
      <c r="M649" s="7" t="s">
        <v>2131</v>
      </c>
      <c r="N649" t="s">
        <v>1870</v>
      </c>
      <c r="O649" s="247" t="s">
        <v>2197</v>
      </c>
      <c r="Q649" s="3">
        <v>5000</v>
      </c>
    </row>
    <row r="650" spans="1:17" x14ac:dyDescent="0.3">
      <c r="A650" s="249" t="s">
        <v>1870</v>
      </c>
      <c r="B650" s="246">
        <v>3503</v>
      </c>
      <c r="C650" t="s">
        <v>1870</v>
      </c>
      <c r="D650" t="s">
        <v>1870</v>
      </c>
      <c r="E650" s="246" t="s">
        <v>131</v>
      </c>
      <c r="F650" s="7">
        <v>1</v>
      </c>
      <c r="G650" t="s">
        <v>1870</v>
      </c>
      <c r="H650" t="s">
        <v>568</v>
      </c>
      <c r="I650" s="7" t="s">
        <v>1489</v>
      </c>
      <c r="J650" t="s">
        <v>1870</v>
      </c>
      <c r="K650" t="s">
        <v>1870</v>
      </c>
      <c r="L650" s="7" t="s">
        <v>1489</v>
      </c>
      <c r="M650" s="7" t="s">
        <v>1489</v>
      </c>
      <c r="N650" t="s">
        <v>1870</v>
      </c>
      <c r="O650">
        <v>0</v>
      </c>
      <c r="Q650" s="3">
        <v>0</v>
      </c>
    </row>
    <row r="651" spans="1:17" x14ac:dyDescent="0.3">
      <c r="A651" s="249" t="s">
        <v>1870</v>
      </c>
      <c r="B651" s="246">
        <v>3503</v>
      </c>
      <c r="C651" t="s">
        <v>1870</v>
      </c>
      <c r="D651" t="s">
        <v>1870</v>
      </c>
      <c r="E651" s="246" t="s">
        <v>131</v>
      </c>
      <c r="F651" s="246">
        <v>2</v>
      </c>
      <c r="G651" t="s">
        <v>1870</v>
      </c>
      <c r="H651" s="248" t="s">
        <v>570</v>
      </c>
      <c r="I651" s="7" t="s">
        <v>1801</v>
      </c>
      <c r="J651" t="s">
        <v>1870</v>
      </c>
      <c r="K651" t="s">
        <v>1870</v>
      </c>
      <c r="L651" s="246" t="s">
        <v>1822</v>
      </c>
      <c r="M651" s="7" t="s">
        <v>2131</v>
      </c>
      <c r="N651" t="s">
        <v>1870</v>
      </c>
      <c r="O651" s="247" t="s">
        <v>2198</v>
      </c>
      <c r="Q651" s="3">
        <v>0</v>
      </c>
    </row>
    <row r="652" spans="1:17" x14ac:dyDescent="0.3">
      <c r="A652" s="249" t="s">
        <v>1870</v>
      </c>
      <c r="B652" s="246">
        <v>3503</v>
      </c>
      <c r="C652" t="s">
        <v>1870</v>
      </c>
      <c r="D652" t="s">
        <v>1870</v>
      </c>
      <c r="E652" s="246" t="s">
        <v>131</v>
      </c>
      <c r="F652" s="246">
        <v>2</v>
      </c>
      <c r="G652" t="s">
        <v>1870</v>
      </c>
      <c r="H652" s="248" t="s">
        <v>570</v>
      </c>
      <c r="I652" s="7" t="s">
        <v>1801</v>
      </c>
      <c r="J652" t="s">
        <v>1870</v>
      </c>
      <c r="K652" t="s">
        <v>1870</v>
      </c>
      <c r="L652" s="246" t="s">
        <v>1812</v>
      </c>
      <c r="M652" t="s">
        <v>2131</v>
      </c>
      <c r="N652" t="s">
        <v>1870</v>
      </c>
      <c r="O652" s="247" t="s">
        <v>2197</v>
      </c>
      <c r="P652" s="3">
        <v>59480.25</v>
      </c>
      <c r="Q652" s="3">
        <v>15000</v>
      </c>
    </row>
    <row r="653" spans="1:17" x14ac:dyDescent="0.3">
      <c r="A653" s="249" t="s">
        <v>1870</v>
      </c>
      <c r="B653" s="246">
        <v>3503</v>
      </c>
      <c r="C653" t="s">
        <v>1870</v>
      </c>
      <c r="D653" t="s">
        <v>1870</v>
      </c>
      <c r="E653" s="246" t="s">
        <v>131</v>
      </c>
      <c r="F653" s="246">
        <v>2</v>
      </c>
      <c r="G653" t="s">
        <v>1870</v>
      </c>
      <c r="H653" s="248" t="s">
        <v>570</v>
      </c>
      <c r="I653" s="7" t="s">
        <v>1801</v>
      </c>
      <c r="J653" t="s">
        <v>1870</v>
      </c>
      <c r="K653" t="s">
        <v>1870</v>
      </c>
      <c r="L653" s="246" t="s">
        <v>1504</v>
      </c>
      <c r="M653" s="246" t="s">
        <v>2132</v>
      </c>
      <c r="N653" t="s">
        <v>1870</v>
      </c>
      <c r="O653" s="247" t="s">
        <v>2203</v>
      </c>
      <c r="Q653" s="3">
        <v>0</v>
      </c>
    </row>
    <row r="654" spans="1:17" x14ac:dyDescent="0.3">
      <c r="A654" s="249" t="s">
        <v>1870</v>
      </c>
      <c r="B654" s="246">
        <v>3503</v>
      </c>
      <c r="C654" t="s">
        <v>1870</v>
      </c>
      <c r="D654" t="s">
        <v>1870</v>
      </c>
      <c r="E654" s="246" t="s">
        <v>131</v>
      </c>
      <c r="F654" s="246">
        <v>2</v>
      </c>
      <c r="G654" t="s">
        <v>1870</v>
      </c>
      <c r="H654" s="248" t="s">
        <v>570</v>
      </c>
      <c r="I654" s="7" t="s">
        <v>1801</v>
      </c>
      <c r="J654" t="s">
        <v>1870</v>
      </c>
      <c r="K654" t="s">
        <v>1870</v>
      </c>
      <c r="L654" s="246" t="s">
        <v>1504</v>
      </c>
      <c r="M654" s="246" t="s">
        <v>2133</v>
      </c>
      <c r="N654" t="s">
        <v>1870</v>
      </c>
      <c r="O654" s="247" t="s">
        <v>2200</v>
      </c>
      <c r="Q654" s="3">
        <v>0</v>
      </c>
    </row>
    <row r="655" spans="1:17" x14ac:dyDescent="0.3">
      <c r="A655" s="249" t="s">
        <v>1870</v>
      </c>
      <c r="B655" s="246">
        <v>3503</v>
      </c>
      <c r="C655" t="s">
        <v>1870</v>
      </c>
      <c r="D655" t="s">
        <v>1870</v>
      </c>
      <c r="E655" s="246" t="s">
        <v>131</v>
      </c>
      <c r="F655" s="246">
        <v>2</v>
      </c>
      <c r="G655" t="s">
        <v>1870</v>
      </c>
      <c r="H655" s="248" t="s">
        <v>570</v>
      </c>
      <c r="I655" s="7" t="s">
        <v>1801</v>
      </c>
      <c r="J655" t="s">
        <v>1870</v>
      </c>
      <c r="K655" t="s">
        <v>1870</v>
      </c>
      <c r="L655" s="246" t="s">
        <v>1504</v>
      </c>
      <c r="M655" s="246" t="s">
        <v>2134</v>
      </c>
      <c r="N655" t="s">
        <v>1870</v>
      </c>
      <c r="O655" s="247" t="s">
        <v>2201</v>
      </c>
      <c r="Q655" s="3">
        <v>0</v>
      </c>
    </row>
    <row r="656" spans="1:17" x14ac:dyDescent="0.3">
      <c r="A656" s="249" t="s">
        <v>1870</v>
      </c>
      <c r="B656" s="246">
        <v>3503</v>
      </c>
      <c r="C656" t="s">
        <v>1870</v>
      </c>
      <c r="D656" t="s">
        <v>1870</v>
      </c>
      <c r="E656" s="246" t="s">
        <v>131</v>
      </c>
      <c r="F656" s="246">
        <v>2</v>
      </c>
      <c r="G656" t="s">
        <v>1870</v>
      </c>
      <c r="H656" s="248" t="s">
        <v>570</v>
      </c>
      <c r="I656" s="7" t="s">
        <v>1801</v>
      </c>
      <c r="J656" t="s">
        <v>1870</v>
      </c>
      <c r="K656" t="s">
        <v>1870</v>
      </c>
      <c r="L656" s="246" t="s">
        <v>1504</v>
      </c>
      <c r="M656" s="246" t="s">
        <v>2135</v>
      </c>
      <c r="N656" t="s">
        <v>1870</v>
      </c>
      <c r="O656" s="247" t="s">
        <v>2202</v>
      </c>
      <c r="Q656" s="3">
        <v>0</v>
      </c>
    </row>
    <row r="657" spans="1:17" x14ac:dyDescent="0.3">
      <c r="A657" s="249" t="s">
        <v>1870</v>
      </c>
      <c r="B657" s="246">
        <v>3503</v>
      </c>
      <c r="C657" t="s">
        <v>1870</v>
      </c>
      <c r="D657" t="s">
        <v>1870</v>
      </c>
      <c r="E657" s="246" t="s">
        <v>123</v>
      </c>
      <c r="F657" s="246">
        <v>0</v>
      </c>
      <c r="G657" t="s">
        <v>1870</v>
      </c>
      <c r="H657" s="248" t="s">
        <v>572</v>
      </c>
      <c r="I657" t="s">
        <v>1801</v>
      </c>
      <c r="J657" t="s">
        <v>1870</v>
      </c>
      <c r="K657" t="s">
        <v>1870</v>
      </c>
      <c r="L657" s="246" t="s">
        <v>1812</v>
      </c>
      <c r="M657" s="246" t="s">
        <v>2131</v>
      </c>
      <c r="N657" t="s">
        <v>1870</v>
      </c>
      <c r="O657" s="247" t="s">
        <v>2197</v>
      </c>
      <c r="Q657" s="3">
        <v>5000</v>
      </c>
    </row>
    <row r="658" spans="1:17" x14ac:dyDescent="0.3">
      <c r="A658" s="249" t="s">
        <v>1870</v>
      </c>
      <c r="B658" s="246">
        <v>3503</v>
      </c>
      <c r="C658" t="s">
        <v>1870</v>
      </c>
      <c r="D658" t="s">
        <v>1870</v>
      </c>
      <c r="E658" s="246" t="s">
        <v>123</v>
      </c>
      <c r="F658" s="7">
        <v>1</v>
      </c>
      <c r="G658" t="s">
        <v>1870</v>
      </c>
      <c r="H658" t="s">
        <v>574</v>
      </c>
      <c r="I658" s="7" t="s">
        <v>1489</v>
      </c>
      <c r="J658" t="s">
        <v>1870</v>
      </c>
      <c r="K658" t="s">
        <v>1870</v>
      </c>
      <c r="L658" s="7" t="s">
        <v>1489</v>
      </c>
      <c r="M658" s="7" t="s">
        <v>1489</v>
      </c>
      <c r="N658" t="s">
        <v>1870</v>
      </c>
      <c r="O658">
        <v>0</v>
      </c>
      <c r="Q658" s="3">
        <v>0</v>
      </c>
    </row>
    <row r="659" spans="1:17" x14ac:dyDescent="0.3">
      <c r="A659" s="249" t="s">
        <v>1870</v>
      </c>
      <c r="B659" s="246">
        <v>3503</v>
      </c>
      <c r="C659" t="s">
        <v>1870</v>
      </c>
      <c r="D659" t="s">
        <v>1870</v>
      </c>
      <c r="E659" s="246" t="s">
        <v>48</v>
      </c>
      <c r="F659" s="7">
        <v>0</v>
      </c>
      <c r="G659" t="s">
        <v>1870</v>
      </c>
      <c r="H659" s="248" t="s">
        <v>576</v>
      </c>
      <c r="I659" s="7" t="s">
        <v>1801</v>
      </c>
      <c r="J659" t="s">
        <v>1870</v>
      </c>
      <c r="K659" t="s">
        <v>1870</v>
      </c>
      <c r="L659" s="246" t="s">
        <v>1504</v>
      </c>
      <c r="M659" s="7" t="s">
        <v>2131</v>
      </c>
      <c r="N659" t="s">
        <v>1870</v>
      </c>
      <c r="O659" s="247" t="s">
        <v>2204</v>
      </c>
      <c r="P659" s="3">
        <v>2683.25</v>
      </c>
      <c r="Q659" s="3">
        <v>2500</v>
      </c>
    </row>
    <row r="660" spans="1:17" x14ac:dyDescent="0.3">
      <c r="A660" s="249" t="s">
        <v>1870</v>
      </c>
      <c r="B660" s="246">
        <v>3503</v>
      </c>
      <c r="C660" t="s">
        <v>1870</v>
      </c>
      <c r="D660" t="s">
        <v>1870</v>
      </c>
      <c r="E660" s="7" t="s">
        <v>164</v>
      </c>
      <c r="F660">
        <v>0</v>
      </c>
      <c r="G660" t="s">
        <v>1870</v>
      </c>
      <c r="H660" t="s">
        <v>578</v>
      </c>
      <c r="I660" s="7" t="s">
        <v>1489</v>
      </c>
      <c r="J660" t="s">
        <v>1870</v>
      </c>
      <c r="K660" t="s">
        <v>1870</v>
      </c>
      <c r="L660" s="7" t="s">
        <v>1489</v>
      </c>
      <c r="M660" s="7" t="s">
        <v>1489</v>
      </c>
      <c r="N660" t="s">
        <v>1870</v>
      </c>
      <c r="O660">
        <v>0</v>
      </c>
      <c r="Q660" s="3">
        <v>0</v>
      </c>
    </row>
    <row r="661" spans="1:17" x14ac:dyDescent="0.3">
      <c r="A661" s="249" t="s">
        <v>1870</v>
      </c>
      <c r="B661" s="246">
        <v>3503</v>
      </c>
      <c r="C661" t="s">
        <v>1870</v>
      </c>
      <c r="D661" t="s">
        <v>1870</v>
      </c>
      <c r="E661" s="7" t="s">
        <v>6</v>
      </c>
      <c r="F661">
        <v>0</v>
      </c>
      <c r="G661" t="s">
        <v>1870</v>
      </c>
      <c r="H661" t="s">
        <v>580</v>
      </c>
      <c r="I661" t="s">
        <v>1489</v>
      </c>
      <c r="J661" t="s">
        <v>1870</v>
      </c>
      <c r="K661" t="s">
        <v>1870</v>
      </c>
      <c r="L661" t="s">
        <v>1489</v>
      </c>
      <c r="M661" t="s">
        <v>1489</v>
      </c>
      <c r="N661" t="s">
        <v>1870</v>
      </c>
      <c r="O661">
        <v>0</v>
      </c>
      <c r="Q661" s="3">
        <v>0</v>
      </c>
    </row>
    <row r="662" spans="1:17" x14ac:dyDescent="0.3">
      <c r="A662" s="249" t="s">
        <v>1870</v>
      </c>
      <c r="B662" s="246">
        <v>3503</v>
      </c>
      <c r="C662" t="s">
        <v>1870</v>
      </c>
      <c r="D662" t="s">
        <v>1870</v>
      </c>
      <c r="E662" s="246" t="s">
        <v>335</v>
      </c>
      <c r="F662" s="246">
        <v>2</v>
      </c>
      <c r="G662" t="s">
        <v>1870</v>
      </c>
      <c r="H662" s="248" t="s">
        <v>582</v>
      </c>
      <c r="I662" s="7" t="s">
        <v>1801</v>
      </c>
      <c r="J662" t="s">
        <v>1870</v>
      </c>
      <c r="K662" t="s">
        <v>1870</v>
      </c>
      <c r="L662" s="246" t="s">
        <v>1813</v>
      </c>
      <c r="M662" s="7" t="s">
        <v>2131</v>
      </c>
      <c r="N662" t="s">
        <v>1870</v>
      </c>
      <c r="O662" s="247" t="s">
        <v>2199</v>
      </c>
      <c r="P662" s="3">
        <v>-136969.70000000001</v>
      </c>
      <c r="Q662" s="3">
        <v>-136000</v>
      </c>
    </row>
    <row r="663" spans="1:17" x14ac:dyDescent="0.3">
      <c r="A663" s="249" t="s">
        <v>1870</v>
      </c>
      <c r="B663" s="246">
        <v>3503</v>
      </c>
      <c r="C663" t="s">
        <v>1870</v>
      </c>
      <c r="D663" t="s">
        <v>1870</v>
      </c>
      <c r="E663" s="7" t="s">
        <v>61</v>
      </c>
      <c r="F663" s="7">
        <v>0</v>
      </c>
      <c r="G663" t="s">
        <v>1870</v>
      </c>
      <c r="H663" t="s">
        <v>584</v>
      </c>
      <c r="I663" s="7" t="s">
        <v>1489</v>
      </c>
      <c r="J663" t="s">
        <v>1870</v>
      </c>
      <c r="K663" t="s">
        <v>1870</v>
      </c>
      <c r="L663" s="7" t="s">
        <v>1489</v>
      </c>
      <c r="M663" s="7" t="s">
        <v>1489</v>
      </c>
      <c r="N663" t="s">
        <v>1870</v>
      </c>
      <c r="O663">
        <v>0</v>
      </c>
      <c r="Q663" s="3">
        <v>0</v>
      </c>
    </row>
    <row r="664" spans="1:17" x14ac:dyDescent="0.3">
      <c r="A664" s="249" t="s">
        <v>1870</v>
      </c>
      <c r="B664" s="246">
        <v>3503</v>
      </c>
      <c r="C664" t="s">
        <v>1870</v>
      </c>
      <c r="D664" t="s">
        <v>1870</v>
      </c>
      <c r="E664" s="7" t="s">
        <v>64</v>
      </c>
      <c r="F664">
        <v>0</v>
      </c>
      <c r="G664" t="s">
        <v>1870</v>
      </c>
      <c r="H664" t="s">
        <v>586</v>
      </c>
      <c r="I664" t="s">
        <v>1489</v>
      </c>
      <c r="J664" t="s">
        <v>1870</v>
      </c>
      <c r="K664" t="s">
        <v>1870</v>
      </c>
      <c r="L664" t="s">
        <v>1489</v>
      </c>
      <c r="M664" t="s">
        <v>1489</v>
      </c>
      <c r="N664" t="s">
        <v>1870</v>
      </c>
      <c r="O664">
        <v>0</v>
      </c>
      <c r="Q664" s="3">
        <v>0</v>
      </c>
    </row>
    <row r="665" spans="1:17" x14ac:dyDescent="0.3">
      <c r="A665" s="249" t="s">
        <v>1870</v>
      </c>
      <c r="B665" s="7">
        <v>3504</v>
      </c>
      <c r="C665" t="s">
        <v>1870</v>
      </c>
      <c r="D665" t="s">
        <v>1870</v>
      </c>
      <c r="E665" s="7" t="s">
        <v>439</v>
      </c>
      <c r="F665">
        <v>0</v>
      </c>
      <c r="G665" t="s">
        <v>1870</v>
      </c>
      <c r="H665" t="s">
        <v>589</v>
      </c>
      <c r="I665" t="s">
        <v>1489</v>
      </c>
      <c r="J665" t="s">
        <v>1870</v>
      </c>
      <c r="K665" t="s">
        <v>1870</v>
      </c>
      <c r="L665" t="s">
        <v>1489</v>
      </c>
      <c r="M665" t="s">
        <v>1489</v>
      </c>
      <c r="N665" t="s">
        <v>1870</v>
      </c>
      <c r="O665">
        <v>0</v>
      </c>
      <c r="Q665" s="3">
        <v>0</v>
      </c>
    </row>
    <row r="666" spans="1:17" x14ac:dyDescent="0.3">
      <c r="A666" s="249" t="s">
        <v>1870</v>
      </c>
      <c r="B666" s="246">
        <v>3505</v>
      </c>
      <c r="C666" t="s">
        <v>1870</v>
      </c>
      <c r="D666" t="s">
        <v>1870</v>
      </c>
      <c r="E666" s="7" t="s">
        <v>25</v>
      </c>
      <c r="F666">
        <v>0</v>
      </c>
      <c r="G666" t="s">
        <v>1870</v>
      </c>
      <c r="H666" t="s">
        <v>592</v>
      </c>
      <c r="I666" t="s">
        <v>1489</v>
      </c>
      <c r="J666" t="s">
        <v>1870</v>
      </c>
      <c r="K666" t="s">
        <v>1870</v>
      </c>
      <c r="L666" t="s">
        <v>1489</v>
      </c>
      <c r="M666" t="s">
        <v>1489</v>
      </c>
      <c r="N666" t="s">
        <v>1870</v>
      </c>
      <c r="O666">
        <v>0</v>
      </c>
      <c r="Q666" s="3">
        <v>0</v>
      </c>
    </row>
    <row r="667" spans="1:17" x14ac:dyDescent="0.3">
      <c r="A667" s="249" t="s">
        <v>1870</v>
      </c>
      <c r="B667" s="246">
        <v>3505</v>
      </c>
      <c r="C667" t="s">
        <v>1870</v>
      </c>
      <c r="D667" t="s">
        <v>1870</v>
      </c>
      <c r="E667" s="7" t="s">
        <v>159</v>
      </c>
      <c r="F667">
        <v>0</v>
      </c>
      <c r="G667" t="s">
        <v>1870</v>
      </c>
      <c r="H667" t="s">
        <v>594</v>
      </c>
      <c r="I667" t="s">
        <v>1489</v>
      </c>
      <c r="J667" t="s">
        <v>1870</v>
      </c>
      <c r="K667" t="s">
        <v>1870</v>
      </c>
      <c r="L667" t="s">
        <v>1489</v>
      </c>
      <c r="M667" t="s">
        <v>1489</v>
      </c>
      <c r="N667" t="s">
        <v>1870</v>
      </c>
      <c r="O667">
        <v>0</v>
      </c>
      <c r="Q667" s="3">
        <v>0</v>
      </c>
    </row>
    <row r="668" spans="1:17" x14ac:dyDescent="0.3">
      <c r="A668" s="249" t="s">
        <v>1870</v>
      </c>
      <c r="B668" s="246">
        <v>3505</v>
      </c>
      <c r="C668" t="s">
        <v>1870</v>
      </c>
      <c r="D668" t="s">
        <v>1870</v>
      </c>
      <c r="E668" s="7" t="s">
        <v>159</v>
      </c>
      <c r="F668" s="7">
        <v>1</v>
      </c>
      <c r="G668" t="s">
        <v>1870</v>
      </c>
      <c r="H668" t="s">
        <v>596</v>
      </c>
      <c r="I668" t="s">
        <v>1489</v>
      </c>
      <c r="J668" t="s">
        <v>1870</v>
      </c>
      <c r="K668" t="s">
        <v>1870</v>
      </c>
      <c r="L668" t="s">
        <v>1489</v>
      </c>
      <c r="M668" t="s">
        <v>1489</v>
      </c>
      <c r="N668" t="s">
        <v>1870</v>
      </c>
      <c r="O668">
        <v>0</v>
      </c>
      <c r="Q668" s="3">
        <v>0</v>
      </c>
    </row>
    <row r="669" spans="1:17" x14ac:dyDescent="0.3">
      <c r="A669" s="249" t="s">
        <v>1870</v>
      </c>
      <c r="B669" s="246">
        <v>3505</v>
      </c>
      <c r="C669" t="s">
        <v>1870</v>
      </c>
      <c r="D669" t="s">
        <v>1870</v>
      </c>
      <c r="E669" s="7" t="s">
        <v>439</v>
      </c>
      <c r="F669" s="7">
        <v>0</v>
      </c>
      <c r="G669" t="s">
        <v>1870</v>
      </c>
      <c r="H669" t="s">
        <v>598</v>
      </c>
      <c r="I669" t="s">
        <v>1489</v>
      </c>
      <c r="J669" t="s">
        <v>1870</v>
      </c>
      <c r="K669" t="s">
        <v>1870</v>
      </c>
      <c r="L669" t="s">
        <v>1489</v>
      </c>
      <c r="M669" t="s">
        <v>1489</v>
      </c>
      <c r="N669" t="s">
        <v>1870</v>
      </c>
      <c r="O669">
        <v>0</v>
      </c>
      <c r="Q669" s="3">
        <v>0</v>
      </c>
    </row>
    <row r="670" spans="1:17" x14ac:dyDescent="0.3">
      <c r="A670" s="249" t="s">
        <v>1870</v>
      </c>
      <c r="B670" s="246">
        <v>3505</v>
      </c>
      <c r="C670" t="s">
        <v>1870</v>
      </c>
      <c r="D670" t="s">
        <v>1870</v>
      </c>
      <c r="E670" s="246" t="s">
        <v>131</v>
      </c>
      <c r="F670">
        <v>0</v>
      </c>
      <c r="G670" t="s">
        <v>1870</v>
      </c>
      <c r="H670" t="s">
        <v>600</v>
      </c>
      <c r="I670" t="s">
        <v>1489</v>
      </c>
      <c r="J670" t="s">
        <v>1870</v>
      </c>
      <c r="K670" t="s">
        <v>1870</v>
      </c>
      <c r="L670" t="s">
        <v>1489</v>
      </c>
      <c r="M670" t="s">
        <v>1489</v>
      </c>
      <c r="N670" t="s">
        <v>1870</v>
      </c>
      <c r="O670">
        <v>0</v>
      </c>
      <c r="Q670" s="3">
        <v>0</v>
      </c>
    </row>
    <row r="671" spans="1:17" x14ac:dyDescent="0.3">
      <c r="A671" s="249" t="s">
        <v>1870</v>
      </c>
      <c r="B671" s="246">
        <v>3505</v>
      </c>
      <c r="C671" t="s">
        <v>1870</v>
      </c>
      <c r="D671" t="s">
        <v>1870</v>
      </c>
      <c r="E671" s="246" t="s">
        <v>131</v>
      </c>
      <c r="F671" s="7">
        <v>1</v>
      </c>
      <c r="G671" t="s">
        <v>1870</v>
      </c>
      <c r="H671" t="s">
        <v>602</v>
      </c>
      <c r="I671" t="s">
        <v>1489</v>
      </c>
      <c r="J671" t="s">
        <v>1870</v>
      </c>
      <c r="K671" t="s">
        <v>1870</v>
      </c>
      <c r="L671" t="s">
        <v>1489</v>
      </c>
      <c r="M671" t="s">
        <v>1489</v>
      </c>
      <c r="N671" t="s">
        <v>1870</v>
      </c>
      <c r="O671">
        <v>0</v>
      </c>
      <c r="Q671" s="3">
        <v>0</v>
      </c>
    </row>
    <row r="672" spans="1:17" x14ac:dyDescent="0.3">
      <c r="A672" s="249" t="s">
        <v>1870</v>
      </c>
      <c r="B672" s="246">
        <v>3505</v>
      </c>
      <c r="C672" t="s">
        <v>1870</v>
      </c>
      <c r="D672" t="s">
        <v>1870</v>
      </c>
      <c r="E672" s="246" t="s">
        <v>131</v>
      </c>
      <c r="F672" s="7">
        <v>2</v>
      </c>
      <c r="G672" t="s">
        <v>1870</v>
      </c>
      <c r="H672" s="248" t="s">
        <v>604</v>
      </c>
      <c r="I672" s="246" t="s">
        <v>1802</v>
      </c>
      <c r="J672" t="s">
        <v>1870</v>
      </c>
      <c r="K672" t="s">
        <v>1870</v>
      </c>
      <c r="L672" s="246" t="s">
        <v>1822</v>
      </c>
      <c r="M672" s="7" t="s">
        <v>2131</v>
      </c>
      <c r="N672" t="s">
        <v>1870</v>
      </c>
      <c r="O672" s="247" t="s">
        <v>2210</v>
      </c>
      <c r="Q672" s="3">
        <v>0</v>
      </c>
    </row>
    <row r="673" spans="1:17" x14ac:dyDescent="0.3">
      <c r="A673" s="249" t="s">
        <v>1870</v>
      </c>
      <c r="B673" s="246">
        <v>3505</v>
      </c>
      <c r="C673" t="s">
        <v>1870</v>
      </c>
      <c r="D673" t="s">
        <v>1870</v>
      </c>
      <c r="E673" s="246" t="s">
        <v>131</v>
      </c>
      <c r="F673" s="7">
        <v>2</v>
      </c>
      <c r="G673" t="s">
        <v>1870</v>
      </c>
      <c r="H673" s="248" t="s">
        <v>604</v>
      </c>
      <c r="I673" s="246" t="s">
        <v>1802</v>
      </c>
      <c r="J673" t="s">
        <v>1870</v>
      </c>
      <c r="K673" t="s">
        <v>1870</v>
      </c>
      <c r="L673" s="246" t="s">
        <v>1812</v>
      </c>
      <c r="M673" t="s">
        <v>2131</v>
      </c>
      <c r="N673" t="s">
        <v>1870</v>
      </c>
      <c r="O673" s="247" t="s">
        <v>2205</v>
      </c>
      <c r="P673" s="3">
        <v>71890.17</v>
      </c>
      <c r="Q673" s="3">
        <v>40000</v>
      </c>
    </row>
    <row r="674" spans="1:17" x14ac:dyDescent="0.3">
      <c r="A674" s="249" t="s">
        <v>1870</v>
      </c>
      <c r="B674" s="246">
        <v>3505</v>
      </c>
      <c r="C674" t="s">
        <v>1870</v>
      </c>
      <c r="D674" t="s">
        <v>1870</v>
      </c>
      <c r="E674" s="246" t="s">
        <v>131</v>
      </c>
      <c r="F674" s="7">
        <v>2</v>
      </c>
      <c r="G674" t="s">
        <v>1870</v>
      </c>
      <c r="H674" s="248" t="s">
        <v>604</v>
      </c>
      <c r="I674" s="246" t="s">
        <v>1802</v>
      </c>
      <c r="J674" t="s">
        <v>1870</v>
      </c>
      <c r="K674" t="s">
        <v>1870</v>
      </c>
      <c r="L674" s="246" t="s">
        <v>1504</v>
      </c>
      <c r="M674" s="246" t="s">
        <v>2132</v>
      </c>
      <c r="N674" t="s">
        <v>1870</v>
      </c>
      <c r="O674" s="247" t="s">
        <v>2206</v>
      </c>
      <c r="Q674" s="3">
        <v>0</v>
      </c>
    </row>
    <row r="675" spans="1:17" x14ac:dyDescent="0.3">
      <c r="A675" s="249" t="s">
        <v>1870</v>
      </c>
      <c r="B675" s="246">
        <v>3505</v>
      </c>
      <c r="C675" t="s">
        <v>1870</v>
      </c>
      <c r="D675" t="s">
        <v>1870</v>
      </c>
      <c r="E675" s="246" t="s">
        <v>131</v>
      </c>
      <c r="F675" s="7">
        <v>2</v>
      </c>
      <c r="G675" t="s">
        <v>1870</v>
      </c>
      <c r="H675" s="248" t="s">
        <v>604</v>
      </c>
      <c r="I675" s="246" t="s">
        <v>1802</v>
      </c>
      <c r="J675" t="s">
        <v>1870</v>
      </c>
      <c r="K675" t="s">
        <v>1870</v>
      </c>
      <c r="L675" s="246" t="s">
        <v>1504</v>
      </c>
      <c r="M675" s="246" t="s">
        <v>2133</v>
      </c>
      <c r="N675" t="s">
        <v>1870</v>
      </c>
      <c r="O675" s="247" t="s">
        <v>2207</v>
      </c>
      <c r="Q675" s="3">
        <v>0</v>
      </c>
    </row>
    <row r="676" spans="1:17" x14ac:dyDescent="0.3">
      <c r="A676" s="249" t="s">
        <v>1870</v>
      </c>
      <c r="B676" s="246">
        <v>3505</v>
      </c>
      <c r="C676" t="s">
        <v>1870</v>
      </c>
      <c r="D676" t="s">
        <v>1870</v>
      </c>
      <c r="E676" s="246" t="s">
        <v>131</v>
      </c>
      <c r="F676" s="7">
        <v>2</v>
      </c>
      <c r="G676" t="s">
        <v>1870</v>
      </c>
      <c r="H676" s="248" t="s">
        <v>604</v>
      </c>
      <c r="I676" s="246" t="s">
        <v>1802</v>
      </c>
      <c r="J676" t="s">
        <v>1870</v>
      </c>
      <c r="K676" t="s">
        <v>1870</v>
      </c>
      <c r="L676" s="246" t="s">
        <v>1504</v>
      </c>
      <c r="M676" s="246" t="s">
        <v>2134</v>
      </c>
      <c r="N676" t="s">
        <v>1870</v>
      </c>
      <c r="O676" s="247" t="s">
        <v>2208</v>
      </c>
      <c r="Q676" s="3">
        <v>0</v>
      </c>
    </row>
    <row r="677" spans="1:17" x14ac:dyDescent="0.3">
      <c r="A677" s="249" t="s">
        <v>1870</v>
      </c>
      <c r="B677" s="246">
        <v>3505</v>
      </c>
      <c r="C677" t="s">
        <v>1870</v>
      </c>
      <c r="D677" t="s">
        <v>1870</v>
      </c>
      <c r="E677" s="246" t="s">
        <v>131</v>
      </c>
      <c r="F677" s="7">
        <v>2</v>
      </c>
      <c r="G677" t="s">
        <v>1870</v>
      </c>
      <c r="H677" s="248" t="s">
        <v>604</v>
      </c>
      <c r="I677" s="246" t="s">
        <v>1802</v>
      </c>
      <c r="J677" t="s">
        <v>1870</v>
      </c>
      <c r="K677" t="s">
        <v>1870</v>
      </c>
      <c r="L677" s="246" t="s">
        <v>1504</v>
      </c>
      <c r="M677" s="246" t="s">
        <v>2135</v>
      </c>
      <c r="N677" t="s">
        <v>1870</v>
      </c>
      <c r="O677" s="247" t="s">
        <v>2209</v>
      </c>
      <c r="Q677" s="3">
        <v>0</v>
      </c>
    </row>
    <row r="678" spans="1:17" x14ac:dyDescent="0.3">
      <c r="A678" s="249" t="s">
        <v>1870</v>
      </c>
      <c r="B678" s="246">
        <v>3505</v>
      </c>
      <c r="C678" t="s">
        <v>1870</v>
      </c>
      <c r="D678" t="s">
        <v>1870</v>
      </c>
      <c r="E678" s="7" t="s">
        <v>123</v>
      </c>
      <c r="F678" s="7">
        <v>0</v>
      </c>
      <c r="G678" t="s">
        <v>1870</v>
      </c>
      <c r="H678" t="s">
        <v>606</v>
      </c>
      <c r="I678" s="7" t="s">
        <v>1489</v>
      </c>
      <c r="J678" t="s">
        <v>1870</v>
      </c>
      <c r="K678" t="s">
        <v>1870</v>
      </c>
      <c r="L678" s="7" t="s">
        <v>1489</v>
      </c>
      <c r="M678" s="7" t="s">
        <v>1489</v>
      </c>
      <c r="N678" t="s">
        <v>1870</v>
      </c>
      <c r="O678">
        <v>0</v>
      </c>
      <c r="Q678" s="3">
        <v>0</v>
      </c>
    </row>
    <row r="679" spans="1:17" x14ac:dyDescent="0.3">
      <c r="A679" s="249" t="s">
        <v>1870</v>
      </c>
      <c r="B679" s="246">
        <v>3505</v>
      </c>
      <c r="C679" t="s">
        <v>1870</v>
      </c>
      <c r="D679" t="s">
        <v>1870</v>
      </c>
      <c r="E679" s="7" t="s">
        <v>123</v>
      </c>
      <c r="F679" s="7">
        <v>1</v>
      </c>
      <c r="G679" t="s">
        <v>1870</v>
      </c>
      <c r="H679" t="s">
        <v>608</v>
      </c>
      <c r="I679" t="s">
        <v>1489</v>
      </c>
      <c r="J679" t="s">
        <v>1870</v>
      </c>
      <c r="K679" t="s">
        <v>1870</v>
      </c>
      <c r="L679" t="s">
        <v>1489</v>
      </c>
      <c r="M679" t="s">
        <v>1489</v>
      </c>
      <c r="N679" t="s">
        <v>1870</v>
      </c>
      <c r="O679">
        <v>0</v>
      </c>
      <c r="Q679" s="3">
        <v>0</v>
      </c>
    </row>
    <row r="680" spans="1:17" x14ac:dyDescent="0.3">
      <c r="A680" s="249" t="s">
        <v>1870</v>
      </c>
      <c r="B680" s="246">
        <v>3505</v>
      </c>
      <c r="C680" t="s">
        <v>1870</v>
      </c>
      <c r="D680" t="s">
        <v>1870</v>
      </c>
      <c r="E680" s="246" t="s">
        <v>48</v>
      </c>
      <c r="F680" s="246">
        <v>0</v>
      </c>
      <c r="G680" t="s">
        <v>1870</v>
      </c>
      <c r="H680" s="248" t="s">
        <v>610</v>
      </c>
      <c r="I680" s="7" t="s">
        <v>1802</v>
      </c>
      <c r="J680" t="s">
        <v>1870</v>
      </c>
      <c r="K680" t="s">
        <v>1870</v>
      </c>
      <c r="L680" s="7" t="s">
        <v>1504</v>
      </c>
      <c r="M680" s="246" t="s">
        <v>2131</v>
      </c>
      <c r="N680" t="s">
        <v>1870</v>
      </c>
      <c r="O680" s="247" t="s">
        <v>2211</v>
      </c>
      <c r="P680" s="3">
        <v>1543.1</v>
      </c>
      <c r="Q680" s="3">
        <v>0</v>
      </c>
    </row>
    <row r="681" spans="1:17" x14ac:dyDescent="0.3">
      <c r="A681" s="249" t="s">
        <v>1870</v>
      </c>
      <c r="B681" s="246">
        <v>3505</v>
      </c>
      <c r="C681" t="s">
        <v>1870</v>
      </c>
      <c r="D681" t="s">
        <v>1870</v>
      </c>
      <c r="E681" s="246" t="s">
        <v>6</v>
      </c>
      <c r="F681">
        <v>0</v>
      </c>
      <c r="G681" t="s">
        <v>1870</v>
      </c>
      <c r="H681" s="248" t="s">
        <v>612</v>
      </c>
      <c r="I681" t="s">
        <v>1802</v>
      </c>
      <c r="J681" t="s">
        <v>1870</v>
      </c>
      <c r="K681" t="s">
        <v>1870</v>
      </c>
      <c r="L681" s="246">
        <v>3511</v>
      </c>
      <c r="M681" t="s">
        <v>2131</v>
      </c>
      <c r="N681" t="s">
        <v>1870</v>
      </c>
      <c r="O681" s="247" t="s">
        <v>2212</v>
      </c>
      <c r="Q681" s="3">
        <v>13500</v>
      </c>
    </row>
    <row r="682" spans="1:17" x14ac:dyDescent="0.3">
      <c r="A682" s="249" t="s">
        <v>1870</v>
      </c>
      <c r="B682" s="246">
        <v>3505</v>
      </c>
      <c r="C682" t="s">
        <v>1870</v>
      </c>
      <c r="D682" t="s">
        <v>1870</v>
      </c>
      <c r="E682" s="7" t="s">
        <v>28</v>
      </c>
      <c r="F682" s="7">
        <v>2</v>
      </c>
      <c r="G682" t="s">
        <v>1870</v>
      </c>
      <c r="H682" t="s">
        <v>614</v>
      </c>
      <c r="I682" t="s">
        <v>1489</v>
      </c>
      <c r="J682" t="s">
        <v>1870</v>
      </c>
      <c r="K682" t="s">
        <v>1870</v>
      </c>
      <c r="L682" t="s">
        <v>1489</v>
      </c>
      <c r="M682" t="s">
        <v>1489</v>
      </c>
      <c r="N682" t="s">
        <v>1870</v>
      </c>
      <c r="O682">
        <v>0</v>
      </c>
      <c r="Q682" s="3">
        <v>0</v>
      </c>
    </row>
    <row r="683" spans="1:17" x14ac:dyDescent="0.3">
      <c r="A683" s="249" t="s">
        <v>1870</v>
      </c>
      <c r="B683" s="246">
        <v>3505</v>
      </c>
      <c r="C683" t="s">
        <v>1870</v>
      </c>
      <c r="D683" t="s">
        <v>1870</v>
      </c>
      <c r="E683" s="246" t="s">
        <v>326</v>
      </c>
      <c r="F683" s="246">
        <v>2</v>
      </c>
      <c r="G683" t="s">
        <v>1870</v>
      </c>
      <c r="H683" s="248" t="s">
        <v>616</v>
      </c>
      <c r="I683" s="7" t="s">
        <v>1802</v>
      </c>
      <c r="J683" t="s">
        <v>1870</v>
      </c>
      <c r="K683" t="s">
        <v>1870</v>
      </c>
      <c r="L683" s="246" t="s">
        <v>1813</v>
      </c>
      <c r="M683" s="7" t="s">
        <v>2131</v>
      </c>
      <c r="N683" t="s">
        <v>1870</v>
      </c>
      <c r="O683" s="247" t="s">
        <v>2213</v>
      </c>
      <c r="P683" s="3">
        <v>-325707.59999999998</v>
      </c>
      <c r="Q683" s="3">
        <v>-320000</v>
      </c>
    </row>
    <row r="684" spans="1:17" x14ac:dyDescent="0.3">
      <c r="A684" s="249" t="s">
        <v>1870</v>
      </c>
      <c r="B684" s="246">
        <v>3505</v>
      </c>
      <c r="C684" t="s">
        <v>1870</v>
      </c>
      <c r="D684" t="s">
        <v>1870</v>
      </c>
      <c r="E684" s="7" t="s">
        <v>61</v>
      </c>
      <c r="F684" s="7">
        <v>0</v>
      </c>
      <c r="G684" t="s">
        <v>1870</v>
      </c>
      <c r="H684" t="s">
        <v>618</v>
      </c>
      <c r="I684" s="7" t="s">
        <v>1489</v>
      </c>
      <c r="J684" t="s">
        <v>1870</v>
      </c>
      <c r="K684" t="s">
        <v>1870</v>
      </c>
      <c r="L684" s="7" t="s">
        <v>1489</v>
      </c>
      <c r="M684" s="7" t="s">
        <v>1489</v>
      </c>
      <c r="N684" t="s">
        <v>1870</v>
      </c>
      <c r="O684">
        <v>0</v>
      </c>
      <c r="Q684" s="3">
        <v>0</v>
      </c>
    </row>
    <row r="685" spans="1:17" x14ac:dyDescent="0.3">
      <c r="A685" s="249" t="s">
        <v>1870</v>
      </c>
      <c r="B685" s="246">
        <v>3506</v>
      </c>
      <c r="C685" t="s">
        <v>1870</v>
      </c>
      <c r="D685" t="s">
        <v>1870</v>
      </c>
      <c r="E685" s="246" t="s">
        <v>25</v>
      </c>
      <c r="F685" s="246">
        <v>0</v>
      </c>
      <c r="G685" t="s">
        <v>1870</v>
      </c>
      <c r="H685" s="248" t="s">
        <v>621</v>
      </c>
      <c r="I685" s="246" t="s">
        <v>1800</v>
      </c>
      <c r="J685" t="s">
        <v>1870</v>
      </c>
      <c r="K685" t="s">
        <v>1870</v>
      </c>
      <c r="L685" s="246" t="s">
        <v>1493</v>
      </c>
      <c r="M685" s="7" t="s">
        <v>2131</v>
      </c>
      <c r="N685" t="s">
        <v>1870</v>
      </c>
      <c r="O685" s="247" t="s">
        <v>2253</v>
      </c>
      <c r="Q685" s="3">
        <v>500</v>
      </c>
    </row>
    <row r="686" spans="1:17" x14ac:dyDescent="0.3">
      <c r="A686" s="249" t="s">
        <v>1870</v>
      </c>
      <c r="B686" s="246">
        <v>3506</v>
      </c>
      <c r="C686" t="s">
        <v>1870</v>
      </c>
      <c r="D686" t="s">
        <v>1870</v>
      </c>
      <c r="E686" s="246" t="s">
        <v>159</v>
      </c>
      <c r="F686">
        <v>0</v>
      </c>
      <c r="G686" t="s">
        <v>1870</v>
      </c>
      <c r="H686" s="248" t="s">
        <v>623</v>
      </c>
      <c r="I686" t="s">
        <v>1800</v>
      </c>
      <c r="J686" t="s">
        <v>1870</v>
      </c>
      <c r="K686" t="s">
        <v>1870</v>
      </c>
      <c r="L686" s="246" t="s">
        <v>1500</v>
      </c>
      <c r="M686" s="246" t="s">
        <v>2132</v>
      </c>
      <c r="N686" t="s">
        <v>1870</v>
      </c>
      <c r="O686" s="247" t="s">
        <v>2254</v>
      </c>
      <c r="P686" s="3">
        <v>4288.45</v>
      </c>
      <c r="Q686" s="3">
        <v>2000</v>
      </c>
    </row>
    <row r="687" spans="1:17" x14ac:dyDescent="0.3">
      <c r="A687" s="249" t="s">
        <v>1870</v>
      </c>
      <c r="B687" s="246">
        <v>3506</v>
      </c>
      <c r="C687" t="s">
        <v>1870</v>
      </c>
      <c r="D687" t="s">
        <v>1870</v>
      </c>
      <c r="E687" s="246" t="s">
        <v>159</v>
      </c>
      <c r="F687" s="246">
        <v>1</v>
      </c>
      <c r="G687" t="s">
        <v>1870</v>
      </c>
      <c r="H687" s="248" t="s">
        <v>625</v>
      </c>
      <c r="I687" t="s">
        <v>1800</v>
      </c>
      <c r="J687" t="s">
        <v>1870</v>
      </c>
      <c r="K687" t="s">
        <v>1870</v>
      </c>
      <c r="L687" t="s">
        <v>1500</v>
      </c>
      <c r="M687" s="246" t="s">
        <v>2131</v>
      </c>
      <c r="N687" t="s">
        <v>1870</v>
      </c>
      <c r="O687" s="247" t="s">
        <v>2255</v>
      </c>
      <c r="P687" s="3">
        <v>16986.349999999999</v>
      </c>
      <c r="Q687" s="3">
        <v>20000</v>
      </c>
    </row>
    <row r="688" spans="1:17" x14ac:dyDescent="0.3">
      <c r="A688" s="249" t="s">
        <v>1870</v>
      </c>
      <c r="B688" s="246">
        <v>3506</v>
      </c>
      <c r="C688" t="s">
        <v>1870</v>
      </c>
      <c r="D688" t="s">
        <v>1870</v>
      </c>
      <c r="E688" s="246" t="s">
        <v>439</v>
      </c>
      <c r="F688" s="246">
        <v>0</v>
      </c>
      <c r="G688" t="s">
        <v>1870</v>
      </c>
      <c r="H688" s="248" t="s">
        <v>627</v>
      </c>
      <c r="I688" t="s">
        <v>1800</v>
      </c>
      <c r="J688" t="s">
        <v>1870</v>
      </c>
      <c r="K688" t="s">
        <v>1870</v>
      </c>
      <c r="L688" s="246" t="s">
        <v>1426</v>
      </c>
      <c r="M688" t="s">
        <v>2131</v>
      </c>
      <c r="N688" t="s">
        <v>1870</v>
      </c>
      <c r="O688" s="247" t="s">
        <v>2256</v>
      </c>
      <c r="P688" s="3">
        <v>1238.7</v>
      </c>
      <c r="Q688" s="3">
        <v>1000</v>
      </c>
    </row>
    <row r="689" spans="1:18" x14ac:dyDescent="0.3">
      <c r="A689" s="249" t="s">
        <v>1870</v>
      </c>
      <c r="B689" s="246">
        <v>3506</v>
      </c>
      <c r="C689" t="s">
        <v>1870</v>
      </c>
      <c r="D689" t="s">
        <v>1870</v>
      </c>
      <c r="E689" s="246" t="s">
        <v>131</v>
      </c>
      <c r="F689">
        <v>0</v>
      </c>
      <c r="G689" t="s">
        <v>1870</v>
      </c>
      <c r="H689" s="248" t="s">
        <v>629</v>
      </c>
      <c r="I689" t="s">
        <v>1800</v>
      </c>
      <c r="J689" t="s">
        <v>1870</v>
      </c>
      <c r="K689" t="s">
        <v>1870</v>
      </c>
      <c r="L689" s="246" t="s">
        <v>1678</v>
      </c>
      <c r="M689" t="s">
        <v>2131</v>
      </c>
      <c r="N689" t="s">
        <v>1870</v>
      </c>
      <c r="O689" s="247" t="s">
        <v>2257</v>
      </c>
      <c r="P689" s="3">
        <v>7108.65</v>
      </c>
      <c r="Q689" s="3">
        <v>12000</v>
      </c>
    </row>
    <row r="690" spans="1:18" x14ac:dyDescent="0.3">
      <c r="A690" s="249" t="s">
        <v>1870</v>
      </c>
      <c r="B690" s="246">
        <v>3506</v>
      </c>
      <c r="C690" t="s">
        <v>1870</v>
      </c>
      <c r="D690" t="s">
        <v>1870</v>
      </c>
      <c r="E690" s="246" t="s">
        <v>131</v>
      </c>
      <c r="F690" s="246">
        <v>1</v>
      </c>
      <c r="G690" t="s">
        <v>1870</v>
      </c>
      <c r="H690" s="248" t="s">
        <v>631</v>
      </c>
      <c r="I690" t="s">
        <v>1800</v>
      </c>
      <c r="J690" t="s">
        <v>1870</v>
      </c>
      <c r="K690" t="s">
        <v>1870</v>
      </c>
      <c r="L690" t="s">
        <v>1678</v>
      </c>
      <c r="M690" t="s">
        <v>2131</v>
      </c>
      <c r="N690" t="s">
        <v>1870</v>
      </c>
      <c r="O690" s="247" t="s">
        <v>2257</v>
      </c>
      <c r="Q690" s="3">
        <v>600</v>
      </c>
    </row>
    <row r="691" spans="1:18" x14ac:dyDescent="0.3">
      <c r="A691" s="249" t="s">
        <v>1870</v>
      </c>
      <c r="B691" s="246">
        <v>3506</v>
      </c>
      <c r="C691" t="s">
        <v>1870</v>
      </c>
      <c r="D691" t="s">
        <v>1870</v>
      </c>
      <c r="E691" s="246" t="s">
        <v>131</v>
      </c>
      <c r="F691" s="246">
        <v>2</v>
      </c>
      <c r="G691" t="s">
        <v>1870</v>
      </c>
      <c r="H691" s="248" t="s">
        <v>633</v>
      </c>
      <c r="I691" t="s">
        <v>1800</v>
      </c>
      <c r="J691" t="s">
        <v>1870</v>
      </c>
      <c r="K691" t="s">
        <v>1870</v>
      </c>
      <c r="L691" s="246" t="s">
        <v>1831</v>
      </c>
      <c r="M691" t="s">
        <v>2131</v>
      </c>
      <c r="N691" t="s">
        <v>1870</v>
      </c>
      <c r="O691" s="247" t="s">
        <v>2259</v>
      </c>
      <c r="Q691" s="3">
        <v>0</v>
      </c>
    </row>
    <row r="692" spans="1:18" x14ac:dyDescent="0.3">
      <c r="A692" s="249" t="s">
        <v>1870</v>
      </c>
      <c r="B692" s="246">
        <v>3506</v>
      </c>
      <c r="C692" t="s">
        <v>1870</v>
      </c>
      <c r="D692" t="s">
        <v>1870</v>
      </c>
      <c r="E692" s="246" t="s">
        <v>131</v>
      </c>
      <c r="F692" s="246">
        <v>2</v>
      </c>
      <c r="G692" t="s">
        <v>1870</v>
      </c>
      <c r="H692" s="248" t="s">
        <v>633</v>
      </c>
      <c r="I692" t="s">
        <v>1800</v>
      </c>
      <c r="J692" t="s">
        <v>1870</v>
      </c>
      <c r="K692" t="s">
        <v>1870</v>
      </c>
      <c r="L692" s="246" t="s">
        <v>1493</v>
      </c>
      <c r="M692" t="s">
        <v>2131</v>
      </c>
      <c r="N692" t="s">
        <v>1870</v>
      </c>
      <c r="O692" s="247" t="s">
        <v>2253</v>
      </c>
      <c r="Q692" s="3">
        <v>0</v>
      </c>
    </row>
    <row r="693" spans="1:18" x14ac:dyDescent="0.3">
      <c r="A693" s="249" t="s">
        <v>1870</v>
      </c>
      <c r="B693" s="246">
        <v>3506</v>
      </c>
      <c r="C693" t="s">
        <v>1870</v>
      </c>
      <c r="D693" t="s">
        <v>1870</v>
      </c>
      <c r="E693" s="246" t="s">
        <v>131</v>
      </c>
      <c r="F693" s="246">
        <v>2</v>
      </c>
      <c r="G693" t="s">
        <v>1870</v>
      </c>
      <c r="H693" s="248" t="s">
        <v>633</v>
      </c>
      <c r="I693" t="s">
        <v>1800</v>
      </c>
      <c r="J693" t="s">
        <v>1870</v>
      </c>
      <c r="K693" t="s">
        <v>1870</v>
      </c>
      <c r="L693" s="246" t="s">
        <v>1500</v>
      </c>
      <c r="M693" s="246" t="s">
        <v>2133</v>
      </c>
      <c r="N693" t="s">
        <v>1870</v>
      </c>
      <c r="O693" s="247" t="s">
        <v>2258</v>
      </c>
      <c r="Q693" s="3">
        <v>0</v>
      </c>
    </row>
    <row r="694" spans="1:18" x14ac:dyDescent="0.3">
      <c r="A694" s="249" t="s">
        <v>1870</v>
      </c>
      <c r="B694" s="246">
        <v>3506</v>
      </c>
      <c r="C694" t="s">
        <v>1870</v>
      </c>
      <c r="D694" t="s">
        <v>1870</v>
      </c>
      <c r="E694" s="246" t="s">
        <v>131</v>
      </c>
      <c r="F694" s="246">
        <v>2</v>
      </c>
      <c r="G694" t="s">
        <v>1870</v>
      </c>
      <c r="H694" s="248" t="s">
        <v>633</v>
      </c>
      <c r="I694" t="s">
        <v>1800</v>
      </c>
      <c r="J694" t="s">
        <v>1870</v>
      </c>
      <c r="K694" t="s">
        <v>1870</v>
      </c>
      <c r="L694" s="246" t="s">
        <v>1678</v>
      </c>
      <c r="M694" s="246" t="s">
        <v>2131</v>
      </c>
      <c r="N694" t="s">
        <v>1870</v>
      </c>
      <c r="O694" s="247" t="s">
        <v>2257</v>
      </c>
      <c r="P694" s="3">
        <v>29069.15</v>
      </c>
      <c r="Q694" s="3">
        <v>6000</v>
      </c>
    </row>
    <row r="695" spans="1:18" x14ac:dyDescent="0.3">
      <c r="A695" s="249" t="s">
        <v>1870</v>
      </c>
      <c r="B695" s="246">
        <v>3506</v>
      </c>
      <c r="C695" t="s">
        <v>1870</v>
      </c>
      <c r="D695" t="s">
        <v>1870</v>
      </c>
      <c r="E695" s="246" t="s">
        <v>123</v>
      </c>
      <c r="F695" s="246">
        <v>0</v>
      </c>
      <c r="G695" t="s">
        <v>1870</v>
      </c>
      <c r="H695" s="248" t="s">
        <v>635</v>
      </c>
      <c r="I695" t="s">
        <v>1800</v>
      </c>
      <c r="J695" t="s">
        <v>1870</v>
      </c>
      <c r="K695" t="s">
        <v>1870</v>
      </c>
      <c r="L695" t="s">
        <v>1678</v>
      </c>
      <c r="M695" t="s">
        <v>2131</v>
      </c>
      <c r="N695" t="s">
        <v>1870</v>
      </c>
      <c r="O695" s="247" t="s">
        <v>2257</v>
      </c>
      <c r="P695" s="3">
        <v>6687.9</v>
      </c>
      <c r="Q695" s="3">
        <v>8000</v>
      </c>
    </row>
    <row r="696" spans="1:18" x14ac:dyDescent="0.3">
      <c r="A696" s="249" t="s">
        <v>1870</v>
      </c>
      <c r="B696" s="246">
        <v>3506</v>
      </c>
      <c r="C696" t="s">
        <v>1870</v>
      </c>
      <c r="D696" t="s">
        <v>1870</v>
      </c>
      <c r="E696" s="246" t="s">
        <v>123</v>
      </c>
      <c r="F696" s="246">
        <v>1</v>
      </c>
      <c r="G696" t="s">
        <v>1870</v>
      </c>
      <c r="H696" s="248" t="s">
        <v>637</v>
      </c>
      <c r="I696" t="s">
        <v>1800</v>
      </c>
      <c r="J696" t="s">
        <v>1870</v>
      </c>
      <c r="K696" t="s">
        <v>1870</v>
      </c>
      <c r="L696" t="s">
        <v>1678</v>
      </c>
      <c r="M696" t="s">
        <v>2131</v>
      </c>
      <c r="N696" t="s">
        <v>1870</v>
      </c>
      <c r="O696" s="247" t="s">
        <v>2257</v>
      </c>
      <c r="P696" s="3">
        <v>124.65</v>
      </c>
      <c r="Q696" s="3">
        <v>130</v>
      </c>
    </row>
    <row r="697" spans="1:18" x14ac:dyDescent="0.3">
      <c r="A697" s="249" t="s">
        <v>1870</v>
      </c>
      <c r="B697" s="246">
        <v>3506</v>
      </c>
      <c r="C697" t="s">
        <v>1870</v>
      </c>
      <c r="D697" t="s">
        <v>1870</v>
      </c>
      <c r="E697" s="246" t="s">
        <v>48</v>
      </c>
      <c r="F697" s="246">
        <v>0</v>
      </c>
      <c r="G697" t="s">
        <v>1870</v>
      </c>
      <c r="H697" s="248" t="s">
        <v>639</v>
      </c>
      <c r="I697" t="s">
        <v>1800</v>
      </c>
      <c r="J697" t="s">
        <v>1870</v>
      </c>
      <c r="K697" t="s">
        <v>1870</v>
      </c>
      <c r="L697" s="246" t="s">
        <v>1418</v>
      </c>
      <c r="M697" t="s">
        <v>2131</v>
      </c>
      <c r="N697" t="s">
        <v>1870</v>
      </c>
      <c r="O697" s="247" t="s">
        <v>2260</v>
      </c>
      <c r="P697" s="3">
        <v>1965.4</v>
      </c>
      <c r="Q697" s="3">
        <v>2000</v>
      </c>
    </row>
    <row r="698" spans="1:18" x14ac:dyDescent="0.3">
      <c r="A698" s="249" t="s">
        <v>1870</v>
      </c>
      <c r="B698" s="246">
        <v>3506</v>
      </c>
      <c r="C698" t="s">
        <v>1870</v>
      </c>
      <c r="D698" t="s">
        <v>1870</v>
      </c>
      <c r="E698" s="7" t="s">
        <v>164</v>
      </c>
      <c r="F698">
        <v>0</v>
      </c>
      <c r="G698" t="s">
        <v>1870</v>
      </c>
      <c r="H698" t="s">
        <v>641</v>
      </c>
      <c r="I698" s="7" t="s">
        <v>1489</v>
      </c>
      <c r="J698" t="s">
        <v>1870</v>
      </c>
      <c r="K698" t="s">
        <v>1870</v>
      </c>
      <c r="L698" s="7" t="s">
        <v>1489</v>
      </c>
      <c r="M698" s="7" t="s">
        <v>1489</v>
      </c>
      <c r="N698" t="s">
        <v>1870</v>
      </c>
      <c r="O698">
        <v>0</v>
      </c>
      <c r="Q698" s="3">
        <v>0</v>
      </c>
    </row>
    <row r="699" spans="1:18" x14ac:dyDescent="0.3">
      <c r="A699" s="249" t="s">
        <v>1870</v>
      </c>
      <c r="B699" s="246">
        <v>3506</v>
      </c>
      <c r="C699" t="s">
        <v>1870</v>
      </c>
      <c r="D699" t="s">
        <v>1870</v>
      </c>
      <c r="E699" s="7" t="s">
        <v>6</v>
      </c>
      <c r="F699">
        <v>0</v>
      </c>
      <c r="G699" t="s">
        <v>1870</v>
      </c>
      <c r="H699" t="s">
        <v>643</v>
      </c>
      <c r="I699" t="s">
        <v>1489</v>
      </c>
      <c r="J699" t="s">
        <v>1870</v>
      </c>
      <c r="K699" t="s">
        <v>1870</v>
      </c>
      <c r="L699" t="s">
        <v>1489</v>
      </c>
      <c r="M699" t="s">
        <v>1489</v>
      </c>
      <c r="N699" t="s">
        <v>1870</v>
      </c>
      <c r="O699">
        <v>0</v>
      </c>
      <c r="Q699" s="3">
        <v>0</v>
      </c>
    </row>
    <row r="700" spans="1:18" x14ac:dyDescent="0.3">
      <c r="A700" s="249" t="s">
        <v>1870</v>
      </c>
      <c r="B700" s="246">
        <v>3506</v>
      </c>
      <c r="C700" t="s">
        <v>1870</v>
      </c>
      <c r="D700" t="s">
        <v>1870</v>
      </c>
      <c r="E700" s="7" t="s">
        <v>28</v>
      </c>
      <c r="F700" s="7">
        <v>1</v>
      </c>
      <c r="G700" t="s">
        <v>1870</v>
      </c>
      <c r="H700" t="s">
        <v>645</v>
      </c>
      <c r="I700" t="s">
        <v>1489</v>
      </c>
      <c r="J700" t="s">
        <v>1870</v>
      </c>
      <c r="K700" t="s">
        <v>1870</v>
      </c>
      <c r="L700" t="s">
        <v>1489</v>
      </c>
      <c r="M700" t="s">
        <v>1489</v>
      </c>
      <c r="N700" t="s">
        <v>1870</v>
      </c>
      <c r="O700">
        <v>0</v>
      </c>
      <c r="Q700" s="3">
        <v>0</v>
      </c>
    </row>
    <row r="701" spans="1:18" x14ac:dyDescent="0.3">
      <c r="A701" s="249" t="s">
        <v>1870</v>
      </c>
      <c r="B701" s="246">
        <v>3506</v>
      </c>
      <c r="C701" t="s">
        <v>1870</v>
      </c>
      <c r="D701" t="s">
        <v>1870</v>
      </c>
      <c r="E701" s="246" t="s">
        <v>335</v>
      </c>
      <c r="F701" s="7">
        <v>0</v>
      </c>
      <c r="G701" t="s">
        <v>1870</v>
      </c>
      <c r="H701" s="248" t="s">
        <v>647</v>
      </c>
      <c r="I701" s="7" t="s">
        <v>1800</v>
      </c>
      <c r="J701" t="s">
        <v>1870</v>
      </c>
      <c r="K701" t="s">
        <v>1870</v>
      </c>
      <c r="L701" s="246">
        <v>4612</v>
      </c>
      <c r="M701" s="7" t="s">
        <v>2131</v>
      </c>
      <c r="N701" t="s">
        <v>1870</v>
      </c>
      <c r="O701" s="247" t="s">
        <v>2261</v>
      </c>
      <c r="P701" s="3">
        <v>-78711</v>
      </c>
      <c r="Q701" s="3">
        <v>-78000</v>
      </c>
      <c r="R701" s="3">
        <v>-80274.399999999994</v>
      </c>
    </row>
    <row r="702" spans="1:18" x14ac:dyDescent="0.3">
      <c r="A702" s="249" t="s">
        <v>1870</v>
      </c>
      <c r="B702" s="246">
        <v>3506</v>
      </c>
      <c r="C702" t="s">
        <v>1870</v>
      </c>
      <c r="D702" t="s">
        <v>1870</v>
      </c>
      <c r="E702" s="246" t="s">
        <v>335</v>
      </c>
      <c r="F702" s="246">
        <v>2</v>
      </c>
      <c r="G702" t="s">
        <v>1870</v>
      </c>
      <c r="H702" s="248" t="s">
        <v>649</v>
      </c>
      <c r="I702" t="s">
        <v>1800</v>
      </c>
      <c r="J702" t="s">
        <v>1870</v>
      </c>
      <c r="K702" t="s">
        <v>1870</v>
      </c>
      <c r="L702" s="246" t="s">
        <v>1842</v>
      </c>
      <c r="M702" t="s">
        <v>2131</v>
      </c>
      <c r="N702" t="s">
        <v>1870</v>
      </c>
      <c r="O702" s="247" t="s">
        <v>2262</v>
      </c>
      <c r="P702" s="3">
        <v>-24920.25</v>
      </c>
      <c r="Q702" s="3">
        <v>-10000</v>
      </c>
    </row>
    <row r="703" spans="1:18" x14ac:dyDescent="0.3">
      <c r="A703" s="249" t="s">
        <v>1870</v>
      </c>
      <c r="B703" s="246">
        <v>3506</v>
      </c>
      <c r="C703" t="s">
        <v>1870</v>
      </c>
      <c r="D703" t="s">
        <v>1870</v>
      </c>
      <c r="E703" s="246" t="s">
        <v>61</v>
      </c>
      <c r="F703" s="246">
        <v>0</v>
      </c>
      <c r="G703" t="s">
        <v>1870</v>
      </c>
      <c r="H703" s="248" t="s">
        <v>651</v>
      </c>
      <c r="I703" t="s">
        <v>1800</v>
      </c>
      <c r="J703" t="s">
        <v>1870</v>
      </c>
      <c r="K703" t="s">
        <v>1870</v>
      </c>
      <c r="L703" s="246" t="s">
        <v>1856</v>
      </c>
      <c r="M703" t="s">
        <v>2131</v>
      </c>
      <c r="N703" t="s">
        <v>1870</v>
      </c>
      <c r="O703" s="247" t="s">
        <v>2263</v>
      </c>
      <c r="P703" s="3">
        <v>-349</v>
      </c>
      <c r="Q703" s="3">
        <v>0</v>
      </c>
    </row>
    <row r="704" spans="1:18" x14ac:dyDescent="0.3">
      <c r="A704" s="249" t="s">
        <v>1870</v>
      </c>
      <c r="B704" s="246">
        <v>3506</v>
      </c>
      <c r="C704" t="s">
        <v>1870</v>
      </c>
      <c r="D704" t="s">
        <v>1870</v>
      </c>
      <c r="E704" s="7" t="s">
        <v>64</v>
      </c>
      <c r="F704">
        <v>0</v>
      </c>
      <c r="G704" t="s">
        <v>1870</v>
      </c>
      <c r="H704" t="s">
        <v>653</v>
      </c>
      <c r="I704" s="7" t="s">
        <v>1489</v>
      </c>
      <c r="J704" t="s">
        <v>1870</v>
      </c>
      <c r="K704" t="s">
        <v>1870</v>
      </c>
      <c r="L704" s="7" t="s">
        <v>1489</v>
      </c>
      <c r="M704" s="7" t="s">
        <v>1489</v>
      </c>
      <c r="N704" t="s">
        <v>1870</v>
      </c>
      <c r="O704">
        <v>0</v>
      </c>
      <c r="Q704" s="3">
        <v>0</v>
      </c>
    </row>
    <row r="705" spans="1:17" x14ac:dyDescent="0.3">
      <c r="A705" s="249" t="s">
        <v>1870</v>
      </c>
      <c r="B705" s="246">
        <v>3506</v>
      </c>
      <c r="C705" t="s">
        <v>1870</v>
      </c>
      <c r="D705" t="s">
        <v>1870</v>
      </c>
      <c r="E705" s="7" t="s">
        <v>67</v>
      </c>
      <c r="F705">
        <v>0</v>
      </c>
      <c r="G705" t="s">
        <v>1870</v>
      </c>
      <c r="H705" t="s">
        <v>655</v>
      </c>
      <c r="I705" t="s">
        <v>1489</v>
      </c>
      <c r="J705" t="s">
        <v>1870</v>
      </c>
      <c r="K705" t="s">
        <v>1870</v>
      </c>
      <c r="L705" t="s">
        <v>1489</v>
      </c>
      <c r="M705" t="s">
        <v>1489</v>
      </c>
      <c r="N705" t="s">
        <v>1870</v>
      </c>
      <c r="O705">
        <v>0</v>
      </c>
      <c r="Q705" s="3">
        <v>0</v>
      </c>
    </row>
    <row r="706" spans="1:17" x14ac:dyDescent="0.3">
      <c r="A706" s="249" t="s">
        <v>1870</v>
      </c>
      <c r="B706" s="246">
        <v>3507</v>
      </c>
      <c r="C706" t="s">
        <v>1870</v>
      </c>
      <c r="D706" t="s">
        <v>1870</v>
      </c>
      <c r="E706" s="7" t="s">
        <v>25</v>
      </c>
      <c r="F706">
        <v>0</v>
      </c>
      <c r="G706" t="s">
        <v>1870</v>
      </c>
      <c r="H706" t="s">
        <v>658</v>
      </c>
      <c r="I706" t="s">
        <v>1489</v>
      </c>
      <c r="J706" t="s">
        <v>1870</v>
      </c>
      <c r="K706" t="s">
        <v>1870</v>
      </c>
      <c r="L706" t="s">
        <v>1489</v>
      </c>
      <c r="M706" t="s">
        <v>1489</v>
      </c>
      <c r="N706" t="s">
        <v>1870</v>
      </c>
      <c r="O706">
        <v>0</v>
      </c>
      <c r="Q706" s="3">
        <v>0</v>
      </c>
    </row>
    <row r="707" spans="1:17" x14ac:dyDescent="0.3">
      <c r="A707" s="249" t="s">
        <v>1870</v>
      </c>
      <c r="B707" s="246">
        <v>3507</v>
      </c>
      <c r="C707" t="s">
        <v>1870</v>
      </c>
      <c r="D707" t="s">
        <v>1870</v>
      </c>
      <c r="E707" s="7" t="s">
        <v>159</v>
      </c>
      <c r="F707">
        <v>0</v>
      </c>
      <c r="G707" t="s">
        <v>1870</v>
      </c>
      <c r="H707" t="s">
        <v>660</v>
      </c>
      <c r="I707" t="s">
        <v>1489</v>
      </c>
      <c r="J707" t="s">
        <v>1870</v>
      </c>
      <c r="K707" t="s">
        <v>1870</v>
      </c>
      <c r="L707" t="s">
        <v>1489</v>
      </c>
      <c r="M707" t="s">
        <v>1489</v>
      </c>
      <c r="N707" t="s">
        <v>1870</v>
      </c>
      <c r="O707">
        <v>0</v>
      </c>
      <c r="Q707" s="3">
        <v>0</v>
      </c>
    </row>
    <row r="708" spans="1:17" x14ac:dyDescent="0.3">
      <c r="A708" s="249" t="s">
        <v>1870</v>
      </c>
      <c r="B708" s="246">
        <v>3507</v>
      </c>
      <c r="C708" t="s">
        <v>1870</v>
      </c>
      <c r="D708" t="s">
        <v>1870</v>
      </c>
      <c r="E708" s="7" t="s">
        <v>159</v>
      </c>
      <c r="F708" s="7">
        <v>1</v>
      </c>
      <c r="G708" t="s">
        <v>1870</v>
      </c>
      <c r="H708" t="s">
        <v>662</v>
      </c>
      <c r="I708" t="s">
        <v>1489</v>
      </c>
      <c r="J708" t="s">
        <v>1870</v>
      </c>
      <c r="K708" t="s">
        <v>1870</v>
      </c>
      <c r="L708" t="s">
        <v>1489</v>
      </c>
      <c r="M708" t="s">
        <v>1489</v>
      </c>
      <c r="N708" t="s">
        <v>1870</v>
      </c>
      <c r="O708">
        <v>0</v>
      </c>
      <c r="Q708" s="3">
        <v>0</v>
      </c>
    </row>
    <row r="709" spans="1:17" x14ac:dyDescent="0.3">
      <c r="A709" s="249" t="s">
        <v>1870</v>
      </c>
      <c r="B709" s="246">
        <v>3507</v>
      </c>
      <c r="C709" t="s">
        <v>1870</v>
      </c>
      <c r="D709" t="s">
        <v>1870</v>
      </c>
      <c r="E709" s="7" t="s">
        <v>439</v>
      </c>
      <c r="F709" s="7">
        <v>0</v>
      </c>
      <c r="G709" t="s">
        <v>1870</v>
      </c>
      <c r="H709" t="s">
        <v>664</v>
      </c>
      <c r="I709" t="s">
        <v>1489</v>
      </c>
      <c r="J709" t="s">
        <v>1870</v>
      </c>
      <c r="K709" t="s">
        <v>1870</v>
      </c>
      <c r="L709" t="s">
        <v>1489</v>
      </c>
      <c r="M709" t="s">
        <v>1489</v>
      </c>
      <c r="N709" t="s">
        <v>1870</v>
      </c>
      <c r="O709">
        <v>0</v>
      </c>
      <c r="Q709" s="3">
        <v>0</v>
      </c>
    </row>
    <row r="710" spans="1:17" x14ac:dyDescent="0.3">
      <c r="A710" s="249" t="s">
        <v>1870</v>
      </c>
      <c r="B710" s="246">
        <v>3507</v>
      </c>
      <c r="C710" t="s">
        <v>1870</v>
      </c>
      <c r="D710" t="s">
        <v>1870</v>
      </c>
      <c r="E710" s="246" t="s">
        <v>131</v>
      </c>
      <c r="F710">
        <v>0</v>
      </c>
      <c r="G710" t="s">
        <v>1870</v>
      </c>
      <c r="H710" s="248" t="s">
        <v>666</v>
      </c>
      <c r="I710" s="246" t="s">
        <v>1803</v>
      </c>
      <c r="J710" t="s">
        <v>1870</v>
      </c>
      <c r="K710" t="s">
        <v>1870</v>
      </c>
      <c r="L710" s="246" t="s">
        <v>1812</v>
      </c>
      <c r="M710" s="7" t="s">
        <v>2131</v>
      </c>
      <c r="N710" t="s">
        <v>1870</v>
      </c>
      <c r="O710" s="247" t="s">
        <v>2214</v>
      </c>
      <c r="P710" s="3">
        <v>7482</v>
      </c>
      <c r="Q710" s="3">
        <v>1000</v>
      </c>
    </row>
    <row r="711" spans="1:17" x14ac:dyDescent="0.3">
      <c r="A711" s="249" t="s">
        <v>1870</v>
      </c>
      <c r="B711" s="246">
        <v>3507</v>
      </c>
      <c r="C711" t="s">
        <v>1870</v>
      </c>
      <c r="D711" t="s">
        <v>1870</v>
      </c>
      <c r="E711" s="246" t="s">
        <v>131</v>
      </c>
      <c r="F711" s="7">
        <v>1</v>
      </c>
      <c r="G711" t="s">
        <v>1870</v>
      </c>
      <c r="H711" t="s">
        <v>668</v>
      </c>
      <c r="I711" s="7" t="s">
        <v>1489</v>
      </c>
      <c r="J711" t="s">
        <v>1870</v>
      </c>
      <c r="K711" t="s">
        <v>1870</v>
      </c>
      <c r="L711" s="7" t="s">
        <v>1489</v>
      </c>
      <c r="M711" s="7" t="s">
        <v>1489</v>
      </c>
      <c r="N711" t="s">
        <v>1870</v>
      </c>
      <c r="O711">
        <v>0</v>
      </c>
      <c r="Q711" s="3">
        <v>0</v>
      </c>
    </row>
    <row r="712" spans="1:17" x14ac:dyDescent="0.3">
      <c r="A712" s="249" t="s">
        <v>1870</v>
      </c>
      <c r="B712" s="246">
        <v>3507</v>
      </c>
      <c r="C712" t="s">
        <v>1870</v>
      </c>
      <c r="D712" t="s">
        <v>1870</v>
      </c>
      <c r="E712" s="246" t="s">
        <v>131</v>
      </c>
      <c r="F712" s="246">
        <v>2</v>
      </c>
      <c r="G712" t="s">
        <v>1870</v>
      </c>
      <c r="H712" s="248" t="s">
        <v>670</v>
      </c>
      <c r="I712" s="7" t="s">
        <v>1803</v>
      </c>
      <c r="J712" t="s">
        <v>1870</v>
      </c>
      <c r="K712" t="s">
        <v>1870</v>
      </c>
      <c r="L712" s="246" t="s">
        <v>1822</v>
      </c>
      <c r="M712" s="7" t="s">
        <v>2131</v>
      </c>
      <c r="N712" t="s">
        <v>1870</v>
      </c>
      <c r="O712" s="247" t="s">
        <v>2219</v>
      </c>
      <c r="Q712" s="3">
        <v>0</v>
      </c>
    </row>
    <row r="713" spans="1:17" x14ac:dyDescent="0.3">
      <c r="A713" s="249" t="s">
        <v>1870</v>
      </c>
      <c r="B713" s="246">
        <v>3507</v>
      </c>
      <c r="C713" t="s">
        <v>1870</v>
      </c>
      <c r="D713" t="s">
        <v>1870</v>
      </c>
      <c r="E713" s="246" t="s">
        <v>131</v>
      </c>
      <c r="F713" s="246">
        <v>2</v>
      </c>
      <c r="G713" t="s">
        <v>1870</v>
      </c>
      <c r="H713" s="248" t="s">
        <v>670</v>
      </c>
      <c r="I713" s="7" t="s">
        <v>1803</v>
      </c>
      <c r="J713" t="s">
        <v>1870</v>
      </c>
      <c r="K713" t="s">
        <v>1870</v>
      </c>
      <c r="L713" s="246" t="s">
        <v>1812</v>
      </c>
      <c r="M713" t="s">
        <v>2131</v>
      </c>
      <c r="N713" t="s">
        <v>1870</v>
      </c>
      <c r="O713" s="247" t="s">
        <v>2214</v>
      </c>
      <c r="P713" s="3">
        <v>307.60000000000002</v>
      </c>
      <c r="Q713" s="3">
        <v>2000</v>
      </c>
    </row>
    <row r="714" spans="1:17" x14ac:dyDescent="0.3">
      <c r="A714" s="249" t="s">
        <v>1870</v>
      </c>
      <c r="B714" s="246">
        <v>3507</v>
      </c>
      <c r="C714" t="s">
        <v>1870</v>
      </c>
      <c r="D714" t="s">
        <v>1870</v>
      </c>
      <c r="E714" s="246" t="s">
        <v>131</v>
      </c>
      <c r="F714" s="246">
        <v>2</v>
      </c>
      <c r="G714" t="s">
        <v>1870</v>
      </c>
      <c r="H714" s="248" t="s">
        <v>670</v>
      </c>
      <c r="I714" s="7" t="s">
        <v>1803</v>
      </c>
      <c r="J714" t="s">
        <v>1870</v>
      </c>
      <c r="K714" t="s">
        <v>1870</v>
      </c>
      <c r="L714" s="246" t="s">
        <v>1504</v>
      </c>
      <c r="M714" s="246" t="s">
        <v>2132</v>
      </c>
      <c r="N714" t="s">
        <v>1870</v>
      </c>
      <c r="O714" s="247" t="s">
        <v>2215</v>
      </c>
      <c r="Q714" s="3">
        <v>0</v>
      </c>
    </row>
    <row r="715" spans="1:17" x14ac:dyDescent="0.3">
      <c r="A715" s="249" t="s">
        <v>1870</v>
      </c>
      <c r="B715" s="246">
        <v>3507</v>
      </c>
      <c r="C715" t="s">
        <v>1870</v>
      </c>
      <c r="D715" t="s">
        <v>1870</v>
      </c>
      <c r="E715" s="246" t="s">
        <v>131</v>
      </c>
      <c r="F715" s="246">
        <v>2</v>
      </c>
      <c r="G715" t="s">
        <v>1870</v>
      </c>
      <c r="H715" s="248" t="s">
        <v>670</v>
      </c>
      <c r="I715" s="7" t="s">
        <v>1803</v>
      </c>
      <c r="J715" t="s">
        <v>1870</v>
      </c>
      <c r="K715" t="s">
        <v>1870</v>
      </c>
      <c r="L715" s="246" t="s">
        <v>1504</v>
      </c>
      <c r="M715" s="246" t="s">
        <v>2133</v>
      </c>
      <c r="N715" t="s">
        <v>1870</v>
      </c>
      <c r="O715" s="247" t="s">
        <v>2216</v>
      </c>
      <c r="Q715" s="3">
        <v>0</v>
      </c>
    </row>
    <row r="716" spans="1:17" x14ac:dyDescent="0.3">
      <c r="A716" s="249" t="s">
        <v>1870</v>
      </c>
      <c r="B716" s="246">
        <v>3507</v>
      </c>
      <c r="C716" t="s">
        <v>1870</v>
      </c>
      <c r="D716" t="s">
        <v>1870</v>
      </c>
      <c r="E716" s="246" t="s">
        <v>131</v>
      </c>
      <c r="F716" s="246">
        <v>2</v>
      </c>
      <c r="G716" t="s">
        <v>1870</v>
      </c>
      <c r="H716" s="248" t="s">
        <v>670</v>
      </c>
      <c r="I716" s="7" t="s">
        <v>1803</v>
      </c>
      <c r="J716" t="s">
        <v>1870</v>
      </c>
      <c r="K716" t="s">
        <v>1870</v>
      </c>
      <c r="L716" s="246" t="s">
        <v>1504</v>
      </c>
      <c r="M716" s="246" t="s">
        <v>2134</v>
      </c>
      <c r="N716" t="s">
        <v>1870</v>
      </c>
      <c r="O716" s="247" t="s">
        <v>2217</v>
      </c>
      <c r="Q716" s="3">
        <v>0</v>
      </c>
    </row>
    <row r="717" spans="1:17" x14ac:dyDescent="0.3">
      <c r="A717" s="249" t="s">
        <v>1870</v>
      </c>
      <c r="B717" s="246">
        <v>3507</v>
      </c>
      <c r="C717" t="s">
        <v>1870</v>
      </c>
      <c r="D717" t="s">
        <v>1870</v>
      </c>
      <c r="E717" s="246" t="s">
        <v>131</v>
      </c>
      <c r="F717" s="246">
        <v>2</v>
      </c>
      <c r="G717" t="s">
        <v>1870</v>
      </c>
      <c r="H717" s="248" t="s">
        <v>670</v>
      </c>
      <c r="I717" s="7" t="s">
        <v>1803</v>
      </c>
      <c r="J717" t="s">
        <v>1870</v>
      </c>
      <c r="K717" t="s">
        <v>1870</v>
      </c>
      <c r="L717" s="246" t="s">
        <v>1504</v>
      </c>
      <c r="M717" s="246" t="s">
        <v>2135</v>
      </c>
      <c r="N717" t="s">
        <v>1870</v>
      </c>
      <c r="O717" s="247" t="s">
        <v>2218</v>
      </c>
      <c r="Q717" s="3">
        <v>0</v>
      </c>
    </row>
    <row r="718" spans="1:17" x14ac:dyDescent="0.3">
      <c r="A718" s="249" t="s">
        <v>1870</v>
      </c>
      <c r="B718" s="246">
        <v>3507</v>
      </c>
      <c r="C718" t="s">
        <v>1870</v>
      </c>
      <c r="D718" t="s">
        <v>1870</v>
      </c>
      <c r="E718" s="7" t="s">
        <v>123</v>
      </c>
      <c r="F718" s="7">
        <v>0</v>
      </c>
      <c r="G718" t="s">
        <v>1870</v>
      </c>
      <c r="H718" t="s">
        <v>672</v>
      </c>
      <c r="I718" s="7" t="s">
        <v>1489</v>
      </c>
      <c r="J718" t="s">
        <v>1870</v>
      </c>
      <c r="K718" t="s">
        <v>1870</v>
      </c>
      <c r="L718" s="7" t="s">
        <v>1489</v>
      </c>
      <c r="M718" s="7" t="s">
        <v>1489</v>
      </c>
      <c r="N718" t="s">
        <v>1870</v>
      </c>
      <c r="O718">
        <v>0</v>
      </c>
      <c r="Q718" s="3">
        <v>0</v>
      </c>
    </row>
    <row r="719" spans="1:17" x14ac:dyDescent="0.3">
      <c r="A719" s="249" t="s">
        <v>1870</v>
      </c>
      <c r="B719" s="246">
        <v>3507</v>
      </c>
      <c r="C719" t="s">
        <v>1870</v>
      </c>
      <c r="D719" t="s">
        <v>1870</v>
      </c>
      <c r="E719" s="7" t="s">
        <v>123</v>
      </c>
      <c r="F719" s="7">
        <v>1</v>
      </c>
      <c r="G719" t="s">
        <v>1870</v>
      </c>
      <c r="H719" t="s">
        <v>674</v>
      </c>
      <c r="I719" t="s">
        <v>1489</v>
      </c>
      <c r="J719" t="s">
        <v>1870</v>
      </c>
      <c r="K719" t="s">
        <v>1870</v>
      </c>
      <c r="L719" t="s">
        <v>1489</v>
      </c>
      <c r="M719" t="s">
        <v>1489</v>
      </c>
      <c r="N719" t="s">
        <v>1870</v>
      </c>
      <c r="O719">
        <v>0</v>
      </c>
      <c r="Q719" s="3">
        <v>0</v>
      </c>
    </row>
    <row r="720" spans="1:17" x14ac:dyDescent="0.3">
      <c r="A720" s="249" t="s">
        <v>1870</v>
      </c>
      <c r="B720" s="246">
        <v>3507</v>
      </c>
      <c r="C720" t="s">
        <v>1870</v>
      </c>
      <c r="D720" t="s">
        <v>1870</v>
      </c>
      <c r="E720" s="246" t="s">
        <v>48</v>
      </c>
      <c r="F720" s="246">
        <v>0</v>
      </c>
      <c r="G720" t="s">
        <v>1870</v>
      </c>
      <c r="H720" s="248" t="s">
        <v>676</v>
      </c>
      <c r="I720" s="7" t="s">
        <v>1803</v>
      </c>
      <c r="J720" t="s">
        <v>1870</v>
      </c>
      <c r="K720" t="s">
        <v>1870</v>
      </c>
      <c r="L720" s="7" t="s">
        <v>1504</v>
      </c>
      <c r="M720" s="246" t="s">
        <v>2131</v>
      </c>
      <c r="N720" t="s">
        <v>1870</v>
      </c>
      <c r="O720" s="247" t="s">
        <v>2220</v>
      </c>
      <c r="P720" s="3">
        <v>325.14999999999998</v>
      </c>
      <c r="Q720" s="3">
        <v>0</v>
      </c>
    </row>
    <row r="721" spans="1:17" x14ac:dyDescent="0.3">
      <c r="A721" s="249" t="s">
        <v>1870</v>
      </c>
      <c r="B721" s="246">
        <v>3507</v>
      </c>
      <c r="C721" t="s">
        <v>1870</v>
      </c>
      <c r="D721" t="s">
        <v>1870</v>
      </c>
      <c r="E721" s="7" t="s">
        <v>6</v>
      </c>
      <c r="F721">
        <v>0</v>
      </c>
      <c r="G721" t="s">
        <v>1870</v>
      </c>
      <c r="H721" t="s">
        <v>678</v>
      </c>
      <c r="I721" s="7" t="s">
        <v>1489</v>
      </c>
      <c r="J721" t="s">
        <v>1870</v>
      </c>
      <c r="K721" t="s">
        <v>1870</v>
      </c>
      <c r="L721" s="7" t="s">
        <v>1489</v>
      </c>
      <c r="M721" s="7" t="s">
        <v>1489</v>
      </c>
      <c r="N721" t="s">
        <v>1870</v>
      </c>
      <c r="O721">
        <v>0</v>
      </c>
      <c r="Q721" s="3">
        <v>0</v>
      </c>
    </row>
    <row r="722" spans="1:17" x14ac:dyDescent="0.3">
      <c r="A722" s="249" t="s">
        <v>1870</v>
      </c>
      <c r="B722" s="246">
        <v>3507</v>
      </c>
      <c r="C722" t="s">
        <v>1870</v>
      </c>
      <c r="D722" t="s">
        <v>1870</v>
      </c>
      <c r="E722" s="246" t="s">
        <v>335</v>
      </c>
      <c r="F722" s="246">
        <v>2</v>
      </c>
      <c r="G722" t="s">
        <v>1870</v>
      </c>
      <c r="H722" s="248" t="s">
        <v>680</v>
      </c>
      <c r="I722" s="7" t="s">
        <v>1803</v>
      </c>
      <c r="J722" t="s">
        <v>1870</v>
      </c>
      <c r="K722" t="s">
        <v>1870</v>
      </c>
      <c r="L722" s="246" t="s">
        <v>1813</v>
      </c>
      <c r="M722" s="7" t="s">
        <v>2131</v>
      </c>
      <c r="N722" t="s">
        <v>1870</v>
      </c>
      <c r="O722" s="247" t="s">
        <v>2221</v>
      </c>
      <c r="P722" s="3">
        <v>-26534</v>
      </c>
      <c r="Q722" s="3">
        <v>-27500</v>
      </c>
    </row>
    <row r="723" spans="1:17" x14ac:dyDescent="0.3">
      <c r="A723" s="249" t="s">
        <v>1870</v>
      </c>
      <c r="B723" s="246">
        <v>3507</v>
      </c>
      <c r="C723" t="s">
        <v>1870</v>
      </c>
      <c r="D723" t="s">
        <v>1870</v>
      </c>
      <c r="E723" s="246" t="s">
        <v>61</v>
      </c>
      <c r="F723" s="246">
        <v>0</v>
      </c>
      <c r="G723" t="s">
        <v>1870</v>
      </c>
      <c r="H723" s="248" t="s">
        <v>682</v>
      </c>
      <c r="I723" t="s">
        <v>1803</v>
      </c>
      <c r="J723" t="s">
        <v>1870</v>
      </c>
      <c r="K723" t="s">
        <v>1870</v>
      </c>
      <c r="L723" s="246" t="s">
        <v>1580</v>
      </c>
      <c r="M723" t="s">
        <v>2131</v>
      </c>
      <c r="N723" t="s">
        <v>1870</v>
      </c>
      <c r="O723" s="247" t="s">
        <v>2222</v>
      </c>
      <c r="P723" s="3">
        <v>-1593.3</v>
      </c>
      <c r="Q723" s="3">
        <v>0</v>
      </c>
    </row>
    <row r="724" spans="1:17" x14ac:dyDescent="0.3">
      <c r="A724" s="249" t="s">
        <v>1870</v>
      </c>
      <c r="B724" s="246">
        <v>3508</v>
      </c>
      <c r="C724" t="s">
        <v>1870</v>
      </c>
      <c r="D724" t="s">
        <v>1870</v>
      </c>
      <c r="E724" s="246" t="s">
        <v>3</v>
      </c>
      <c r="F724">
        <v>0</v>
      </c>
      <c r="G724" t="s">
        <v>1870</v>
      </c>
      <c r="H724" s="248" t="s">
        <v>685</v>
      </c>
      <c r="I724" s="246" t="s">
        <v>1532</v>
      </c>
      <c r="J724" t="s">
        <v>1870</v>
      </c>
      <c r="K724" t="s">
        <v>1870</v>
      </c>
      <c r="L724" s="246" t="s">
        <v>1410</v>
      </c>
      <c r="M724" t="s">
        <v>2131</v>
      </c>
      <c r="N724" t="s">
        <v>1870</v>
      </c>
      <c r="O724" s="247" t="s">
        <v>1411</v>
      </c>
      <c r="P724" s="3">
        <v>3893.55</v>
      </c>
      <c r="Q724" s="3">
        <v>3500</v>
      </c>
    </row>
    <row r="725" spans="1:17" x14ac:dyDescent="0.3">
      <c r="A725" s="249" t="s">
        <v>1870</v>
      </c>
      <c r="B725" s="246">
        <v>3508</v>
      </c>
      <c r="C725" t="s">
        <v>1870</v>
      </c>
      <c r="D725" t="s">
        <v>1870</v>
      </c>
      <c r="E725" s="246" t="s">
        <v>3</v>
      </c>
      <c r="F725">
        <v>0</v>
      </c>
      <c r="G725" t="s">
        <v>1870</v>
      </c>
      <c r="H725" s="248" t="s">
        <v>685</v>
      </c>
      <c r="I725" s="246" t="s">
        <v>1532</v>
      </c>
      <c r="J725" t="s">
        <v>1870</v>
      </c>
      <c r="K725" t="s">
        <v>1870</v>
      </c>
      <c r="L725" s="246" t="s">
        <v>1410</v>
      </c>
      <c r="M725" s="246" t="s">
        <v>2138</v>
      </c>
      <c r="N725" t="s">
        <v>1870</v>
      </c>
      <c r="O725" s="247" t="s">
        <v>1424</v>
      </c>
      <c r="Q725" s="3">
        <v>0</v>
      </c>
    </row>
    <row r="726" spans="1:17" x14ac:dyDescent="0.3">
      <c r="A726" s="249" t="s">
        <v>1870</v>
      </c>
      <c r="B726" s="246">
        <v>3508</v>
      </c>
      <c r="C726" t="s">
        <v>1870</v>
      </c>
      <c r="D726" t="s">
        <v>1870</v>
      </c>
      <c r="E726" s="246" t="s">
        <v>16</v>
      </c>
      <c r="F726">
        <v>0</v>
      </c>
      <c r="G726" t="s">
        <v>1870</v>
      </c>
      <c r="H726" s="248" t="s">
        <v>687</v>
      </c>
      <c r="I726" t="s">
        <v>1532</v>
      </c>
      <c r="J726" t="s">
        <v>1870</v>
      </c>
      <c r="K726" t="s">
        <v>1870</v>
      </c>
      <c r="L726" s="246" t="s">
        <v>1367</v>
      </c>
      <c r="M726" s="246" t="s">
        <v>2131</v>
      </c>
      <c r="N726" t="s">
        <v>1870</v>
      </c>
      <c r="O726" s="247" t="s">
        <v>1378</v>
      </c>
      <c r="P726" s="3">
        <v>332.55</v>
      </c>
      <c r="Q726" s="3">
        <v>350</v>
      </c>
    </row>
    <row r="727" spans="1:17" x14ac:dyDescent="0.3">
      <c r="A727" s="249" t="s">
        <v>1870</v>
      </c>
      <c r="B727" s="246">
        <v>3508</v>
      </c>
      <c r="C727" t="s">
        <v>1870</v>
      </c>
      <c r="D727" t="s">
        <v>1870</v>
      </c>
      <c r="E727" s="246" t="s">
        <v>16</v>
      </c>
      <c r="F727">
        <v>0</v>
      </c>
      <c r="G727" t="s">
        <v>1870</v>
      </c>
      <c r="H727" s="248" t="s">
        <v>687</v>
      </c>
      <c r="I727" t="s">
        <v>1532</v>
      </c>
      <c r="J727" t="s">
        <v>1870</v>
      </c>
      <c r="K727" t="s">
        <v>1870</v>
      </c>
      <c r="L727" s="246" t="s">
        <v>1413</v>
      </c>
      <c r="M727" t="s">
        <v>2131</v>
      </c>
      <c r="N727" t="s">
        <v>1870</v>
      </c>
      <c r="O727" s="247" t="s">
        <v>1414</v>
      </c>
      <c r="Q727" s="3">
        <v>0</v>
      </c>
    </row>
    <row r="728" spans="1:17" x14ac:dyDescent="0.3">
      <c r="A728" s="249" t="s">
        <v>1870</v>
      </c>
      <c r="B728" s="246">
        <v>3508</v>
      </c>
      <c r="C728" t="s">
        <v>1870</v>
      </c>
      <c r="D728" t="s">
        <v>1870</v>
      </c>
      <c r="E728" s="246" t="s">
        <v>38</v>
      </c>
      <c r="F728">
        <v>0</v>
      </c>
      <c r="G728" t="s">
        <v>1870</v>
      </c>
      <c r="H728" s="248" t="s">
        <v>689</v>
      </c>
      <c r="I728" t="s">
        <v>1532</v>
      </c>
      <c r="J728" t="s">
        <v>1870</v>
      </c>
      <c r="K728" t="s">
        <v>1870</v>
      </c>
      <c r="L728" s="246" t="s">
        <v>1386</v>
      </c>
      <c r="M728" t="s">
        <v>2131</v>
      </c>
      <c r="N728" t="s">
        <v>1870</v>
      </c>
      <c r="O728" s="247" t="s">
        <v>1387</v>
      </c>
      <c r="Q728" s="3">
        <v>0</v>
      </c>
    </row>
    <row r="729" spans="1:17" x14ac:dyDescent="0.3">
      <c r="A729" s="249" t="s">
        <v>1870</v>
      </c>
      <c r="B729" s="246">
        <v>3508</v>
      </c>
      <c r="C729" t="s">
        <v>1870</v>
      </c>
      <c r="D729" t="s">
        <v>1870</v>
      </c>
      <c r="E729" s="246" t="s">
        <v>19</v>
      </c>
      <c r="F729">
        <v>0</v>
      </c>
      <c r="G729" t="s">
        <v>1870</v>
      </c>
      <c r="H729" s="248" t="s">
        <v>691</v>
      </c>
      <c r="I729" t="s">
        <v>1532</v>
      </c>
      <c r="J729" t="s">
        <v>1870</v>
      </c>
      <c r="K729" t="s">
        <v>1870</v>
      </c>
      <c r="L729" s="246" t="s">
        <v>1375</v>
      </c>
      <c r="M729" t="s">
        <v>2131</v>
      </c>
      <c r="N729" t="s">
        <v>1870</v>
      </c>
      <c r="O729" s="247" t="s">
        <v>1379</v>
      </c>
      <c r="P729" s="3">
        <v>90.6</v>
      </c>
      <c r="Q729" s="3">
        <v>100</v>
      </c>
    </row>
    <row r="730" spans="1:17" x14ac:dyDescent="0.3">
      <c r="A730" s="249" t="s">
        <v>1870</v>
      </c>
      <c r="B730" s="246">
        <v>3508</v>
      </c>
      <c r="C730" t="s">
        <v>1870</v>
      </c>
      <c r="D730" t="s">
        <v>1870</v>
      </c>
      <c r="E730" s="246" t="s">
        <v>22</v>
      </c>
      <c r="F730">
        <v>0</v>
      </c>
      <c r="G730" t="s">
        <v>1870</v>
      </c>
      <c r="H730" s="248" t="s">
        <v>693</v>
      </c>
      <c r="I730" t="s">
        <v>1532</v>
      </c>
      <c r="J730" t="s">
        <v>1870</v>
      </c>
      <c r="K730" t="s">
        <v>1870</v>
      </c>
      <c r="L730" s="246" t="s">
        <v>1368</v>
      </c>
      <c r="M730" t="s">
        <v>2131</v>
      </c>
      <c r="N730" t="s">
        <v>1870</v>
      </c>
      <c r="O730" s="247" t="s">
        <v>1392</v>
      </c>
      <c r="Q730" s="3">
        <v>0</v>
      </c>
    </row>
    <row r="731" spans="1:17" x14ac:dyDescent="0.3">
      <c r="A731" s="249" t="s">
        <v>1870</v>
      </c>
      <c r="B731" s="246">
        <v>3508</v>
      </c>
      <c r="C731" t="s">
        <v>1870</v>
      </c>
      <c r="D731" t="s">
        <v>1870</v>
      </c>
      <c r="E731" s="246" t="s">
        <v>22</v>
      </c>
      <c r="F731">
        <v>0</v>
      </c>
      <c r="G731" t="s">
        <v>1870</v>
      </c>
      <c r="H731" s="248" t="s">
        <v>693</v>
      </c>
      <c r="I731" t="s">
        <v>1532</v>
      </c>
      <c r="J731" t="s">
        <v>1870</v>
      </c>
      <c r="K731" t="s">
        <v>1870</v>
      </c>
      <c r="L731" s="246" t="s">
        <v>1540</v>
      </c>
      <c r="M731" t="s">
        <v>2131</v>
      </c>
      <c r="N731" t="s">
        <v>1870</v>
      </c>
      <c r="O731" s="247" t="s">
        <v>1543</v>
      </c>
      <c r="Q731" s="3">
        <v>0</v>
      </c>
    </row>
    <row r="732" spans="1:17" x14ac:dyDescent="0.3">
      <c r="A732" s="249" t="s">
        <v>1870</v>
      </c>
      <c r="B732" s="246">
        <v>3508</v>
      </c>
      <c r="C732" t="s">
        <v>1870</v>
      </c>
      <c r="D732" t="s">
        <v>1870</v>
      </c>
      <c r="E732" s="246" t="s">
        <v>22</v>
      </c>
      <c r="F732">
        <v>0</v>
      </c>
      <c r="G732" t="s">
        <v>1870</v>
      </c>
      <c r="H732" s="248" t="s">
        <v>693</v>
      </c>
      <c r="I732" t="s">
        <v>1532</v>
      </c>
      <c r="J732" t="s">
        <v>1870</v>
      </c>
      <c r="K732" t="s">
        <v>1870</v>
      </c>
      <c r="L732" s="246" t="s">
        <v>1380</v>
      </c>
      <c r="M732" t="s">
        <v>2131</v>
      </c>
      <c r="N732" t="s">
        <v>1870</v>
      </c>
      <c r="O732" s="247" t="s">
        <v>1381</v>
      </c>
      <c r="Q732" s="3">
        <v>0</v>
      </c>
    </row>
    <row r="733" spans="1:17" x14ac:dyDescent="0.3">
      <c r="A733" s="249" t="s">
        <v>1870</v>
      </c>
      <c r="B733" s="246">
        <v>3508</v>
      </c>
      <c r="C733" t="s">
        <v>1870</v>
      </c>
      <c r="D733" t="s">
        <v>1870</v>
      </c>
      <c r="E733" s="246" t="s">
        <v>25</v>
      </c>
      <c r="F733">
        <v>0</v>
      </c>
      <c r="G733" t="s">
        <v>1870</v>
      </c>
      <c r="H733" s="248" t="s">
        <v>695</v>
      </c>
      <c r="I733" t="s">
        <v>1532</v>
      </c>
      <c r="J733" t="s">
        <v>1870</v>
      </c>
      <c r="K733" t="s">
        <v>1870</v>
      </c>
      <c r="L733" s="246" t="s">
        <v>1831</v>
      </c>
      <c r="M733" t="s">
        <v>2131</v>
      </c>
      <c r="N733" t="s">
        <v>1870</v>
      </c>
      <c r="O733" s="247" t="s">
        <v>2269</v>
      </c>
      <c r="Q733" s="3">
        <v>500</v>
      </c>
    </row>
    <row r="734" spans="1:17" x14ac:dyDescent="0.3">
      <c r="A734" s="249" t="s">
        <v>1870</v>
      </c>
      <c r="B734" s="246">
        <v>3508</v>
      </c>
      <c r="C734" t="s">
        <v>1870</v>
      </c>
      <c r="D734" t="s">
        <v>1870</v>
      </c>
      <c r="E734" s="246" t="s">
        <v>159</v>
      </c>
      <c r="F734">
        <v>0</v>
      </c>
      <c r="G734" t="s">
        <v>1870</v>
      </c>
      <c r="H734" s="248" t="s">
        <v>697</v>
      </c>
      <c r="I734" t="s">
        <v>1532</v>
      </c>
      <c r="J734" t="s">
        <v>1870</v>
      </c>
      <c r="K734" t="s">
        <v>1870</v>
      </c>
      <c r="L734" s="246" t="s">
        <v>1500</v>
      </c>
      <c r="M734" s="246" t="s">
        <v>2132</v>
      </c>
      <c r="N734" t="s">
        <v>1870</v>
      </c>
      <c r="O734" s="247" t="s">
        <v>2264</v>
      </c>
      <c r="P734" s="3">
        <v>3779.9</v>
      </c>
      <c r="Q734" s="3">
        <v>7500</v>
      </c>
    </row>
    <row r="735" spans="1:17" x14ac:dyDescent="0.3">
      <c r="A735" s="249" t="s">
        <v>1870</v>
      </c>
      <c r="B735" s="246">
        <v>3508</v>
      </c>
      <c r="C735" t="s">
        <v>1870</v>
      </c>
      <c r="D735" t="s">
        <v>1870</v>
      </c>
      <c r="E735" s="246" t="s">
        <v>439</v>
      </c>
      <c r="F735">
        <v>0</v>
      </c>
      <c r="G735" t="s">
        <v>1870</v>
      </c>
      <c r="H735" s="248" t="s">
        <v>699</v>
      </c>
      <c r="I735" t="s">
        <v>1532</v>
      </c>
      <c r="J735" t="s">
        <v>1870</v>
      </c>
      <c r="K735" t="s">
        <v>1870</v>
      </c>
      <c r="L735" s="246" t="s">
        <v>1426</v>
      </c>
      <c r="M735" s="246" t="s">
        <v>2131</v>
      </c>
      <c r="N735" t="s">
        <v>1870</v>
      </c>
      <c r="O735" s="247" t="s">
        <v>2265</v>
      </c>
      <c r="Q735" s="3">
        <v>800</v>
      </c>
    </row>
    <row r="736" spans="1:17" x14ac:dyDescent="0.3">
      <c r="A736" s="249" t="s">
        <v>1870</v>
      </c>
      <c r="B736" s="246">
        <v>3508</v>
      </c>
      <c r="C736" t="s">
        <v>1870</v>
      </c>
      <c r="D736" t="s">
        <v>1870</v>
      </c>
      <c r="E736" s="246" t="s">
        <v>131</v>
      </c>
      <c r="F736">
        <v>0</v>
      </c>
      <c r="G736" t="s">
        <v>1870</v>
      </c>
      <c r="H736" s="248" t="s">
        <v>701</v>
      </c>
      <c r="I736" t="s">
        <v>1532</v>
      </c>
      <c r="J736" t="s">
        <v>1870</v>
      </c>
      <c r="K736" t="s">
        <v>1870</v>
      </c>
      <c r="L736" t="s">
        <v>1426</v>
      </c>
      <c r="M736" t="s">
        <v>2131</v>
      </c>
      <c r="N736" t="s">
        <v>1870</v>
      </c>
      <c r="O736" s="247" t="s">
        <v>2265</v>
      </c>
      <c r="Q736" s="3">
        <v>0</v>
      </c>
    </row>
    <row r="737" spans="1:18" x14ac:dyDescent="0.3">
      <c r="A737" s="249" t="s">
        <v>1870</v>
      </c>
      <c r="B737" s="246">
        <v>3508</v>
      </c>
      <c r="C737" t="s">
        <v>1870</v>
      </c>
      <c r="D737" t="s">
        <v>1870</v>
      </c>
      <c r="E737" s="246" t="s">
        <v>131</v>
      </c>
      <c r="F737">
        <v>0</v>
      </c>
      <c r="G737" t="s">
        <v>1870</v>
      </c>
      <c r="H737" s="248" t="s">
        <v>701</v>
      </c>
      <c r="I737" t="s">
        <v>1532</v>
      </c>
      <c r="J737" t="s">
        <v>1870</v>
      </c>
      <c r="K737" t="s">
        <v>1870</v>
      </c>
      <c r="L737" s="246" t="s">
        <v>1831</v>
      </c>
      <c r="M737" t="s">
        <v>2131</v>
      </c>
      <c r="N737" t="s">
        <v>1870</v>
      </c>
      <c r="O737" s="247" t="s">
        <v>2269</v>
      </c>
      <c r="Q737" s="3">
        <v>0</v>
      </c>
    </row>
    <row r="738" spans="1:18" x14ac:dyDescent="0.3">
      <c r="A738" s="249" t="s">
        <v>1870</v>
      </c>
      <c r="B738" s="246">
        <v>3508</v>
      </c>
      <c r="C738" t="s">
        <v>1870</v>
      </c>
      <c r="D738" t="s">
        <v>1870</v>
      </c>
      <c r="E738" s="246" t="s">
        <v>131</v>
      </c>
      <c r="F738">
        <v>0</v>
      </c>
      <c r="G738" t="s">
        <v>1870</v>
      </c>
      <c r="H738" s="248" t="s">
        <v>701</v>
      </c>
      <c r="I738" t="s">
        <v>1532</v>
      </c>
      <c r="J738" t="s">
        <v>1870</v>
      </c>
      <c r="K738" t="s">
        <v>1870</v>
      </c>
      <c r="L738" s="246" t="s">
        <v>1493</v>
      </c>
      <c r="M738" t="s">
        <v>2131</v>
      </c>
      <c r="N738" t="s">
        <v>1870</v>
      </c>
      <c r="O738" s="247" t="s">
        <v>2270</v>
      </c>
      <c r="Q738" s="3">
        <v>0</v>
      </c>
    </row>
    <row r="739" spans="1:18" x14ac:dyDescent="0.3">
      <c r="A739" s="249" t="s">
        <v>1870</v>
      </c>
      <c r="B739" s="246">
        <v>3508</v>
      </c>
      <c r="C739" t="s">
        <v>1870</v>
      </c>
      <c r="D739" t="s">
        <v>1870</v>
      </c>
      <c r="E739" s="246" t="s">
        <v>131</v>
      </c>
      <c r="F739">
        <v>0</v>
      </c>
      <c r="G739" t="s">
        <v>1870</v>
      </c>
      <c r="H739" s="248" t="s">
        <v>701</v>
      </c>
      <c r="I739" t="s">
        <v>1532</v>
      </c>
      <c r="J739" t="s">
        <v>1870</v>
      </c>
      <c r="K739" t="s">
        <v>1870</v>
      </c>
      <c r="L739" s="246" t="s">
        <v>1500</v>
      </c>
      <c r="M739" t="s">
        <v>2131</v>
      </c>
      <c r="N739" t="s">
        <v>1870</v>
      </c>
      <c r="O739" s="247" t="s">
        <v>2267</v>
      </c>
      <c r="Q739" s="3">
        <v>0</v>
      </c>
    </row>
    <row r="740" spans="1:18" x14ac:dyDescent="0.3">
      <c r="A740" s="249" t="s">
        <v>1870</v>
      </c>
      <c r="B740" s="246">
        <v>3508</v>
      </c>
      <c r="C740" t="s">
        <v>1870</v>
      </c>
      <c r="D740" t="s">
        <v>1870</v>
      </c>
      <c r="E740" s="246" t="s">
        <v>131</v>
      </c>
      <c r="F740">
        <v>0</v>
      </c>
      <c r="G740" t="s">
        <v>1870</v>
      </c>
      <c r="H740" s="248" t="s">
        <v>701</v>
      </c>
      <c r="I740" t="s">
        <v>1532</v>
      </c>
      <c r="J740" t="s">
        <v>1870</v>
      </c>
      <c r="K740" t="s">
        <v>1870</v>
      </c>
      <c r="L740" s="246" t="s">
        <v>1500</v>
      </c>
      <c r="M740" s="246" t="s">
        <v>2133</v>
      </c>
      <c r="N740" t="s">
        <v>1870</v>
      </c>
      <c r="O740" s="247" t="s">
        <v>2268</v>
      </c>
      <c r="Q740" s="3">
        <v>0</v>
      </c>
    </row>
    <row r="741" spans="1:18" x14ac:dyDescent="0.3">
      <c r="A741" s="249" t="s">
        <v>1870</v>
      </c>
      <c r="B741" s="246">
        <v>3508</v>
      </c>
      <c r="C741" t="s">
        <v>1870</v>
      </c>
      <c r="D741" t="s">
        <v>1870</v>
      </c>
      <c r="E741" s="246" t="s">
        <v>131</v>
      </c>
      <c r="F741">
        <v>0</v>
      </c>
      <c r="G741" t="s">
        <v>1870</v>
      </c>
      <c r="H741" s="248" t="s">
        <v>701</v>
      </c>
      <c r="I741" t="s">
        <v>1532</v>
      </c>
      <c r="J741" t="s">
        <v>1870</v>
      </c>
      <c r="K741" t="s">
        <v>1870</v>
      </c>
      <c r="L741" s="246" t="s">
        <v>1678</v>
      </c>
      <c r="M741" s="246" t="s">
        <v>2131</v>
      </c>
      <c r="N741" t="s">
        <v>1870</v>
      </c>
      <c r="O741" s="247" t="s">
        <v>2266</v>
      </c>
      <c r="P741" s="3">
        <v>2741.45</v>
      </c>
      <c r="Q741" s="3">
        <v>2000</v>
      </c>
    </row>
    <row r="742" spans="1:18" x14ac:dyDescent="0.3">
      <c r="A742" s="249" t="s">
        <v>1870</v>
      </c>
      <c r="B742" s="246">
        <v>3508</v>
      </c>
      <c r="C742" t="s">
        <v>1870</v>
      </c>
      <c r="D742" t="s">
        <v>1870</v>
      </c>
      <c r="E742" s="246" t="s">
        <v>131</v>
      </c>
      <c r="F742" s="246">
        <v>1</v>
      </c>
      <c r="G742" t="s">
        <v>1870</v>
      </c>
      <c r="H742" s="248" t="s">
        <v>703</v>
      </c>
      <c r="I742" t="s">
        <v>1532</v>
      </c>
      <c r="J742" t="s">
        <v>1870</v>
      </c>
      <c r="K742" t="s">
        <v>1870</v>
      </c>
      <c r="L742" t="s">
        <v>1678</v>
      </c>
      <c r="M742" t="s">
        <v>2131</v>
      </c>
      <c r="N742" t="s">
        <v>1870</v>
      </c>
      <c r="O742" s="247" t="s">
        <v>2266</v>
      </c>
      <c r="Q742" s="3">
        <v>300</v>
      </c>
    </row>
    <row r="743" spans="1:18" x14ac:dyDescent="0.3">
      <c r="A743" s="249" t="s">
        <v>1870</v>
      </c>
      <c r="B743" s="246">
        <v>3508</v>
      </c>
      <c r="C743" t="s">
        <v>1870</v>
      </c>
      <c r="D743" t="s">
        <v>1870</v>
      </c>
      <c r="E743" s="246" t="s">
        <v>123</v>
      </c>
      <c r="F743" s="246">
        <v>0</v>
      </c>
      <c r="G743" t="s">
        <v>1870</v>
      </c>
      <c r="H743" s="248" t="s">
        <v>705</v>
      </c>
      <c r="I743" t="s">
        <v>1532</v>
      </c>
      <c r="J743" t="s">
        <v>1870</v>
      </c>
      <c r="K743" t="s">
        <v>1870</v>
      </c>
      <c r="L743" t="s">
        <v>1678</v>
      </c>
      <c r="M743" t="s">
        <v>2131</v>
      </c>
      <c r="N743" t="s">
        <v>1870</v>
      </c>
      <c r="O743" s="247" t="s">
        <v>2266</v>
      </c>
      <c r="P743" s="3">
        <v>877.45</v>
      </c>
      <c r="Q743" s="3">
        <v>1500</v>
      </c>
    </row>
    <row r="744" spans="1:18" x14ac:dyDescent="0.3">
      <c r="A744" s="249" t="s">
        <v>1870</v>
      </c>
      <c r="B744" s="246">
        <v>3508</v>
      </c>
      <c r="C744" t="s">
        <v>1870</v>
      </c>
      <c r="D744" t="s">
        <v>1870</v>
      </c>
      <c r="E744" s="246" t="s">
        <v>123</v>
      </c>
      <c r="F744" s="246">
        <v>1</v>
      </c>
      <c r="G744" t="s">
        <v>1870</v>
      </c>
      <c r="H744" s="248" t="s">
        <v>707</v>
      </c>
      <c r="I744" t="s">
        <v>1532</v>
      </c>
      <c r="J744" t="s">
        <v>1870</v>
      </c>
      <c r="K744" t="s">
        <v>1870</v>
      </c>
      <c r="L744" t="s">
        <v>1678</v>
      </c>
      <c r="M744" t="s">
        <v>2131</v>
      </c>
      <c r="N744" t="s">
        <v>1870</v>
      </c>
      <c r="O744" s="247" t="s">
        <v>2266</v>
      </c>
      <c r="Q744" s="3">
        <v>850</v>
      </c>
    </row>
    <row r="745" spans="1:18" x14ac:dyDescent="0.3">
      <c r="A745" s="249" t="s">
        <v>1870</v>
      </c>
      <c r="B745" s="246">
        <v>3508</v>
      </c>
      <c r="C745" t="s">
        <v>1870</v>
      </c>
      <c r="D745" t="s">
        <v>1870</v>
      </c>
      <c r="E745" s="246" t="s">
        <v>48</v>
      </c>
      <c r="F745" s="246">
        <v>0</v>
      </c>
      <c r="G745" t="s">
        <v>1870</v>
      </c>
      <c r="H745" s="248" t="s">
        <v>709</v>
      </c>
      <c r="I745" t="s">
        <v>1532</v>
      </c>
      <c r="J745" t="s">
        <v>1870</v>
      </c>
      <c r="K745" t="s">
        <v>1870</v>
      </c>
      <c r="L745" s="246" t="s">
        <v>1418</v>
      </c>
      <c r="M745" t="s">
        <v>2131</v>
      </c>
      <c r="N745" t="s">
        <v>1870</v>
      </c>
      <c r="O745" s="247" t="s">
        <v>2271</v>
      </c>
      <c r="P745" s="3">
        <v>1319.5</v>
      </c>
      <c r="Q745" s="3">
        <v>1600</v>
      </c>
    </row>
    <row r="746" spans="1:18" x14ac:dyDescent="0.3">
      <c r="A746" s="249" t="s">
        <v>1870</v>
      </c>
      <c r="B746" s="246">
        <v>3508</v>
      </c>
      <c r="C746" t="s">
        <v>1870</v>
      </c>
      <c r="D746" t="s">
        <v>1870</v>
      </c>
      <c r="E746" s="7" t="s">
        <v>96</v>
      </c>
      <c r="F746">
        <v>0</v>
      </c>
      <c r="G746" t="s">
        <v>1870</v>
      </c>
      <c r="H746" t="s">
        <v>711</v>
      </c>
      <c r="I746" s="7" t="s">
        <v>1489</v>
      </c>
      <c r="J746" t="s">
        <v>1870</v>
      </c>
      <c r="K746" t="s">
        <v>1870</v>
      </c>
      <c r="L746" s="7" t="s">
        <v>1489</v>
      </c>
      <c r="M746" s="7" t="s">
        <v>1489</v>
      </c>
      <c r="N746" t="s">
        <v>1870</v>
      </c>
      <c r="O746" t="s">
        <v>1489</v>
      </c>
      <c r="Q746" s="3">
        <v>0</v>
      </c>
    </row>
    <row r="747" spans="1:18" x14ac:dyDescent="0.3">
      <c r="A747" s="249" t="s">
        <v>1870</v>
      </c>
      <c r="B747" s="246">
        <v>3508</v>
      </c>
      <c r="C747" t="s">
        <v>1870</v>
      </c>
      <c r="D747" t="s">
        <v>1870</v>
      </c>
      <c r="E747" s="7" t="s">
        <v>6</v>
      </c>
      <c r="F747">
        <v>0</v>
      </c>
      <c r="G747" t="s">
        <v>1870</v>
      </c>
      <c r="H747" t="s">
        <v>713</v>
      </c>
      <c r="I747" t="s">
        <v>1489</v>
      </c>
      <c r="J747" t="s">
        <v>1870</v>
      </c>
      <c r="K747" t="s">
        <v>1870</v>
      </c>
      <c r="L747" t="s">
        <v>1489</v>
      </c>
      <c r="M747" t="s">
        <v>1489</v>
      </c>
      <c r="N747" t="s">
        <v>1870</v>
      </c>
      <c r="O747" t="s">
        <v>1489</v>
      </c>
      <c r="Q747" s="3">
        <v>0</v>
      </c>
    </row>
    <row r="748" spans="1:18" x14ac:dyDescent="0.3">
      <c r="A748" s="249" t="s">
        <v>1870</v>
      </c>
      <c r="B748" s="246">
        <v>3508</v>
      </c>
      <c r="C748" t="s">
        <v>1870</v>
      </c>
      <c r="D748" t="s">
        <v>1870</v>
      </c>
      <c r="E748" s="7" t="s">
        <v>28</v>
      </c>
      <c r="F748" s="7">
        <v>1</v>
      </c>
      <c r="G748" t="s">
        <v>1870</v>
      </c>
      <c r="H748" t="s">
        <v>715</v>
      </c>
      <c r="I748" t="s">
        <v>1489</v>
      </c>
      <c r="J748" t="s">
        <v>1870</v>
      </c>
      <c r="K748" t="s">
        <v>1870</v>
      </c>
      <c r="L748" t="s">
        <v>1489</v>
      </c>
      <c r="M748" t="s">
        <v>1489</v>
      </c>
      <c r="N748" t="s">
        <v>1870</v>
      </c>
      <c r="O748" t="s">
        <v>1489</v>
      </c>
      <c r="Q748" s="3">
        <v>0</v>
      </c>
    </row>
    <row r="749" spans="1:18" x14ac:dyDescent="0.3">
      <c r="A749" s="249" t="s">
        <v>1870</v>
      </c>
      <c r="B749" s="246">
        <v>3508</v>
      </c>
      <c r="C749" t="s">
        <v>1870</v>
      </c>
      <c r="D749" t="s">
        <v>1870</v>
      </c>
      <c r="E749" s="7" t="s">
        <v>61</v>
      </c>
      <c r="F749" s="7">
        <v>0</v>
      </c>
      <c r="G749" t="s">
        <v>1870</v>
      </c>
      <c r="H749" t="s">
        <v>717</v>
      </c>
      <c r="I749" t="s">
        <v>1489</v>
      </c>
      <c r="J749" t="s">
        <v>1870</v>
      </c>
      <c r="K749" t="s">
        <v>1870</v>
      </c>
      <c r="L749" t="s">
        <v>1489</v>
      </c>
      <c r="M749" t="s">
        <v>1489</v>
      </c>
      <c r="N749" t="s">
        <v>1870</v>
      </c>
      <c r="O749" t="s">
        <v>1489</v>
      </c>
      <c r="Q749" s="3">
        <v>0</v>
      </c>
    </row>
    <row r="750" spans="1:18" x14ac:dyDescent="0.3">
      <c r="A750" s="249" t="s">
        <v>1870</v>
      </c>
      <c r="B750" s="246">
        <v>3509</v>
      </c>
      <c r="C750" t="s">
        <v>1870</v>
      </c>
      <c r="D750" t="s">
        <v>1870</v>
      </c>
      <c r="E750" s="246" t="s">
        <v>3</v>
      </c>
      <c r="F750">
        <v>0</v>
      </c>
      <c r="G750" t="s">
        <v>1870</v>
      </c>
      <c r="H750" s="248" t="s">
        <v>720</v>
      </c>
      <c r="I750" s="246" t="s">
        <v>1587</v>
      </c>
      <c r="J750" t="s">
        <v>1870</v>
      </c>
      <c r="K750" t="s">
        <v>1870</v>
      </c>
      <c r="L750" s="246" t="s">
        <v>1410</v>
      </c>
      <c r="M750" s="7" t="s">
        <v>2131</v>
      </c>
      <c r="N750" t="s">
        <v>1870</v>
      </c>
      <c r="O750" s="247" t="s">
        <v>1411</v>
      </c>
      <c r="P750" s="3">
        <v>44766</v>
      </c>
      <c r="Q750" s="3">
        <v>39000</v>
      </c>
      <c r="R750" s="3">
        <v>0</v>
      </c>
    </row>
    <row r="751" spans="1:18" x14ac:dyDescent="0.3">
      <c r="A751" s="249" t="s">
        <v>1870</v>
      </c>
      <c r="B751" s="246">
        <v>3509</v>
      </c>
      <c r="C751" t="s">
        <v>1870</v>
      </c>
      <c r="D751" t="s">
        <v>1870</v>
      </c>
      <c r="E751" s="246" t="s">
        <v>3</v>
      </c>
      <c r="F751">
        <v>0</v>
      </c>
      <c r="G751" t="s">
        <v>1870</v>
      </c>
      <c r="H751" s="248" t="s">
        <v>720</v>
      </c>
      <c r="I751" s="246" t="s">
        <v>1587</v>
      </c>
      <c r="J751" t="s">
        <v>1870</v>
      </c>
      <c r="K751" t="s">
        <v>1870</v>
      </c>
      <c r="L751" s="246" t="s">
        <v>1410</v>
      </c>
      <c r="M751" s="246" t="s">
        <v>2138</v>
      </c>
      <c r="N751" t="s">
        <v>1870</v>
      </c>
      <c r="O751" s="247" t="s">
        <v>1424</v>
      </c>
      <c r="Q751" s="3">
        <v>0</v>
      </c>
    </row>
    <row r="752" spans="1:18" x14ac:dyDescent="0.3">
      <c r="A752" s="249" t="s">
        <v>1870</v>
      </c>
      <c r="B752" s="246">
        <v>3509</v>
      </c>
      <c r="C752" t="s">
        <v>1870</v>
      </c>
      <c r="D752" t="s">
        <v>1870</v>
      </c>
      <c r="E752" s="246" t="s">
        <v>16</v>
      </c>
      <c r="F752">
        <v>0</v>
      </c>
      <c r="G752" t="s">
        <v>1870</v>
      </c>
      <c r="H752" s="248" t="s">
        <v>722</v>
      </c>
      <c r="I752" t="s">
        <v>1587</v>
      </c>
      <c r="J752" t="s">
        <v>1870</v>
      </c>
      <c r="K752" t="s">
        <v>1870</v>
      </c>
      <c r="L752" s="246" t="s">
        <v>1367</v>
      </c>
      <c r="M752" s="246" t="s">
        <v>2131</v>
      </c>
      <c r="N752" t="s">
        <v>1870</v>
      </c>
      <c r="O752" s="247" t="s">
        <v>1378</v>
      </c>
      <c r="P752" s="3">
        <v>4029</v>
      </c>
      <c r="Q752" s="3">
        <v>3700</v>
      </c>
    </row>
    <row r="753" spans="1:17" x14ac:dyDescent="0.3">
      <c r="A753" s="249" t="s">
        <v>1870</v>
      </c>
      <c r="B753" s="246">
        <v>3509</v>
      </c>
      <c r="C753" t="s">
        <v>1870</v>
      </c>
      <c r="D753" t="s">
        <v>1870</v>
      </c>
      <c r="E753" s="246" t="s">
        <v>16</v>
      </c>
      <c r="F753">
        <v>0</v>
      </c>
      <c r="G753" t="s">
        <v>1870</v>
      </c>
      <c r="H753" s="248" t="s">
        <v>722</v>
      </c>
      <c r="I753" t="s">
        <v>1587</v>
      </c>
      <c r="J753" t="s">
        <v>1870</v>
      </c>
      <c r="K753" t="s">
        <v>1870</v>
      </c>
      <c r="L753" s="246" t="s">
        <v>1413</v>
      </c>
      <c r="M753" t="s">
        <v>2131</v>
      </c>
      <c r="N753" t="s">
        <v>1870</v>
      </c>
      <c r="O753" s="247" t="s">
        <v>1414</v>
      </c>
      <c r="Q753" s="3">
        <v>0</v>
      </c>
    </row>
    <row r="754" spans="1:17" x14ac:dyDescent="0.3">
      <c r="A754" s="249" t="s">
        <v>1870</v>
      </c>
      <c r="B754" s="246">
        <v>3509</v>
      </c>
      <c r="C754" t="s">
        <v>1870</v>
      </c>
      <c r="D754" t="s">
        <v>1870</v>
      </c>
      <c r="E754" s="246" t="s">
        <v>38</v>
      </c>
      <c r="F754">
        <v>0</v>
      </c>
      <c r="G754" t="s">
        <v>1870</v>
      </c>
      <c r="H754" s="248" t="s">
        <v>724</v>
      </c>
      <c r="I754" t="s">
        <v>1587</v>
      </c>
      <c r="J754" t="s">
        <v>1870</v>
      </c>
      <c r="K754" t="s">
        <v>1870</v>
      </c>
      <c r="L754" s="246" t="s">
        <v>1386</v>
      </c>
      <c r="M754" t="s">
        <v>2131</v>
      </c>
      <c r="N754" t="s">
        <v>1870</v>
      </c>
      <c r="O754" s="247" t="s">
        <v>1387</v>
      </c>
      <c r="P754" s="3">
        <v>1046.5999999999999</v>
      </c>
      <c r="Q754" s="3">
        <v>500</v>
      </c>
    </row>
    <row r="755" spans="1:17" x14ac:dyDescent="0.3">
      <c r="A755" s="249" t="s">
        <v>1870</v>
      </c>
      <c r="B755" s="246">
        <v>3509</v>
      </c>
      <c r="C755" t="s">
        <v>1870</v>
      </c>
      <c r="D755" t="s">
        <v>1870</v>
      </c>
      <c r="E755" s="246" t="s">
        <v>19</v>
      </c>
      <c r="F755">
        <v>0</v>
      </c>
      <c r="G755" t="s">
        <v>1870</v>
      </c>
      <c r="H755" s="248" t="s">
        <v>726</v>
      </c>
      <c r="I755" t="s">
        <v>1587</v>
      </c>
      <c r="J755" t="s">
        <v>1870</v>
      </c>
      <c r="K755" t="s">
        <v>1870</v>
      </c>
      <c r="L755" s="246" t="s">
        <v>1375</v>
      </c>
      <c r="M755" t="s">
        <v>2131</v>
      </c>
      <c r="N755" t="s">
        <v>1870</v>
      </c>
      <c r="O755" s="247" t="s">
        <v>1379</v>
      </c>
      <c r="P755" s="3">
        <v>1041.55</v>
      </c>
      <c r="Q755" s="3">
        <v>720</v>
      </c>
    </row>
    <row r="756" spans="1:17" x14ac:dyDescent="0.3">
      <c r="A756" s="249" t="s">
        <v>1870</v>
      </c>
      <c r="B756" s="246">
        <v>3509</v>
      </c>
      <c r="C756" t="s">
        <v>1870</v>
      </c>
      <c r="D756" t="s">
        <v>1870</v>
      </c>
      <c r="E756" s="246" t="s">
        <v>22</v>
      </c>
      <c r="F756">
        <v>0</v>
      </c>
      <c r="G756" t="s">
        <v>1870</v>
      </c>
      <c r="H756" s="248" t="s">
        <v>728</v>
      </c>
      <c r="I756" t="s">
        <v>1587</v>
      </c>
      <c r="J756" t="s">
        <v>1870</v>
      </c>
      <c r="K756" t="s">
        <v>1870</v>
      </c>
      <c r="L756" s="246" t="s">
        <v>1382</v>
      </c>
      <c r="M756" t="s">
        <v>2131</v>
      </c>
      <c r="N756" t="s">
        <v>1870</v>
      </c>
      <c r="O756" s="247" t="s">
        <v>1383</v>
      </c>
      <c r="Q756" s="3">
        <v>0</v>
      </c>
    </row>
    <row r="757" spans="1:17" x14ac:dyDescent="0.3">
      <c r="A757" s="249" t="s">
        <v>1870</v>
      </c>
      <c r="B757" s="246">
        <v>3509</v>
      </c>
      <c r="C757" t="s">
        <v>1870</v>
      </c>
      <c r="D757" t="s">
        <v>1870</v>
      </c>
      <c r="E757" s="246" t="s">
        <v>22</v>
      </c>
      <c r="F757">
        <v>0</v>
      </c>
      <c r="G757" t="s">
        <v>1870</v>
      </c>
      <c r="H757" s="248" t="s">
        <v>728</v>
      </c>
      <c r="I757" t="s">
        <v>1587</v>
      </c>
      <c r="J757" t="s">
        <v>1870</v>
      </c>
      <c r="K757" t="s">
        <v>1870</v>
      </c>
      <c r="L757" s="246" t="s">
        <v>1368</v>
      </c>
      <c r="M757" t="s">
        <v>2131</v>
      </c>
      <c r="N757" t="s">
        <v>1870</v>
      </c>
      <c r="O757" s="247" t="s">
        <v>1392</v>
      </c>
      <c r="Q757" s="3">
        <v>0</v>
      </c>
    </row>
    <row r="758" spans="1:17" x14ac:dyDescent="0.3">
      <c r="A758" s="249" t="s">
        <v>1870</v>
      </c>
      <c r="B758" s="246">
        <v>3509</v>
      </c>
      <c r="C758" t="s">
        <v>1870</v>
      </c>
      <c r="D758" t="s">
        <v>1870</v>
      </c>
      <c r="E758" s="246" t="s">
        <v>22</v>
      </c>
      <c r="F758">
        <v>0</v>
      </c>
      <c r="G758" t="s">
        <v>1870</v>
      </c>
      <c r="H758" s="248" t="s">
        <v>728</v>
      </c>
      <c r="I758" t="s">
        <v>1587</v>
      </c>
      <c r="J758" t="s">
        <v>1870</v>
      </c>
      <c r="K758" t="s">
        <v>1870</v>
      </c>
      <c r="L758" s="246" t="s">
        <v>1540</v>
      </c>
      <c r="M758" t="s">
        <v>2131</v>
      </c>
      <c r="N758" t="s">
        <v>1870</v>
      </c>
      <c r="O758" s="247" t="s">
        <v>1543</v>
      </c>
      <c r="Q758" s="3">
        <v>0</v>
      </c>
    </row>
    <row r="759" spans="1:17" x14ac:dyDescent="0.3">
      <c r="A759" s="249" t="s">
        <v>1870</v>
      </c>
      <c r="B759" s="246">
        <v>3509</v>
      </c>
      <c r="C759" t="s">
        <v>1870</v>
      </c>
      <c r="D759" t="s">
        <v>1870</v>
      </c>
      <c r="E759" s="246" t="s">
        <v>22</v>
      </c>
      <c r="F759">
        <v>0</v>
      </c>
      <c r="G759" t="s">
        <v>1870</v>
      </c>
      <c r="H759" s="248" t="s">
        <v>728</v>
      </c>
      <c r="I759" t="s">
        <v>1587</v>
      </c>
      <c r="J759" t="s">
        <v>1870</v>
      </c>
      <c r="K759" t="s">
        <v>1870</v>
      </c>
      <c r="L759" s="246" t="s">
        <v>1380</v>
      </c>
      <c r="M759" t="s">
        <v>2131</v>
      </c>
      <c r="N759" t="s">
        <v>1870</v>
      </c>
      <c r="O759" s="247" t="s">
        <v>1381</v>
      </c>
      <c r="Q759" s="3">
        <v>0</v>
      </c>
    </row>
    <row r="760" spans="1:17" x14ac:dyDescent="0.3">
      <c r="A760" s="249" t="s">
        <v>1870</v>
      </c>
      <c r="B760" s="246">
        <v>3509</v>
      </c>
      <c r="C760" t="s">
        <v>1870</v>
      </c>
      <c r="D760" t="s">
        <v>1870</v>
      </c>
      <c r="E760" s="246" t="s">
        <v>22</v>
      </c>
      <c r="F760">
        <v>0</v>
      </c>
      <c r="G760" t="s">
        <v>1870</v>
      </c>
      <c r="H760" s="248" t="s">
        <v>728</v>
      </c>
      <c r="I760" t="s">
        <v>1587</v>
      </c>
      <c r="J760" t="s">
        <v>1870</v>
      </c>
      <c r="K760" t="s">
        <v>1870</v>
      </c>
      <c r="L760" s="246" t="s">
        <v>1393</v>
      </c>
      <c r="M760" t="s">
        <v>2131</v>
      </c>
      <c r="N760" t="s">
        <v>1870</v>
      </c>
      <c r="O760" s="247" t="s">
        <v>2073</v>
      </c>
      <c r="Q760" s="3">
        <v>0</v>
      </c>
    </row>
    <row r="761" spans="1:17" x14ac:dyDescent="0.3">
      <c r="A761" s="249" t="s">
        <v>1870</v>
      </c>
      <c r="B761" s="246">
        <v>3509</v>
      </c>
      <c r="C761" t="s">
        <v>1870</v>
      </c>
      <c r="D761" t="s">
        <v>1870</v>
      </c>
      <c r="E761" s="246" t="s">
        <v>25</v>
      </c>
      <c r="F761">
        <v>0</v>
      </c>
      <c r="G761" t="s">
        <v>1870</v>
      </c>
      <c r="H761" s="248" t="s">
        <v>730</v>
      </c>
      <c r="I761" s="246" t="s">
        <v>1805</v>
      </c>
      <c r="J761" t="s">
        <v>1870</v>
      </c>
      <c r="K761" t="s">
        <v>1870</v>
      </c>
      <c r="L761" s="246" t="s">
        <v>1426</v>
      </c>
      <c r="M761" t="s">
        <v>2131</v>
      </c>
      <c r="N761" t="s">
        <v>1870</v>
      </c>
      <c r="O761" s="247" t="s">
        <v>2277</v>
      </c>
      <c r="P761" s="3">
        <v>3410.85</v>
      </c>
      <c r="Q761" s="3">
        <v>10000</v>
      </c>
    </row>
    <row r="762" spans="1:17" x14ac:dyDescent="0.3">
      <c r="A762" s="249" t="s">
        <v>1870</v>
      </c>
      <c r="B762" s="246">
        <v>3509</v>
      </c>
      <c r="C762" t="s">
        <v>1870</v>
      </c>
      <c r="D762" t="s">
        <v>1870</v>
      </c>
      <c r="E762" s="246" t="s">
        <v>25</v>
      </c>
      <c r="F762">
        <v>0</v>
      </c>
      <c r="G762" t="s">
        <v>1870</v>
      </c>
      <c r="H762" s="248" t="s">
        <v>730</v>
      </c>
      <c r="I762" s="246" t="s">
        <v>1805</v>
      </c>
      <c r="J762" t="s">
        <v>1870</v>
      </c>
      <c r="K762" t="s">
        <v>1870</v>
      </c>
      <c r="L762" s="246" t="s">
        <v>1831</v>
      </c>
      <c r="M762" t="s">
        <v>2131</v>
      </c>
      <c r="N762" t="s">
        <v>1870</v>
      </c>
      <c r="O762" s="247" t="s">
        <v>2273</v>
      </c>
      <c r="Q762" s="3">
        <v>0</v>
      </c>
    </row>
    <row r="763" spans="1:17" x14ac:dyDescent="0.3">
      <c r="A763" s="249" t="s">
        <v>1870</v>
      </c>
      <c r="B763" s="246">
        <v>3509</v>
      </c>
      <c r="C763" t="s">
        <v>1870</v>
      </c>
      <c r="D763" t="s">
        <v>1870</v>
      </c>
      <c r="E763" s="246" t="s">
        <v>25</v>
      </c>
      <c r="F763">
        <v>0</v>
      </c>
      <c r="G763" t="s">
        <v>1870</v>
      </c>
      <c r="H763" s="248" t="s">
        <v>730</v>
      </c>
      <c r="I763" s="246" t="s">
        <v>1805</v>
      </c>
      <c r="J763" t="s">
        <v>1870</v>
      </c>
      <c r="K763" t="s">
        <v>1870</v>
      </c>
      <c r="L763" s="246" t="s">
        <v>1493</v>
      </c>
      <c r="M763" t="s">
        <v>2131</v>
      </c>
      <c r="N763" t="s">
        <v>1870</v>
      </c>
      <c r="O763" s="247" t="s">
        <v>2274</v>
      </c>
      <c r="Q763" s="3">
        <v>0</v>
      </c>
    </row>
    <row r="764" spans="1:17" x14ac:dyDescent="0.3">
      <c r="A764" s="249" t="s">
        <v>1870</v>
      </c>
      <c r="B764" s="246">
        <v>3509</v>
      </c>
      <c r="C764" t="s">
        <v>1870</v>
      </c>
      <c r="D764" t="s">
        <v>1870</v>
      </c>
      <c r="E764" s="246" t="s">
        <v>25</v>
      </c>
      <c r="F764">
        <v>0</v>
      </c>
      <c r="G764" t="s">
        <v>1870</v>
      </c>
      <c r="H764" s="248" t="s">
        <v>730</v>
      </c>
      <c r="I764" s="246" t="s">
        <v>1805</v>
      </c>
      <c r="J764" t="s">
        <v>1870</v>
      </c>
      <c r="K764" t="s">
        <v>1870</v>
      </c>
      <c r="L764" s="246" t="s">
        <v>1500</v>
      </c>
      <c r="M764" s="246" t="s">
        <v>2133</v>
      </c>
      <c r="N764" t="s">
        <v>1870</v>
      </c>
      <c r="O764" s="247" t="s">
        <v>2272</v>
      </c>
      <c r="Q764" s="3">
        <v>0</v>
      </c>
    </row>
    <row r="765" spans="1:17" x14ac:dyDescent="0.3">
      <c r="A765" s="249" t="s">
        <v>1870</v>
      </c>
      <c r="B765" s="246">
        <v>3509</v>
      </c>
      <c r="C765" t="s">
        <v>1870</v>
      </c>
      <c r="D765" t="s">
        <v>1870</v>
      </c>
      <c r="E765" s="246" t="s">
        <v>159</v>
      </c>
      <c r="F765">
        <v>0</v>
      </c>
      <c r="G765" t="s">
        <v>1870</v>
      </c>
      <c r="H765" s="248" t="s">
        <v>732</v>
      </c>
      <c r="I765" t="s">
        <v>1805</v>
      </c>
      <c r="J765" t="s">
        <v>1870</v>
      </c>
      <c r="K765" t="s">
        <v>1870</v>
      </c>
      <c r="L765" t="s">
        <v>1500</v>
      </c>
      <c r="M765" s="246" t="s">
        <v>2132</v>
      </c>
      <c r="N765" t="s">
        <v>1870</v>
      </c>
      <c r="O765" s="247" t="s">
        <v>2275</v>
      </c>
      <c r="P765" s="3">
        <v>58129</v>
      </c>
      <c r="Q765" s="3">
        <v>82000</v>
      </c>
    </row>
    <row r="766" spans="1:17" x14ac:dyDescent="0.3">
      <c r="A766" s="249" t="s">
        <v>1870</v>
      </c>
      <c r="B766" s="246">
        <v>3509</v>
      </c>
      <c r="C766" t="s">
        <v>1870</v>
      </c>
      <c r="D766" t="s">
        <v>1870</v>
      </c>
      <c r="E766" s="246" t="s">
        <v>159</v>
      </c>
      <c r="F766" s="246">
        <v>1</v>
      </c>
      <c r="G766" t="s">
        <v>1870</v>
      </c>
      <c r="H766" s="248" t="s">
        <v>734</v>
      </c>
      <c r="I766" t="s">
        <v>1805</v>
      </c>
      <c r="J766" t="s">
        <v>1870</v>
      </c>
      <c r="K766" t="s">
        <v>1870</v>
      </c>
      <c r="L766" t="s">
        <v>1500</v>
      </c>
      <c r="M766" s="246" t="s">
        <v>2131</v>
      </c>
      <c r="N766" t="s">
        <v>1870</v>
      </c>
      <c r="O766" s="247" t="s">
        <v>2276</v>
      </c>
      <c r="P766" s="3">
        <v>48607.8</v>
      </c>
      <c r="Q766" s="3">
        <v>32000</v>
      </c>
    </row>
    <row r="767" spans="1:17" x14ac:dyDescent="0.3">
      <c r="A767" s="249" t="s">
        <v>1870</v>
      </c>
      <c r="B767" s="246">
        <v>3509</v>
      </c>
      <c r="C767" t="s">
        <v>1870</v>
      </c>
      <c r="D767" t="s">
        <v>1870</v>
      </c>
      <c r="E767" s="246" t="s">
        <v>439</v>
      </c>
      <c r="F767" s="246">
        <v>0</v>
      </c>
      <c r="G767" t="s">
        <v>1870</v>
      </c>
      <c r="H767" s="248" t="s">
        <v>736</v>
      </c>
      <c r="I767" t="s">
        <v>1805</v>
      </c>
      <c r="J767" t="s">
        <v>1870</v>
      </c>
      <c r="K767" t="s">
        <v>1870</v>
      </c>
      <c r="L767" s="246" t="s">
        <v>1426</v>
      </c>
      <c r="M767" t="s">
        <v>2131</v>
      </c>
      <c r="N767" t="s">
        <v>1870</v>
      </c>
      <c r="O767" s="247" t="s">
        <v>2277</v>
      </c>
      <c r="P767" s="3">
        <v>4820.2700000000004</v>
      </c>
      <c r="Q767" s="3">
        <v>6500</v>
      </c>
    </row>
    <row r="768" spans="1:17" x14ac:dyDescent="0.3">
      <c r="A768" s="249" t="s">
        <v>1870</v>
      </c>
      <c r="B768" s="246">
        <v>3509</v>
      </c>
      <c r="C768" t="s">
        <v>1870</v>
      </c>
      <c r="D768" t="s">
        <v>1870</v>
      </c>
      <c r="E768" s="246" t="s">
        <v>131</v>
      </c>
      <c r="F768">
        <v>0</v>
      </c>
      <c r="G768" t="s">
        <v>1870</v>
      </c>
      <c r="H768" s="248" t="s">
        <v>738</v>
      </c>
      <c r="I768" t="s">
        <v>1805</v>
      </c>
      <c r="J768" t="s">
        <v>1870</v>
      </c>
      <c r="K768" t="s">
        <v>1870</v>
      </c>
      <c r="L768" s="246" t="s">
        <v>1678</v>
      </c>
      <c r="M768" t="s">
        <v>2131</v>
      </c>
      <c r="N768" t="s">
        <v>1870</v>
      </c>
      <c r="O768" s="247" t="s">
        <v>2278</v>
      </c>
      <c r="P768" s="3">
        <v>18582.8</v>
      </c>
      <c r="Q768" s="3">
        <v>23500</v>
      </c>
    </row>
    <row r="769" spans="1:18" x14ac:dyDescent="0.3">
      <c r="A769" s="249" t="s">
        <v>1870</v>
      </c>
      <c r="B769" s="246">
        <v>3509</v>
      </c>
      <c r="C769" t="s">
        <v>1870</v>
      </c>
      <c r="D769" t="s">
        <v>1870</v>
      </c>
      <c r="E769" s="246" t="s">
        <v>131</v>
      </c>
      <c r="F769" s="246">
        <v>1</v>
      </c>
      <c r="G769" t="s">
        <v>1870</v>
      </c>
      <c r="H769" s="248" t="s">
        <v>740</v>
      </c>
      <c r="I769" t="s">
        <v>1805</v>
      </c>
      <c r="J769" t="s">
        <v>1870</v>
      </c>
      <c r="K769" t="s">
        <v>1870</v>
      </c>
      <c r="L769" t="s">
        <v>1678</v>
      </c>
      <c r="M769" t="s">
        <v>2131</v>
      </c>
      <c r="N769" t="s">
        <v>1870</v>
      </c>
      <c r="O769" s="247" t="s">
        <v>2278</v>
      </c>
      <c r="Q769" s="3">
        <v>2000</v>
      </c>
    </row>
    <row r="770" spans="1:18" x14ac:dyDescent="0.3">
      <c r="A770" s="249" t="s">
        <v>1870</v>
      </c>
      <c r="B770" s="246">
        <v>3509</v>
      </c>
      <c r="C770" t="s">
        <v>1870</v>
      </c>
      <c r="D770" t="s">
        <v>1870</v>
      </c>
      <c r="E770" s="246" t="s">
        <v>123</v>
      </c>
      <c r="F770" s="246">
        <v>0</v>
      </c>
      <c r="G770" t="s">
        <v>1870</v>
      </c>
      <c r="H770" s="248" t="s">
        <v>742</v>
      </c>
      <c r="I770" t="s">
        <v>1805</v>
      </c>
      <c r="J770" t="s">
        <v>1870</v>
      </c>
      <c r="K770" t="s">
        <v>1870</v>
      </c>
      <c r="L770" t="s">
        <v>1678</v>
      </c>
      <c r="M770" t="s">
        <v>2131</v>
      </c>
      <c r="N770" t="s">
        <v>1870</v>
      </c>
      <c r="O770" s="247" t="s">
        <v>2278</v>
      </c>
      <c r="P770" s="3">
        <v>29635.55</v>
      </c>
      <c r="Q770" s="3">
        <v>28000</v>
      </c>
    </row>
    <row r="771" spans="1:18" x14ac:dyDescent="0.3">
      <c r="A771" s="249" t="s">
        <v>1870</v>
      </c>
      <c r="B771" s="246">
        <v>3509</v>
      </c>
      <c r="C771" t="s">
        <v>1870</v>
      </c>
      <c r="D771" t="s">
        <v>1870</v>
      </c>
      <c r="E771" s="246" t="s">
        <v>123</v>
      </c>
      <c r="F771" s="246">
        <v>1</v>
      </c>
      <c r="G771" t="s">
        <v>1870</v>
      </c>
      <c r="H771" s="248" t="s">
        <v>744</v>
      </c>
      <c r="I771" t="s">
        <v>1805</v>
      </c>
      <c r="J771" t="s">
        <v>1870</v>
      </c>
      <c r="K771" t="s">
        <v>1870</v>
      </c>
      <c r="L771" t="s">
        <v>1678</v>
      </c>
      <c r="M771" t="s">
        <v>2131</v>
      </c>
      <c r="N771" t="s">
        <v>1870</v>
      </c>
      <c r="O771" s="247" t="s">
        <v>2278</v>
      </c>
      <c r="P771" s="3">
        <v>21193.55</v>
      </c>
      <c r="Q771" s="3">
        <v>16600</v>
      </c>
    </row>
    <row r="772" spans="1:18" x14ac:dyDescent="0.3">
      <c r="A772" s="249" t="s">
        <v>1870</v>
      </c>
      <c r="B772" s="246">
        <v>3509</v>
      </c>
      <c r="C772" t="s">
        <v>1870</v>
      </c>
      <c r="D772" t="s">
        <v>1870</v>
      </c>
      <c r="E772" s="246" t="s">
        <v>48</v>
      </c>
      <c r="F772" s="246">
        <v>0</v>
      </c>
      <c r="G772" t="s">
        <v>1870</v>
      </c>
      <c r="H772" s="248" t="s">
        <v>746</v>
      </c>
      <c r="I772" t="s">
        <v>1805</v>
      </c>
      <c r="J772" t="s">
        <v>1870</v>
      </c>
      <c r="K772" t="s">
        <v>1870</v>
      </c>
      <c r="L772" s="246" t="s">
        <v>1418</v>
      </c>
      <c r="M772" t="s">
        <v>2131</v>
      </c>
      <c r="N772" t="s">
        <v>1870</v>
      </c>
      <c r="O772" s="247" t="s">
        <v>2279</v>
      </c>
      <c r="P772" s="3">
        <v>7984.7</v>
      </c>
      <c r="Q772" s="3">
        <v>12000</v>
      </c>
    </row>
    <row r="773" spans="1:18" x14ac:dyDescent="0.3">
      <c r="A773" s="249" t="s">
        <v>1870</v>
      </c>
      <c r="B773" s="246">
        <v>3509</v>
      </c>
      <c r="C773" t="s">
        <v>1870</v>
      </c>
      <c r="D773" t="s">
        <v>1870</v>
      </c>
      <c r="E773" s="7" t="s">
        <v>164</v>
      </c>
      <c r="F773">
        <v>0</v>
      </c>
      <c r="G773" t="s">
        <v>1870</v>
      </c>
      <c r="H773" t="s">
        <v>748</v>
      </c>
      <c r="I773" s="7" t="s">
        <v>1489</v>
      </c>
      <c r="J773" t="s">
        <v>1870</v>
      </c>
      <c r="K773" t="s">
        <v>1870</v>
      </c>
      <c r="L773" s="7" t="s">
        <v>1489</v>
      </c>
      <c r="M773" s="7" t="s">
        <v>1489</v>
      </c>
      <c r="N773" t="s">
        <v>1870</v>
      </c>
      <c r="O773" t="s">
        <v>1489</v>
      </c>
      <c r="Q773" s="3">
        <v>0</v>
      </c>
    </row>
    <row r="774" spans="1:18" x14ac:dyDescent="0.3">
      <c r="A774" s="249" t="s">
        <v>1870</v>
      </c>
      <c r="B774" s="246">
        <v>3509</v>
      </c>
      <c r="C774" t="s">
        <v>1870</v>
      </c>
      <c r="D774" t="s">
        <v>1870</v>
      </c>
      <c r="E774" s="7" t="s">
        <v>96</v>
      </c>
      <c r="F774">
        <v>0</v>
      </c>
      <c r="G774" t="s">
        <v>1870</v>
      </c>
      <c r="H774" t="s">
        <v>750</v>
      </c>
      <c r="I774" t="s">
        <v>1489</v>
      </c>
      <c r="J774" t="s">
        <v>1870</v>
      </c>
      <c r="K774" t="s">
        <v>1870</v>
      </c>
      <c r="L774" t="s">
        <v>1489</v>
      </c>
      <c r="M774" t="s">
        <v>1489</v>
      </c>
      <c r="N774" t="s">
        <v>1870</v>
      </c>
      <c r="O774" t="s">
        <v>1489</v>
      </c>
      <c r="Q774" s="3">
        <v>0</v>
      </c>
    </row>
    <row r="775" spans="1:18" x14ac:dyDescent="0.3">
      <c r="A775" s="249" t="s">
        <v>1870</v>
      </c>
      <c r="B775" s="246">
        <v>3509</v>
      </c>
      <c r="C775" t="s">
        <v>1870</v>
      </c>
      <c r="D775" t="s">
        <v>1870</v>
      </c>
      <c r="E775" s="7" t="s">
        <v>6</v>
      </c>
      <c r="F775">
        <v>0</v>
      </c>
      <c r="G775" t="s">
        <v>1870</v>
      </c>
      <c r="H775" t="s">
        <v>752</v>
      </c>
      <c r="I775" t="s">
        <v>1489</v>
      </c>
      <c r="J775" t="s">
        <v>1870</v>
      </c>
      <c r="K775" t="s">
        <v>1870</v>
      </c>
      <c r="L775" t="s">
        <v>1489</v>
      </c>
      <c r="M775" t="s">
        <v>1489</v>
      </c>
      <c r="N775" t="s">
        <v>1870</v>
      </c>
      <c r="O775" t="s">
        <v>1489</v>
      </c>
      <c r="Q775" s="3">
        <v>0</v>
      </c>
    </row>
    <row r="776" spans="1:18" x14ac:dyDescent="0.3">
      <c r="A776" s="249" t="s">
        <v>1870</v>
      </c>
      <c r="B776" s="246">
        <v>3509</v>
      </c>
      <c r="C776" t="s">
        <v>1870</v>
      </c>
      <c r="D776" t="s">
        <v>1870</v>
      </c>
      <c r="E776" s="7" t="s">
        <v>28</v>
      </c>
      <c r="F776" s="7">
        <v>1</v>
      </c>
      <c r="G776" t="s">
        <v>1870</v>
      </c>
      <c r="H776" t="s">
        <v>754</v>
      </c>
      <c r="I776" t="s">
        <v>1489</v>
      </c>
      <c r="J776" t="s">
        <v>1870</v>
      </c>
      <c r="K776" t="s">
        <v>1870</v>
      </c>
      <c r="L776" t="s">
        <v>1489</v>
      </c>
      <c r="M776" t="s">
        <v>1489</v>
      </c>
      <c r="N776" t="s">
        <v>1870</v>
      </c>
      <c r="O776" t="s">
        <v>1489</v>
      </c>
      <c r="Q776" s="3">
        <v>0</v>
      </c>
    </row>
    <row r="777" spans="1:18" x14ac:dyDescent="0.3">
      <c r="A777" s="249" t="s">
        <v>1870</v>
      </c>
      <c r="B777" s="246">
        <v>3509</v>
      </c>
      <c r="C777" t="s">
        <v>1870</v>
      </c>
      <c r="D777" t="s">
        <v>1870</v>
      </c>
      <c r="E777" s="7" t="s">
        <v>28</v>
      </c>
      <c r="F777" s="7">
        <v>2</v>
      </c>
      <c r="G777" t="s">
        <v>1870</v>
      </c>
      <c r="H777" t="s">
        <v>756</v>
      </c>
      <c r="I777" t="s">
        <v>1489</v>
      </c>
      <c r="J777" t="s">
        <v>1870</v>
      </c>
      <c r="K777" t="s">
        <v>1870</v>
      </c>
      <c r="L777" t="s">
        <v>1489</v>
      </c>
      <c r="M777" t="s">
        <v>1489</v>
      </c>
      <c r="N777" t="s">
        <v>1870</v>
      </c>
      <c r="O777" t="s">
        <v>1489</v>
      </c>
      <c r="Q777" s="3">
        <v>0</v>
      </c>
    </row>
    <row r="778" spans="1:18" x14ac:dyDescent="0.3">
      <c r="A778" s="249" t="s">
        <v>1870</v>
      </c>
      <c r="B778" s="246">
        <v>3509</v>
      </c>
      <c r="C778" t="s">
        <v>1870</v>
      </c>
      <c r="D778" t="s">
        <v>1870</v>
      </c>
      <c r="E778" s="246" t="s">
        <v>335</v>
      </c>
      <c r="F778" s="7">
        <v>0</v>
      </c>
      <c r="G778" t="s">
        <v>1870</v>
      </c>
      <c r="H778" s="248" t="s">
        <v>758</v>
      </c>
      <c r="I778" s="7" t="s">
        <v>1805</v>
      </c>
      <c r="J778" t="s">
        <v>1870</v>
      </c>
      <c r="K778" t="s">
        <v>1870</v>
      </c>
      <c r="L778" s="246" t="s">
        <v>1842</v>
      </c>
      <c r="M778" s="7" t="s">
        <v>2131</v>
      </c>
      <c r="N778" t="s">
        <v>1870</v>
      </c>
      <c r="O778" s="247" t="s">
        <v>2280</v>
      </c>
      <c r="P778" s="3">
        <v>-7250</v>
      </c>
      <c r="Q778" s="3">
        <v>-9000</v>
      </c>
    </row>
    <row r="779" spans="1:18" x14ac:dyDescent="0.3">
      <c r="A779" s="249" t="s">
        <v>1870</v>
      </c>
      <c r="B779" s="246">
        <v>3509</v>
      </c>
      <c r="C779" t="s">
        <v>1870</v>
      </c>
      <c r="D779" t="s">
        <v>1870</v>
      </c>
      <c r="E779" s="246" t="s">
        <v>335</v>
      </c>
      <c r="F779" s="246">
        <v>1</v>
      </c>
      <c r="G779" t="s">
        <v>1870</v>
      </c>
      <c r="H779" s="248" t="s">
        <v>760</v>
      </c>
      <c r="I779" t="s">
        <v>1805</v>
      </c>
      <c r="J779" t="s">
        <v>1870</v>
      </c>
      <c r="K779" t="s">
        <v>1870</v>
      </c>
      <c r="L779" s="246">
        <v>4612</v>
      </c>
      <c r="M779" t="s">
        <v>2131</v>
      </c>
      <c r="N779" t="s">
        <v>1870</v>
      </c>
      <c r="O779" s="247" t="s">
        <v>2082</v>
      </c>
      <c r="P779" s="3">
        <v>-239501</v>
      </c>
      <c r="Q779" s="3">
        <v>-241214</v>
      </c>
      <c r="R779" s="3">
        <v>-236124</v>
      </c>
    </row>
    <row r="780" spans="1:18" x14ac:dyDescent="0.3">
      <c r="A780" s="249" t="s">
        <v>1870</v>
      </c>
      <c r="B780" s="246">
        <v>3509</v>
      </c>
      <c r="C780" t="s">
        <v>1870</v>
      </c>
      <c r="D780" t="s">
        <v>1870</v>
      </c>
      <c r="E780" s="246" t="s">
        <v>335</v>
      </c>
      <c r="F780" s="246">
        <v>1</v>
      </c>
      <c r="G780" t="s">
        <v>1870</v>
      </c>
      <c r="H780" s="248" t="s">
        <v>760</v>
      </c>
      <c r="I780" s="246" t="s">
        <v>1844</v>
      </c>
      <c r="J780" t="s">
        <v>1870</v>
      </c>
      <c r="K780" t="s">
        <v>1870</v>
      </c>
      <c r="L780">
        <v>4612</v>
      </c>
      <c r="M780" t="s">
        <v>2131</v>
      </c>
      <c r="N780" t="s">
        <v>1870</v>
      </c>
      <c r="O780" s="247" t="s">
        <v>2084</v>
      </c>
      <c r="R780" s="3">
        <v>-5000</v>
      </c>
    </row>
    <row r="781" spans="1:18" x14ac:dyDescent="0.3">
      <c r="A781" s="249" t="s">
        <v>1870</v>
      </c>
      <c r="B781" s="246">
        <v>3509</v>
      </c>
      <c r="C781" t="s">
        <v>1870</v>
      </c>
      <c r="D781" t="s">
        <v>1870</v>
      </c>
      <c r="E781" s="246" t="s">
        <v>61</v>
      </c>
      <c r="F781" s="246">
        <v>0</v>
      </c>
      <c r="G781" t="s">
        <v>1870</v>
      </c>
      <c r="H781" s="248" t="s">
        <v>762</v>
      </c>
      <c r="I781" s="246" t="s">
        <v>1805</v>
      </c>
      <c r="J781" t="s">
        <v>1870</v>
      </c>
      <c r="K781" t="s">
        <v>1870</v>
      </c>
      <c r="L781" s="246" t="s">
        <v>1842</v>
      </c>
      <c r="M781" t="s">
        <v>2131</v>
      </c>
      <c r="N781" t="s">
        <v>1870</v>
      </c>
      <c r="O781" s="247" t="s">
        <v>2280</v>
      </c>
      <c r="P781" s="3">
        <v>-9600</v>
      </c>
      <c r="Q781" s="3">
        <v>0</v>
      </c>
    </row>
    <row r="782" spans="1:18" x14ac:dyDescent="0.3">
      <c r="A782" s="249" t="s">
        <v>1870</v>
      </c>
      <c r="B782" s="246">
        <v>3509</v>
      </c>
      <c r="C782" t="s">
        <v>1870</v>
      </c>
      <c r="D782" t="s">
        <v>1870</v>
      </c>
      <c r="E782" s="7" t="s">
        <v>64</v>
      </c>
      <c r="F782">
        <v>0</v>
      </c>
      <c r="G782" t="s">
        <v>1870</v>
      </c>
      <c r="H782" t="s">
        <v>764</v>
      </c>
      <c r="I782" s="7" t="s">
        <v>1489</v>
      </c>
      <c r="J782" t="s">
        <v>1870</v>
      </c>
      <c r="K782" t="s">
        <v>1870</v>
      </c>
      <c r="L782" s="7" t="s">
        <v>1489</v>
      </c>
      <c r="M782" s="7" t="s">
        <v>1489</v>
      </c>
      <c r="N782" t="s">
        <v>1870</v>
      </c>
      <c r="O782" t="s">
        <v>1489</v>
      </c>
      <c r="Q782" s="3">
        <v>0</v>
      </c>
    </row>
    <row r="783" spans="1:18" x14ac:dyDescent="0.3">
      <c r="A783" s="249" t="s">
        <v>1870</v>
      </c>
      <c r="B783" s="246">
        <v>3510</v>
      </c>
      <c r="C783" t="s">
        <v>1870</v>
      </c>
      <c r="D783" t="s">
        <v>1870</v>
      </c>
      <c r="E783" s="246" t="s">
        <v>25</v>
      </c>
      <c r="F783">
        <v>0</v>
      </c>
      <c r="G783" t="s">
        <v>1870</v>
      </c>
      <c r="H783" s="248" t="s">
        <v>767</v>
      </c>
      <c r="I783" s="246" t="s">
        <v>1806</v>
      </c>
      <c r="J783" t="s">
        <v>1870</v>
      </c>
      <c r="K783" t="s">
        <v>1870</v>
      </c>
      <c r="L783" s="246" t="s">
        <v>1493</v>
      </c>
      <c r="M783" s="7" t="s">
        <v>2131</v>
      </c>
      <c r="N783" t="s">
        <v>1870</v>
      </c>
      <c r="O783" s="247" t="s">
        <v>2286</v>
      </c>
      <c r="Q783" s="3">
        <v>1000</v>
      </c>
    </row>
    <row r="784" spans="1:18" x14ac:dyDescent="0.3">
      <c r="A784" s="249" t="s">
        <v>1870</v>
      </c>
      <c r="B784" s="246">
        <v>3510</v>
      </c>
      <c r="C784" t="s">
        <v>1870</v>
      </c>
      <c r="D784" t="s">
        <v>1870</v>
      </c>
      <c r="E784" s="246" t="s">
        <v>159</v>
      </c>
      <c r="F784">
        <v>0</v>
      </c>
      <c r="G784" t="s">
        <v>1870</v>
      </c>
      <c r="H784" s="248" t="s">
        <v>769</v>
      </c>
      <c r="I784" t="s">
        <v>1806</v>
      </c>
      <c r="J784" t="s">
        <v>1870</v>
      </c>
      <c r="K784" t="s">
        <v>1870</v>
      </c>
      <c r="L784" s="246" t="s">
        <v>1500</v>
      </c>
      <c r="M784" s="246" t="s">
        <v>2132</v>
      </c>
      <c r="N784" t="s">
        <v>1870</v>
      </c>
      <c r="O784" s="247" t="s">
        <v>2282</v>
      </c>
      <c r="P784" s="3">
        <v>2035.65</v>
      </c>
      <c r="Q784" s="3">
        <v>4000</v>
      </c>
    </row>
    <row r="785" spans="1:17" x14ac:dyDescent="0.3">
      <c r="A785" s="249" t="s">
        <v>1870</v>
      </c>
      <c r="B785" s="246">
        <v>3510</v>
      </c>
      <c r="C785" t="s">
        <v>1870</v>
      </c>
      <c r="D785" t="s">
        <v>1870</v>
      </c>
      <c r="E785" s="246" t="s">
        <v>159</v>
      </c>
      <c r="F785" s="246">
        <v>1</v>
      </c>
      <c r="G785" t="s">
        <v>1870</v>
      </c>
      <c r="H785" s="248" t="s">
        <v>771</v>
      </c>
      <c r="I785" t="s">
        <v>1806</v>
      </c>
      <c r="J785" t="s">
        <v>1870</v>
      </c>
      <c r="K785" t="s">
        <v>1870</v>
      </c>
      <c r="L785" t="s">
        <v>1500</v>
      </c>
      <c r="M785" s="246" t="s">
        <v>2131</v>
      </c>
      <c r="N785" t="s">
        <v>1870</v>
      </c>
      <c r="O785" s="247" t="s">
        <v>2283</v>
      </c>
      <c r="P785" s="3">
        <v>4671.6499999999996</v>
      </c>
      <c r="Q785" s="3">
        <v>4800</v>
      </c>
    </row>
    <row r="786" spans="1:17" x14ac:dyDescent="0.3">
      <c r="A786" s="249" t="s">
        <v>1870</v>
      </c>
      <c r="B786" s="246">
        <v>3510</v>
      </c>
      <c r="C786" t="s">
        <v>1870</v>
      </c>
      <c r="D786" t="s">
        <v>1870</v>
      </c>
      <c r="E786" s="246" t="s">
        <v>439</v>
      </c>
      <c r="F786" s="246">
        <v>0</v>
      </c>
      <c r="G786" t="s">
        <v>1870</v>
      </c>
      <c r="H786" s="248" t="s">
        <v>773</v>
      </c>
      <c r="I786" t="s">
        <v>1806</v>
      </c>
      <c r="J786" t="s">
        <v>1870</v>
      </c>
      <c r="K786" t="s">
        <v>1870</v>
      </c>
      <c r="L786" s="246" t="s">
        <v>1426</v>
      </c>
      <c r="M786" t="s">
        <v>2131</v>
      </c>
      <c r="N786" t="s">
        <v>1870</v>
      </c>
      <c r="O786" s="247" t="s">
        <v>2284</v>
      </c>
      <c r="P786" s="3">
        <v>587.35</v>
      </c>
      <c r="Q786" s="3">
        <v>2000</v>
      </c>
    </row>
    <row r="787" spans="1:17" x14ac:dyDescent="0.3">
      <c r="A787" s="249" t="s">
        <v>1870</v>
      </c>
      <c r="B787" s="246">
        <v>3510</v>
      </c>
      <c r="C787" t="s">
        <v>1870</v>
      </c>
      <c r="D787" t="s">
        <v>1870</v>
      </c>
      <c r="E787" s="246" t="s">
        <v>439</v>
      </c>
      <c r="F787" s="246">
        <v>0</v>
      </c>
      <c r="G787" t="s">
        <v>1870</v>
      </c>
      <c r="H787" s="248" t="s">
        <v>773</v>
      </c>
      <c r="I787" t="s">
        <v>1806</v>
      </c>
      <c r="J787" t="s">
        <v>1870</v>
      </c>
      <c r="K787" t="s">
        <v>1870</v>
      </c>
      <c r="L787" s="246" t="s">
        <v>1831</v>
      </c>
      <c r="M787" t="s">
        <v>2131</v>
      </c>
      <c r="N787" t="s">
        <v>1870</v>
      </c>
      <c r="O787" s="247" t="s">
        <v>2285</v>
      </c>
      <c r="Q787" s="3">
        <v>0</v>
      </c>
    </row>
    <row r="788" spans="1:17" x14ac:dyDescent="0.3">
      <c r="A788" s="249" t="s">
        <v>1870</v>
      </c>
      <c r="B788" s="246">
        <v>3510</v>
      </c>
      <c r="C788" t="s">
        <v>1870</v>
      </c>
      <c r="D788" t="s">
        <v>1870</v>
      </c>
      <c r="E788" s="246" t="s">
        <v>439</v>
      </c>
      <c r="F788" s="246">
        <v>0</v>
      </c>
      <c r="G788" t="s">
        <v>1870</v>
      </c>
      <c r="H788" s="248" t="s">
        <v>773</v>
      </c>
      <c r="I788" t="s">
        <v>1806</v>
      </c>
      <c r="J788" t="s">
        <v>1870</v>
      </c>
      <c r="K788" t="s">
        <v>1870</v>
      </c>
      <c r="L788" s="246" t="s">
        <v>1493</v>
      </c>
      <c r="M788" t="s">
        <v>2131</v>
      </c>
      <c r="N788" t="s">
        <v>1870</v>
      </c>
      <c r="O788" s="247" t="s">
        <v>2286</v>
      </c>
      <c r="Q788" s="3">
        <v>0</v>
      </c>
    </row>
    <row r="789" spans="1:17" x14ac:dyDescent="0.3">
      <c r="A789" s="249" t="s">
        <v>1870</v>
      </c>
      <c r="B789" s="246">
        <v>3510</v>
      </c>
      <c r="C789" t="s">
        <v>1870</v>
      </c>
      <c r="D789" t="s">
        <v>1870</v>
      </c>
      <c r="E789" s="246" t="s">
        <v>131</v>
      </c>
      <c r="F789">
        <v>0</v>
      </c>
      <c r="G789" t="s">
        <v>1870</v>
      </c>
      <c r="H789" s="248" t="s">
        <v>775</v>
      </c>
      <c r="I789" t="s">
        <v>1806</v>
      </c>
      <c r="J789" t="s">
        <v>1870</v>
      </c>
      <c r="K789" t="s">
        <v>1870</v>
      </c>
      <c r="L789" s="246" t="s">
        <v>1678</v>
      </c>
      <c r="M789" t="s">
        <v>2131</v>
      </c>
      <c r="N789" t="s">
        <v>1870</v>
      </c>
      <c r="O789" s="247" t="s">
        <v>2287</v>
      </c>
      <c r="Q789" s="3">
        <v>13000</v>
      </c>
    </row>
    <row r="790" spans="1:17" x14ac:dyDescent="0.3">
      <c r="A790" s="249" t="s">
        <v>1870</v>
      </c>
      <c r="B790" s="246">
        <v>3510</v>
      </c>
      <c r="C790" t="s">
        <v>1870</v>
      </c>
      <c r="D790" t="s">
        <v>1870</v>
      </c>
      <c r="E790" s="246" t="s">
        <v>131</v>
      </c>
      <c r="F790" s="246">
        <v>1</v>
      </c>
      <c r="G790" t="s">
        <v>1870</v>
      </c>
      <c r="H790" s="248" t="s">
        <v>777</v>
      </c>
      <c r="I790" t="s">
        <v>1806</v>
      </c>
      <c r="J790" t="s">
        <v>1870</v>
      </c>
      <c r="K790" t="s">
        <v>1870</v>
      </c>
      <c r="L790" t="s">
        <v>1678</v>
      </c>
      <c r="M790" t="s">
        <v>2131</v>
      </c>
      <c r="N790" t="s">
        <v>1870</v>
      </c>
      <c r="O790" s="247" t="s">
        <v>2287</v>
      </c>
      <c r="Q790" s="3">
        <v>250</v>
      </c>
    </row>
    <row r="791" spans="1:17" x14ac:dyDescent="0.3">
      <c r="A791" s="249" t="s">
        <v>1870</v>
      </c>
      <c r="B791" s="246">
        <v>3510</v>
      </c>
      <c r="C791" t="s">
        <v>1870</v>
      </c>
      <c r="D791" t="s">
        <v>1870</v>
      </c>
      <c r="E791" s="246" t="s">
        <v>123</v>
      </c>
      <c r="F791" s="246">
        <v>0</v>
      </c>
      <c r="G791" t="s">
        <v>1870</v>
      </c>
      <c r="H791" s="248" t="s">
        <v>779</v>
      </c>
      <c r="I791" t="s">
        <v>1806</v>
      </c>
      <c r="J791" t="s">
        <v>1870</v>
      </c>
      <c r="K791" t="s">
        <v>1870</v>
      </c>
      <c r="L791" t="s">
        <v>1678</v>
      </c>
      <c r="M791" t="s">
        <v>2131</v>
      </c>
      <c r="N791" t="s">
        <v>1870</v>
      </c>
      <c r="O791" s="247" t="s">
        <v>2287</v>
      </c>
      <c r="P791" s="3">
        <v>908.05</v>
      </c>
      <c r="Q791" s="3">
        <v>2000</v>
      </c>
    </row>
    <row r="792" spans="1:17" x14ac:dyDescent="0.3">
      <c r="A792" s="249" t="s">
        <v>1870</v>
      </c>
      <c r="B792" s="246">
        <v>3510</v>
      </c>
      <c r="C792" t="s">
        <v>1870</v>
      </c>
      <c r="D792" t="s">
        <v>1870</v>
      </c>
      <c r="E792" s="246" t="s">
        <v>123</v>
      </c>
      <c r="F792" s="246">
        <v>1</v>
      </c>
      <c r="G792" t="s">
        <v>1870</v>
      </c>
      <c r="H792" s="248" t="s">
        <v>781</v>
      </c>
      <c r="I792" t="s">
        <v>1806</v>
      </c>
      <c r="J792" t="s">
        <v>1870</v>
      </c>
      <c r="K792" t="s">
        <v>1870</v>
      </c>
      <c r="L792" t="s">
        <v>1678</v>
      </c>
      <c r="M792" t="s">
        <v>2131</v>
      </c>
      <c r="N792" t="s">
        <v>1870</v>
      </c>
      <c r="O792" s="247" t="s">
        <v>2287</v>
      </c>
      <c r="P792" s="3">
        <v>3006.05</v>
      </c>
      <c r="Q792" s="3">
        <v>3000</v>
      </c>
    </row>
    <row r="793" spans="1:17" x14ac:dyDescent="0.3">
      <c r="A793" s="249" t="s">
        <v>1870</v>
      </c>
      <c r="B793" s="246">
        <v>3510</v>
      </c>
      <c r="C793" t="s">
        <v>1870</v>
      </c>
      <c r="D793" t="s">
        <v>1870</v>
      </c>
      <c r="E793" s="246" t="s">
        <v>48</v>
      </c>
      <c r="F793" s="246">
        <v>0</v>
      </c>
      <c r="G793" t="s">
        <v>1870</v>
      </c>
      <c r="H793" s="248" t="s">
        <v>783</v>
      </c>
      <c r="I793" t="s">
        <v>1806</v>
      </c>
      <c r="J793" t="s">
        <v>1870</v>
      </c>
      <c r="K793" t="s">
        <v>1870</v>
      </c>
      <c r="L793" s="246">
        <v>3130</v>
      </c>
      <c r="M793" s="246" t="s">
        <v>2133</v>
      </c>
      <c r="N793" t="s">
        <v>1870</v>
      </c>
      <c r="O793" s="247" t="s">
        <v>2289</v>
      </c>
      <c r="P793" s="3">
        <v>2693.5</v>
      </c>
      <c r="Q793" s="3">
        <v>2500</v>
      </c>
    </row>
    <row r="794" spans="1:17" x14ac:dyDescent="0.3">
      <c r="A794" s="249" t="s">
        <v>1870</v>
      </c>
      <c r="B794" s="246">
        <v>3510</v>
      </c>
      <c r="C794" t="s">
        <v>1870</v>
      </c>
      <c r="D794" t="s">
        <v>1870</v>
      </c>
      <c r="E794" s="246" t="s">
        <v>48</v>
      </c>
      <c r="F794" s="246">
        <v>0</v>
      </c>
      <c r="G794" t="s">
        <v>1870</v>
      </c>
      <c r="H794" s="248" t="s">
        <v>783</v>
      </c>
      <c r="I794" t="s">
        <v>1806</v>
      </c>
      <c r="J794" t="s">
        <v>1870</v>
      </c>
      <c r="K794" t="s">
        <v>1870</v>
      </c>
      <c r="L794" s="246" t="s">
        <v>1418</v>
      </c>
      <c r="M794" s="246" t="s">
        <v>2131</v>
      </c>
      <c r="N794" t="s">
        <v>1870</v>
      </c>
      <c r="O794" s="247" t="s">
        <v>2288</v>
      </c>
      <c r="Q794" s="3">
        <v>0</v>
      </c>
    </row>
    <row r="795" spans="1:17" x14ac:dyDescent="0.3">
      <c r="A795" s="249" t="s">
        <v>1870</v>
      </c>
      <c r="B795" s="246">
        <v>3510</v>
      </c>
      <c r="C795" t="s">
        <v>1870</v>
      </c>
      <c r="D795" t="s">
        <v>1870</v>
      </c>
      <c r="E795" s="7" t="s">
        <v>164</v>
      </c>
      <c r="F795">
        <v>0</v>
      </c>
      <c r="G795" t="s">
        <v>1870</v>
      </c>
      <c r="H795" t="s">
        <v>785</v>
      </c>
      <c r="I795" s="7" t="s">
        <v>1489</v>
      </c>
      <c r="J795" t="s">
        <v>1870</v>
      </c>
      <c r="K795" t="s">
        <v>1870</v>
      </c>
      <c r="L795" s="7" t="s">
        <v>1489</v>
      </c>
      <c r="M795" s="7" t="s">
        <v>1489</v>
      </c>
      <c r="N795" t="s">
        <v>1870</v>
      </c>
      <c r="O795" t="s">
        <v>1489</v>
      </c>
      <c r="Q795" s="3">
        <v>0</v>
      </c>
    </row>
    <row r="796" spans="1:17" x14ac:dyDescent="0.3">
      <c r="A796" s="249" t="s">
        <v>1870</v>
      </c>
      <c r="B796" s="246">
        <v>3510</v>
      </c>
      <c r="C796" t="s">
        <v>1870</v>
      </c>
      <c r="D796" t="s">
        <v>1870</v>
      </c>
      <c r="E796" s="7" t="s">
        <v>96</v>
      </c>
      <c r="F796">
        <v>0</v>
      </c>
      <c r="G796" t="s">
        <v>1870</v>
      </c>
      <c r="H796" t="s">
        <v>787</v>
      </c>
      <c r="I796" t="s">
        <v>1489</v>
      </c>
      <c r="J796" t="s">
        <v>1870</v>
      </c>
      <c r="K796" t="s">
        <v>1870</v>
      </c>
      <c r="L796" t="s">
        <v>1489</v>
      </c>
      <c r="M796" t="s">
        <v>1489</v>
      </c>
      <c r="N796" t="s">
        <v>1870</v>
      </c>
      <c r="O796" t="s">
        <v>1489</v>
      </c>
      <c r="Q796" s="3">
        <v>0</v>
      </c>
    </row>
    <row r="797" spans="1:17" x14ac:dyDescent="0.3">
      <c r="A797" s="249" t="s">
        <v>1870</v>
      </c>
      <c r="B797" s="246">
        <v>3510</v>
      </c>
      <c r="C797" t="s">
        <v>1870</v>
      </c>
      <c r="D797" t="s">
        <v>1870</v>
      </c>
      <c r="E797" s="7" t="s">
        <v>6</v>
      </c>
      <c r="F797">
        <v>0</v>
      </c>
      <c r="G797" t="s">
        <v>1870</v>
      </c>
      <c r="H797" t="s">
        <v>789</v>
      </c>
      <c r="I797" t="s">
        <v>1489</v>
      </c>
      <c r="J797" t="s">
        <v>1870</v>
      </c>
      <c r="K797" t="s">
        <v>1870</v>
      </c>
      <c r="L797" t="s">
        <v>1489</v>
      </c>
      <c r="M797" t="s">
        <v>1489</v>
      </c>
      <c r="N797" t="s">
        <v>1870</v>
      </c>
      <c r="O797" t="s">
        <v>1489</v>
      </c>
      <c r="Q797" s="3">
        <v>0</v>
      </c>
    </row>
    <row r="798" spans="1:17" x14ac:dyDescent="0.3">
      <c r="A798" s="249" t="s">
        <v>1870</v>
      </c>
      <c r="B798" s="246">
        <v>3510</v>
      </c>
      <c r="C798" t="s">
        <v>1870</v>
      </c>
      <c r="D798" t="s">
        <v>1870</v>
      </c>
      <c r="E798" s="7" t="s">
        <v>28</v>
      </c>
      <c r="F798" s="7">
        <v>1</v>
      </c>
      <c r="G798" t="s">
        <v>1870</v>
      </c>
      <c r="H798" t="s">
        <v>791</v>
      </c>
      <c r="I798" t="s">
        <v>1489</v>
      </c>
      <c r="J798" t="s">
        <v>1870</v>
      </c>
      <c r="K798" t="s">
        <v>1870</v>
      </c>
      <c r="L798" t="s">
        <v>1489</v>
      </c>
      <c r="M798" t="s">
        <v>1489</v>
      </c>
      <c r="N798" t="s">
        <v>1870</v>
      </c>
      <c r="O798" t="s">
        <v>1489</v>
      </c>
      <c r="Q798" s="3">
        <v>0</v>
      </c>
    </row>
    <row r="799" spans="1:17" x14ac:dyDescent="0.3">
      <c r="A799" s="249" t="s">
        <v>1870</v>
      </c>
      <c r="B799" s="246">
        <v>3510</v>
      </c>
      <c r="C799" t="s">
        <v>1870</v>
      </c>
      <c r="D799" t="s">
        <v>1870</v>
      </c>
      <c r="E799" s="246" t="s">
        <v>335</v>
      </c>
      <c r="F799" s="7">
        <v>0</v>
      </c>
      <c r="G799" t="s">
        <v>1870</v>
      </c>
      <c r="H799" s="248" t="s">
        <v>793</v>
      </c>
      <c r="I799" s="7" t="s">
        <v>1806</v>
      </c>
      <c r="J799" t="s">
        <v>1870</v>
      </c>
      <c r="K799" t="s">
        <v>1870</v>
      </c>
      <c r="L799" s="246" t="s">
        <v>1842</v>
      </c>
      <c r="M799" s="7" t="s">
        <v>2131</v>
      </c>
      <c r="N799" t="s">
        <v>1870</v>
      </c>
      <c r="O799" s="247" t="s">
        <v>2290</v>
      </c>
      <c r="P799" s="3">
        <v>-10545</v>
      </c>
      <c r="Q799" s="3">
        <v>-10000</v>
      </c>
    </row>
    <row r="800" spans="1:17" x14ac:dyDescent="0.3">
      <c r="A800" s="249" t="s">
        <v>1870</v>
      </c>
      <c r="B800" s="246">
        <v>3510</v>
      </c>
      <c r="C800" t="s">
        <v>1870</v>
      </c>
      <c r="D800" t="s">
        <v>1870</v>
      </c>
      <c r="E800" s="246" t="s">
        <v>335</v>
      </c>
      <c r="F800" s="7">
        <v>0</v>
      </c>
      <c r="G800" t="s">
        <v>1870</v>
      </c>
      <c r="H800" s="248" t="s">
        <v>793</v>
      </c>
      <c r="I800" s="7" t="s">
        <v>1806</v>
      </c>
      <c r="J800" t="s">
        <v>1870</v>
      </c>
      <c r="K800" t="s">
        <v>1870</v>
      </c>
      <c r="L800" s="246" t="s">
        <v>1856</v>
      </c>
      <c r="M800" t="s">
        <v>2131</v>
      </c>
      <c r="N800" t="s">
        <v>1870</v>
      </c>
      <c r="O800" s="247" t="s">
        <v>2093</v>
      </c>
      <c r="Q800" s="3">
        <v>0</v>
      </c>
    </row>
    <row r="801" spans="1:17" x14ac:dyDescent="0.3">
      <c r="A801" s="249" t="s">
        <v>1870</v>
      </c>
      <c r="B801" s="246">
        <v>3510</v>
      </c>
      <c r="C801" t="s">
        <v>1870</v>
      </c>
      <c r="D801" t="s">
        <v>1870</v>
      </c>
      <c r="E801" s="246" t="s">
        <v>61</v>
      </c>
      <c r="F801">
        <v>0</v>
      </c>
      <c r="G801" t="s">
        <v>1870</v>
      </c>
      <c r="H801" s="248" t="s">
        <v>795</v>
      </c>
      <c r="I801" t="s">
        <v>1806</v>
      </c>
      <c r="J801" t="s">
        <v>1870</v>
      </c>
      <c r="K801" t="s">
        <v>1870</v>
      </c>
      <c r="L801" t="s">
        <v>1856</v>
      </c>
      <c r="M801" s="246" t="s">
        <v>2132</v>
      </c>
      <c r="N801" t="s">
        <v>1870</v>
      </c>
      <c r="O801" s="247" t="s">
        <v>2291</v>
      </c>
      <c r="P801" s="3">
        <v>-504</v>
      </c>
      <c r="Q801" s="3">
        <v>0</v>
      </c>
    </row>
    <row r="802" spans="1:17" x14ac:dyDescent="0.3">
      <c r="A802" s="249" t="s">
        <v>1870</v>
      </c>
      <c r="B802" s="246">
        <v>3510</v>
      </c>
      <c r="C802" t="s">
        <v>1870</v>
      </c>
      <c r="D802" t="s">
        <v>1870</v>
      </c>
      <c r="E802" s="7" t="s">
        <v>64</v>
      </c>
      <c r="F802">
        <v>0</v>
      </c>
      <c r="G802" t="s">
        <v>1870</v>
      </c>
      <c r="H802" t="s">
        <v>797</v>
      </c>
      <c r="I802" s="7" t="s">
        <v>1489</v>
      </c>
      <c r="J802" t="s">
        <v>1870</v>
      </c>
      <c r="K802" t="s">
        <v>1870</v>
      </c>
      <c r="L802" s="7" t="s">
        <v>1489</v>
      </c>
      <c r="M802" s="7" t="s">
        <v>1489</v>
      </c>
      <c r="N802" t="s">
        <v>1870</v>
      </c>
      <c r="O802" t="s">
        <v>1489</v>
      </c>
      <c r="Q802" s="3">
        <v>0</v>
      </c>
    </row>
    <row r="803" spans="1:17" x14ac:dyDescent="0.3">
      <c r="A803" s="249" t="s">
        <v>1870</v>
      </c>
      <c r="B803" s="246">
        <v>3511</v>
      </c>
      <c r="C803" t="s">
        <v>1870</v>
      </c>
      <c r="D803" t="s">
        <v>1870</v>
      </c>
      <c r="E803" s="246" t="s">
        <v>25</v>
      </c>
      <c r="F803">
        <v>0</v>
      </c>
      <c r="G803" t="s">
        <v>1870</v>
      </c>
      <c r="H803" s="248" t="s">
        <v>800</v>
      </c>
      <c r="I803" s="246" t="s">
        <v>1808</v>
      </c>
      <c r="J803" t="s">
        <v>1870</v>
      </c>
      <c r="K803" t="s">
        <v>1870</v>
      </c>
      <c r="L803" s="246" t="s">
        <v>1504</v>
      </c>
      <c r="M803" s="246" t="s">
        <v>2137</v>
      </c>
      <c r="N803" t="s">
        <v>1870</v>
      </c>
      <c r="O803" s="247" t="s">
        <v>2223</v>
      </c>
      <c r="Q803" s="3">
        <v>100</v>
      </c>
    </row>
    <row r="804" spans="1:17" x14ac:dyDescent="0.3">
      <c r="A804" s="249" t="s">
        <v>1870</v>
      </c>
      <c r="B804" s="246">
        <v>3511</v>
      </c>
      <c r="C804" t="s">
        <v>1870</v>
      </c>
      <c r="D804" t="s">
        <v>1870</v>
      </c>
      <c r="E804" s="7" t="s">
        <v>159</v>
      </c>
      <c r="F804">
        <v>0</v>
      </c>
      <c r="G804" t="s">
        <v>1870</v>
      </c>
      <c r="H804" t="s">
        <v>802</v>
      </c>
      <c r="I804" s="7" t="s">
        <v>1489</v>
      </c>
      <c r="J804" t="s">
        <v>1870</v>
      </c>
      <c r="K804" t="s">
        <v>1870</v>
      </c>
      <c r="L804" s="7" t="s">
        <v>1489</v>
      </c>
      <c r="M804" s="7" t="s">
        <v>1489</v>
      </c>
      <c r="N804" t="s">
        <v>1870</v>
      </c>
      <c r="O804" t="s">
        <v>1489</v>
      </c>
      <c r="Q804" s="3">
        <v>0</v>
      </c>
    </row>
    <row r="805" spans="1:17" x14ac:dyDescent="0.3">
      <c r="A805" s="249" t="s">
        <v>1870</v>
      </c>
      <c r="B805" s="246">
        <v>3511</v>
      </c>
      <c r="C805" t="s">
        <v>1870</v>
      </c>
      <c r="D805" t="s">
        <v>1870</v>
      </c>
      <c r="E805" s="7" t="s">
        <v>439</v>
      </c>
      <c r="F805">
        <v>0</v>
      </c>
      <c r="G805" t="s">
        <v>1870</v>
      </c>
      <c r="H805" t="s">
        <v>804</v>
      </c>
      <c r="I805" t="s">
        <v>1489</v>
      </c>
      <c r="J805" t="s">
        <v>1870</v>
      </c>
      <c r="K805" t="s">
        <v>1870</v>
      </c>
      <c r="L805" t="s">
        <v>1489</v>
      </c>
      <c r="M805" t="s">
        <v>1489</v>
      </c>
      <c r="N805" t="s">
        <v>1870</v>
      </c>
      <c r="O805" t="s">
        <v>1489</v>
      </c>
      <c r="Q805" s="3">
        <v>0</v>
      </c>
    </row>
    <row r="806" spans="1:17" x14ac:dyDescent="0.3">
      <c r="A806" s="249" t="s">
        <v>1870</v>
      </c>
      <c r="B806" s="246">
        <v>3511</v>
      </c>
      <c r="C806" t="s">
        <v>1870</v>
      </c>
      <c r="D806" t="s">
        <v>1870</v>
      </c>
      <c r="E806" s="246" t="s">
        <v>131</v>
      </c>
      <c r="F806">
        <v>0</v>
      </c>
      <c r="G806" t="s">
        <v>1870</v>
      </c>
      <c r="H806" s="248" t="s">
        <v>806</v>
      </c>
      <c r="I806" s="7" t="s">
        <v>1808</v>
      </c>
      <c r="J806" t="s">
        <v>1870</v>
      </c>
      <c r="K806" t="s">
        <v>1870</v>
      </c>
      <c r="L806" s="246" t="s">
        <v>1812</v>
      </c>
      <c r="M806" s="246" t="s">
        <v>2131</v>
      </c>
      <c r="N806" t="s">
        <v>1870</v>
      </c>
      <c r="O806" s="247" t="s">
        <v>2224</v>
      </c>
      <c r="P806" s="3">
        <v>310.8</v>
      </c>
      <c r="Q806" s="3">
        <v>10000</v>
      </c>
    </row>
    <row r="807" spans="1:17" x14ac:dyDescent="0.3">
      <c r="A807" s="249" t="s">
        <v>1870</v>
      </c>
      <c r="B807" s="246">
        <v>3511</v>
      </c>
      <c r="C807" t="s">
        <v>1870</v>
      </c>
      <c r="D807" t="s">
        <v>1870</v>
      </c>
      <c r="E807" s="246" t="s">
        <v>131</v>
      </c>
      <c r="F807" s="246">
        <v>1</v>
      </c>
      <c r="G807" t="s">
        <v>1870</v>
      </c>
      <c r="H807" s="248" t="s">
        <v>808</v>
      </c>
      <c r="I807" t="s">
        <v>1808</v>
      </c>
      <c r="J807" t="s">
        <v>1870</v>
      </c>
      <c r="K807" t="s">
        <v>1870</v>
      </c>
      <c r="L807" t="s">
        <v>1812</v>
      </c>
      <c r="M807" t="s">
        <v>2131</v>
      </c>
      <c r="N807" t="s">
        <v>1870</v>
      </c>
      <c r="O807" s="247" t="s">
        <v>2224</v>
      </c>
      <c r="P807" s="3">
        <v>540.5</v>
      </c>
      <c r="Q807" s="3">
        <v>540</v>
      </c>
    </row>
    <row r="808" spans="1:17" x14ac:dyDescent="0.3">
      <c r="A808" s="249" t="s">
        <v>1870</v>
      </c>
      <c r="B808" s="246">
        <v>3511</v>
      </c>
      <c r="C808" t="s">
        <v>1870</v>
      </c>
      <c r="D808" t="s">
        <v>1870</v>
      </c>
      <c r="E808" s="246" t="s">
        <v>131</v>
      </c>
      <c r="F808" s="246">
        <v>2</v>
      </c>
      <c r="G808" t="s">
        <v>1870</v>
      </c>
      <c r="H808" s="248" t="s">
        <v>810</v>
      </c>
      <c r="I808" t="s">
        <v>1808</v>
      </c>
      <c r="J808" t="s">
        <v>1870</v>
      </c>
      <c r="K808" t="s">
        <v>1870</v>
      </c>
      <c r="L808" s="246" t="s">
        <v>1822</v>
      </c>
      <c r="M808" t="s">
        <v>2131</v>
      </c>
      <c r="N808" t="s">
        <v>1870</v>
      </c>
      <c r="O808" s="247" t="s">
        <v>2225</v>
      </c>
      <c r="Q808" s="3">
        <v>0</v>
      </c>
    </row>
    <row r="809" spans="1:17" x14ac:dyDescent="0.3">
      <c r="A809" s="249" t="s">
        <v>1870</v>
      </c>
      <c r="B809" s="246">
        <v>3511</v>
      </c>
      <c r="C809" t="s">
        <v>1870</v>
      </c>
      <c r="D809" t="s">
        <v>1870</v>
      </c>
      <c r="E809" s="246" t="s">
        <v>131</v>
      </c>
      <c r="F809" s="246">
        <v>2</v>
      </c>
      <c r="G809" t="s">
        <v>1870</v>
      </c>
      <c r="H809" s="248" t="s">
        <v>810</v>
      </c>
      <c r="I809" t="s">
        <v>1808</v>
      </c>
      <c r="J809" t="s">
        <v>1870</v>
      </c>
      <c r="K809" t="s">
        <v>1870</v>
      </c>
      <c r="L809" s="246" t="s">
        <v>1812</v>
      </c>
      <c r="M809" t="s">
        <v>2131</v>
      </c>
      <c r="N809" t="s">
        <v>1870</v>
      </c>
      <c r="O809" s="247" t="s">
        <v>2224</v>
      </c>
      <c r="P809" s="3">
        <v>54986.93</v>
      </c>
      <c r="Q809" s="3">
        <v>40000</v>
      </c>
    </row>
    <row r="810" spans="1:17" x14ac:dyDescent="0.3">
      <c r="A810" s="249" t="s">
        <v>1870</v>
      </c>
      <c r="B810" s="246">
        <v>3511</v>
      </c>
      <c r="C810" t="s">
        <v>1870</v>
      </c>
      <c r="D810" t="s">
        <v>1870</v>
      </c>
      <c r="E810" s="246" t="s">
        <v>131</v>
      </c>
      <c r="F810" s="246">
        <v>2</v>
      </c>
      <c r="G810" t="s">
        <v>1870</v>
      </c>
      <c r="H810" s="248" t="s">
        <v>810</v>
      </c>
      <c r="I810" t="s">
        <v>1808</v>
      </c>
      <c r="J810" t="s">
        <v>1870</v>
      </c>
      <c r="K810" t="s">
        <v>1870</v>
      </c>
      <c r="L810" s="246" t="s">
        <v>1504</v>
      </c>
      <c r="M810" t="s">
        <v>2131</v>
      </c>
      <c r="N810" t="s">
        <v>1870</v>
      </c>
      <c r="O810" s="247" t="s">
        <v>2226</v>
      </c>
      <c r="Q810" s="3">
        <v>0</v>
      </c>
    </row>
    <row r="811" spans="1:17" x14ac:dyDescent="0.3">
      <c r="A811" s="249" t="s">
        <v>1870</v>
      </c>
      <c r="B811" s="246">
        <v>3511</v>
      </c>
      <c r="C811" t="s">
        <v>1870</v>
      </c>
      <c r="D811" t="s">
        <v>1870</v>
      </c>
      <c r="E811" s="246" t="s">
        <v>131</v>
      </c>
      <c r="F811" s="246">
        <v>2</v>
      </c>
      <c r="G811" t="s">
        <v>1870</v>
      </c>
      <c r="H811" s="248" t="s">
        <v>810</v>
      </c>
      <c r="I811" t="s">
        <v>1808</v>
      </c>
      <c r="J811" t="s">
        <v>1870</v>
      </c>
      <c r="K811" t="s">
        <v>1870</v>
      </c>
      <c r="L811" s="246" t="s">
        <v>1504</v>
      </c>
      <c r="M811" s="246" t="s">
        <v>2132</v>
      </c>
      <c r="N811" t="s">
        <v>1870</v>
      </c>
      <c r="O811" s="247" t="s">
        <v>2227</v>
      </c>
      <c r="Q811" s="3">
        <v>0</v>
      </c>
    </row>
    <row r="812" spans="1:17" x14ac:dyDescent="0.3">
      <c r="A812" s="249" t="s">
        <v>1870</v>
      </c>
      <c r="B812" s="246">
        <v>3511</v>
      </c>
      <c r="C812" t="s">
        <v>1870</v>
      </c>
      <c r="D812" t="s">
        <v>1870</v>
      </c>
      <c r="E812" s="246" t="s">
        <v>131</v>
      </c>
      <c r="F812" s="246">
        <v>2</v>
      </c>
      <c r="G812" t="s">
        <v>1870</v>
      </c>
      <c r="H812" s="248" t="s">
        <v>810</v>
      </c>
      <c r="I812" t="s">
        <v>1808</v>
      </c>
      <c r="J812" t="s">
        <v>1870</v>
      </c>
      <c r="K812" t="s">
        <v>1870</v>
      </c>
      <c r="L812" s="246" t="s">
        <v>1504</v>
      </c>
      <c r="M812" s="246" t="s">
        <v>2133</v>
      </c>
      <c r="N812" t="s">
        <v>1870</v>
      </c>
      <c r="O812" s="247" t="s">
        <v>2228</v>
      </c>
      <c r="Q812" s="3">
        <v>0</v>
      </c>
    </row>
    <row r="813" spans="1:17" x14ac:dyDescent="0.3">
      <c r="A813" s="249" t="s">
        <v>1870</v>
      </c>
      <c r="B813" s="246">
        <v>3511</v>
      </c>
      <c r="C813" t="s">
        <v>1870</v>
      </c>
      <c r="D813" t="s">
        <v>1870</v>
      </c>
      <c r="E813" s="246" t="s">
        <v>131</v>
      </c>
      <c r="F813" s="246">
        <v>2</v>
      </c>
      <c r="G813" t="s">
        <v>1870</v>
      </c>
      <c r="H813" s="248" t="s">
        <v>810</v>
      </c>
      <c r="I813" t="s">
        <v>1808</v>
      </c>
      <c r="J813" t="s">
        <v>1870</v>
      </c>
      <c r="K813" t="s">
        <v>1870</v>
      </c>
      <c r="L813" s="246" t="s">
        <v>1504</v>
      </c>
      <c r="M813" s="246" t="s">
        <v>2134</v>
      </c>
      <c r="N813" t="s">
        <v>1870</v>
      </c>
      <c r="O813" s="247" t="s">
        <v>2229</v>
      </c>
      <c r="Q813" s="3">
        <v>0</v>
      </c>
    </row>
    <row r="814" spans="1:17" x14ac:dyDescent="0.3">
      <c r="A814" s="249" t="s">
        <v>1870</v>
      </c>
      <c r="B814" s="246">
        <v>3511</v>
      </c>
      <c r="C814" t="s">
        <v>1870</v>
      </c>
      <c r="D814" t="s">
        <v>1870</v>
      </c>
      <c r="E814" s="246" t="s">
        <v>131</v>
      </c>
      <c r="F814" s="246">
        <v>2</v>
      </c>
      <c r="G814" t="s">
        <v>1870</v>
      </c>
      <c r="H814" s="248" t="s">
        <v>810</v>
      </c>
      <c r="I814" t="s">
        <v>1808</v>
      </c>
      <c r="J814" t="s">
        <v>1870</v>
      </c>
      <c r="K814" t="s">
        <v>1870</v>
      </c>
      <c r="L814" s="246" t="s">
        <v>1504</v>
      </c>
      <c r="M814" s="246" t="s">
        <v>2135</v>
      </c>
      <c r="N814" t="s">
        <v>1870</v>
      </c>
      <c r="O814" s="247" t="s">
        <v>2230</v>
      </c>
      <c r="Q814" s="3">
        <v>0</v>
      </c>
    </row>
    <row r="815" spans="1:17" x14ac:dyDescent="0.3">
      <c r="A815" s="249" t="s">
        <v>1870</v>
      </c>
      <c r="B815" s="246">
        <v>3511</v>
      </c>
      <c r="C815" t="s">
        <v>1870</v>
      </c>
      <c r="D815" t="s">
        <v>1870</v>
      </c>
      <c r="E815" s="7" t="s">
        <v>123</v>
      </c>
      <c r="F815" s="7">
        <v>0</v>
      </c>
      <c r="G815" t="s">
        <v>1870</v>
      </c>
      <c r="H815" t="s">
        <v>812</v>
      </c>
      <c r="I815" s="7" t="s">
        <v>1489</v>
      </c>
      <c r="J815" t="s">
        <v>1870</v>
      </c>
      <c r="K815" t="s">
        <v>1870</v>
      </c>
      <c r="L815" s="7" t="s">
        <v>1489</v>
      </c>
      <c r="M815" s="7" t="s">
        <v>1489</v>
      </c>
      <c r="N815" t="s">
        <v>1870</v>
      </c>
      <c r="O815" t="s">
        <v>1489</v>
      </c>
      <c r="Q815" s="3">
        <v>0</v>
      </c>
    </row>
    <row r="816" spans="1:17" x14ac:dyDescent="0.3">
      <c r="A816" s="249" t="s">
        <v>1870</v>
      </c>
      <c r="B816" s="246">
        <v>3511</v>
      </c>
      <c r="C816" t="s">
        <v>1870</v>
      </c>
      <c r="D816" t="s">
        <v>1870</v>
      </c>
      <c r="E816" s="7" t="s">
        <v>123</v>
      </c>
      <c r="F816" s="7">
        <v>1</v>
      </c>
      <c r="G816" t="s">
        <v>1870</v>
      </c>
      <c r="H816" t="s">
        <v>814</v>
      </c>
      <c r="I816" t="s">
        <v>1489</v>
      </c>
      <c r="J816" t="s">
        <v>1870</v>
      </c>
      <c r="K816" t="s">
        <v>1870</v>
      </c>
      <c r="L816" t="s">
        <v>1489</v>
      </c>
      <c r="M816" t="s">
        <v>1489</v>
      </c>
      <c r="N816" t="s">
        <v>1870</v>
      </c>
      <c r="O816" t="s">
        <v>1489</v>
      </c>
      <c r="Q816" s="3">
        <v>0</v>
      </c>
    </row>
    <row r="817" spans="1:17" x14ac:dyDescent="0.3">
      <c r="A817" s="249" t="s">
        <v>1870</v>
      </c>
      <c r="B817" s="246">
        <v>3511</v>
      </c>
      <c r="C817" t="s">
        <v>1870</v>
      </c>
      <c r="D817" t="s">
        <v>1870</v>
      </c>
      <c r="E817" s="7" t="s">
        <v>48</v>
      </c>
      <c r="F817" s="7">
        <v>0</v>
      </c>
      <c r="G817" t="s">
        <v>1870</v>
      </c>
      <c r="H817" t="s">
        <v>816</v>
      </c>
      <c r="I817" t="s">
        <v>1489</v>
      </c>
      <c r="J817" t="s">
        <v>1870</v>
      </c>
      <c r="K817" t="s">
        <v>1870</v>
      </c>
      <c r="L817" t="s">
        <v>1489</v>
      </c>
      <c r="M817" t="s">
        <v>1489</v>
      </c>
      <c r="N817" t="s">
        <v>1870</v>
      </c>
      <c r="O817" t="s">
        <v>1489</v>
      </c>
      <c r="Q817" s="3">
        <v>0</v>
      </c>
    </row>
    <row r="818" spans="1:17" x14ac:dyDescent="0.3">
      <c r="A818" s="249" t="s">
        <v>1870</v>
      </c>
      <c r="B818" s="246">
        <v>3511</v>
      </c>
      <c r="C818" t="s">
        <v>1870</v>
      </c>
      <c r="D818" t="s">
        <v>1870</v>
      </c>
      <c r="E818" s="7" t="s">
        <v>53</v>
      </c>
      <c r="F818">
        <v>0</v>
      </c>
      <c r="G818" t="s">
        <v>1870</v>
      </c>
      <c r="H818" t="s">
        <v>818</v>
      </c>
      <c r="I818" t="s">
        <v>1489</v>
      </c>
      <c r="J818" t="s">
        <v>1870</v>
      </c>
      <c r="K818" t="s">
        <v>1870</v>
      </c>
      <c r="L818" t="s">
        <v>1489</v>
      </c>
      <c r="M818" t="s">
        <v>1489</v>
      </c>
      <c r="N818" t="s">
        <v>1870</v>
      </c>
      <c r="O818" t="s">
        <v>1489</v>
      </c>
      <c r="Q818" s="3">
        <v>0</v>
      </c>
    </row>
    <row r="819" spans="1:17" x14ac:dyDescent="0.3">
      <c r="A819" s="249" t="s">
        <v>1870</v>
      </c>
      <c r="B819" s="246">
        <v>3511</v>
      </c>
      <c r="C819" t="s">
        <v>1870</v>
      </c>
      <c r="D819" t="s">
        <v>1870</v>
      </c>
      <c r="E819" s="7" t="s">
        <v>164</v>
      </c>
      <c r="F819">
        <v>0</v>
      </c>
      <c r="G819" t="s">
        <v>1870</v>
      </c>
      <c r="H819" t="s">
        <v>820</v>
      </c>
      <c r="I819" t="s">
        <v>1489</v>
      </c>
      <c r="J819" t="s">
        <v>1870</v>
      </c>
      <c r="K819" t="s">
        <v>1870</v>
      </c>
      <c r="L819" t="s">
        <v>1489</v>
      </c>
      <c r="M819" t="s">
        <v>1489</v>
      </c>
      <c r="N819" t="s">
        <v>1870</v>
      </c>
      <c r="O819" t="s">
        <v>1489</v>
      </c>
      <c r="Q819" s="3">
        <v>0</v>
      </c>
    </row>
    <row r="820" spans="1:17" x14ac:dyDescent="0.3">
      <c r="A820" s="249" t="s">
        <v>1870</v>
      </c>
      <c r="B820" s="246">
        <v>3511</v>
      </c>
      <c r="C820" t="s">
        <v>1870</v>
      </c>
      <c r="D820" t="s">
        <v>1870</v>
      </c>
      <c r="E820" s="7" t="s">
        <v>6</v>
      </c>
      <c r="F820">
        <v>0</v>
      </c>
      <c r="G820" t="s">
        <v>1870</v>
      </c>
      <c r="H820" t="s">
        <v>822</v>
      </c>
      <c r="I820" t="s">
        <v>1489</v>
      </c>
      <c r="J820" t="s">
        <v>1870</v>
      </c>
      <c r="K820" t="s">
        <v>1870</v>
      </c>
      <c r="L820" t="s">
        <v>1489</v>
      </c>
      <c r="M820" t="s">
        <v>1489</v>
      </c>
      <c r="N820" t="s">
        <v>1870</v>
      </c>
      <c r="O820" t="s">
        <v>1489</v>
      </c>
      <c r="Q820" s="3">
        <v>0</v>
      </c>
    </row>
    <row r="821" spans="1:17" x14ac:dyDescent="0.3">
      <c r="A821" s="249" t="s">
        <v>1870</v>
      </c>
      <c r="B821" s="246">
        <v>3511</v>
      </c>
      <c r="C821" t="s">
        <v>1870</v>
      </c>
      <c r="D821" t="s">
        <v>1870</v>
      </c>
      <c r="E821" s="246" t="s">
        <v>335</v>
      </c>
      <c r="F821">
        <v>0</v>
      </c>
      <c r="G821" t="s">
        <v>1870</v>
      </c>
      <c r="H821" t="s">
        <v>824</v>
      </c>
      <c r="I821" t="s">
        <v>1489</v>
      </c>
      <c r="J821" t="s">
        <v>1870</v>
      </c>
      <c r="K821" t="s">
        <v>1870</v>
      </c>
      <c r="L821" t="s">
        <v>1489</v>
      </c>
      <c r="M821" t="s">
        <v>1489</v>
      </c>
      <c r="N821" t="s">
        <v>1870</v>
      </c>
      <c r="O821" t="s">
        <v>1489</v>
      </c>
      <c r="Q821" s="3">
        <v>0</v>
      </c>
    </row>
    <row r="822" spans="1:17" x14ac:dyDescent="0.3">
      <c r="A822" s="249" t="s">
        <v>1870</v>
      </c>
      <c r="B822" s="246">
        <v>3511</v>
      </c>
      <c r="C822" t="s">
        <v>1870</v>
      </c>
      <c r="D822" t="s">
        <v>1870</v>
      </c>
      <c r="E822" s="246" t="s">
        <v>335</v>
      </c>
      <c r="F822" s="7">
        <v>2</v>
      </c>
      <c r="G822" t="s">
        <v>1870</v>
      </c>
      <c r="H822" s="248" t="s">
        <v>826</v>
      </c>
      <c r="I822" s="7" t="s">
        <v>1808</v>
      </c>
      <c r="J822" t="s">
        <v>1870</v>
      </c>
      <c r="K822" t="s">
        <v>1870</v>
      </c>
      <c r="L822" s="246" t="s">
        <v>1813</v>
      </c>
      <c r="M822" s="246" t="s">
        <v>2131</v>
      </c>
      <c r="N822" t="s">
        <v>1870</v>
      </c>
      <c r="O822" s="247" t="s">
        <v>2231</v>
      </c>
      <c r="P822" s="3">
        <v>-263008.40000000002</v>
      </c>
      <c r="Q822" s="3">
        <v>-260000</v>
      </c>
    </row>
    <row r="823" spans="1:17" x14ac:dyDescent="0.3">
      <c r="A823" s="249" t="s">
        <v>1870</v>
      </c>
      <c r="B823" s="246">
        <v>3511</v>
      </c>
      <c r="C823" t="s">
        <v>1870</v>
      </c>
      <c r="D823" t="s">
        <v>1870</v>
      </c>
      <c r="E823" s="7" t="s">
        <v>61</v>
      </c>
      <c r="F823" s="7">
        <v>0</v>
      </c>
      <c r="G823" t="s">
        <v>1870</v>
      </c>
      <c r="H823" t="s">
        <v>828</v>
      </c>
      <c r="I823" s="7" t="s">
        <v>1489</v>
      </c>
      <c r="J823" t="s">
        <v>1870</v>
      </c>
      <c r="K823" t="s">
        <v>1870</v>
      </c>
      <c r="L823" s="7" t="s">
        <v>1489</v>
      </c>
      <c r="M823" s="7" t="s">
        <v>1489</v>
      </c>
      <c r="N823" t="s">
        <v>1870</v>
      </c>
      <c r="O823" t="s">
        <v>1489</v>
      </c>
      <c r="Q823" s="3">
        <v>0</v>
      </c>
    </row>
    <row r="824" spans="1:17" x14ac:dyDescent="0.3">
      <c r="A824" s="249" t="s">
        <v>1870</v>
      </c>
      <c r="B824" s="246">
        <v>3511</v>
      </c>
      <c r="C824" t="s">
        <v>1870</v>
      </c>
      <c r="D824" t="s">
        <v>1870</v>
      </c>
      <c r="E824" s="7" t="s">
        <v>64</v>
      </c>
      <c r="F824">
        <v>0</v>
      </c>
      <c r="G824" t="s">
        <v>1870</v>
      </c>
      <c r="H824" t="s">
        <v>830</v>
      </c>
      <c r="I824" t="s">
        <v>1489</v>
      </c>
      <c r="J824" t="s">
        <v>1870</v>
      </c>
      <c r="K824" t="s">
        <v>1870</v>
      </c>
      <c r="L824" t="s">
        <v>1489</v>
      </c>
      <c r="M824" t="s">
        <v>1489</v>
      </c>
      <c r="N824" t="s">
        <v>1870</v>
      </c>
      <c r="O824" t="s">
        <v>1489</v>
      </c>
      <c r="Q824" s="3">
        <v>0</v>
      </c>
    </row>
    <row r="825" spans="1:17" x14ac:dyDescent="0.3">
      <c r="A825" s="249" t="s">
        <v>1870</v>
      </c>
      <c r="B825" s="246">
        <v>3512</v>
      </c>
      <c r="C825" t="s">
        <v>1870</v>
      </c>
      <c r="D825" t="s">
        <v>1870</v>
      </c>
      <c r="E825" s="246" t="s">
        <v>25</v>
      </c>
      <c r="F825" s="246">
        <v>1</v>
      </c>
      <c r="G825" t="s">
        <v>1870</v>
      </c>
      <c r="H825" s="248" t="s">
        <v>833</v>
      </c>
      <c r="I825" s="246" t="s">
        <v>1809</v>
      </c>
      <c r="J825" t="s">
        <v>1870</v>
      </c>
      <c r="K825" t="s">
        <v>1870</v>
      </c>
      <c r="L825" s="246" t="s">
        <v>1493</v>
      </c>
      <c r="M825" s="7" t="s">
        <v>2131</v>
      </c>
      <c r="N825" t="s">
        <v>1870</v>
      </c>
      <c r="O825" s="247" t="s">
        <v>2298</v>
      </c>
      <c r="P825" s="3">
        <v>799</v>
      </c>
      <c r="Q825" s="3">
        <v>0</v>
      </c>
    </row>
    <row r="826" spans="1:17" x14ac:dyDescent="0.3">
      <c r="A826" s="249" t="s">
        <v>1870</v>
      </c>
      <c r="B826" s="246">
        <v>3512</v>
      </c>
      <c r="C826" t="s">
        <v>1870</v>
      </c>
      <c r="D826" t="s">
        <v>1870</v>
      </c>
      <c r="E826" s="246" t="s">
        <v>25</v>
      </c>
      <c r="F826" s="7">
        <v>2</v>
      </c>
      <c r="G826" t="s">
        <v>1870</v>
      </c>
      <c r="H826" t="s">
        <v>835</v>
      </c>
      <c r="I826" s="7" t="s">
        <v>1489</v>
      </c>
      <c r="J826" t="s">
        <v>1870</v>
      </c>
      <c r="K826" t="s">
        <v>1870</v>
      </c>
      <c r="L826" s="7" t="s">
        <v>1489</v>
      </c>
      <c r="M826" s="7" t="s">
        <v>1489</v>
      </c>
      <c r="N826" t="s">
        <v>1870</v>
      </c>
      <c r="O826" t="s">
        <v>1489</v>
      </c>
      <c r="Q826" s="3">
        <v>0</v>
      </c>
    </row>
    <row r="827" spans="1:17" x14ac:dyDescent="0.3">
      <c r="A827" s="249" t="s">
        <v>1870</v>
      </c>
      <c r="B827" s="246">
        <v>3512</v>
      </c>
      <c r="C827" t="s">
        <v>1870</v>
      </c>
      <c r="D827" t="s">
        <v>1870</v>
      </c>
      <c r="E827" s="246" t="s">
        <v>25</v>
      </c>
      <c r="F827" s="7">
        <v>3</v>
      </c>
      <c r="G827" t="s">
        <v>1870</v>
      </c>
      <c r="H827" t="s">
        <v>837</v>
      </c>
      <c r="I827" t="s">
        <v>1489</v>
      </c>
      <c r="J827" t="s">
        <v>1870</v>
      </c>
      <c r="K827" t="s">
        <v>1870</v>
      </c>
      <c r="L827" t="s">
        <v>1489</v>
      </c>
      <c r="M827" t="s">
        <v>1489</v>
      </c>
      <c r="N827" t="s">
        <v>1870</v>
      </c>
      <c r="O827" t="s">
        <v>1489</v>
      </c>
      <c r="Q827" s="3">
        <v>0</v>
      </c>
    </row>
    <row r="828" spans="1:17" x14ac:dyDescent="0.3">
      <c r="A828" s="249" t="s">
        <v>1870</v>
      </c>
      <c r="B828" s="246">
        <v>3512</v>
      </c>
      <c r="C828" t="s">
        <v>1870</v>
      </c>
      <c r="D828" t="s">
        <v>1870</v>
      </c>
      <c r="E828" s="246" t="s">
        <v>159</v>
      </c>
      <c r="F828" s="7">
        <v>1</v>
      </c>
      <c r="G828" t="s">
        <v>1870</v>
      </c>
      <c r="H828" s="248" t="s">
        <v>839</v>
      </c>
      <c r="I828" s="7" t="s">
        <v>1809</v>
      </c>
      <c r="J828" t="s">
        <v>1870</v>
      </c>
      <c r="K828" t="s">
        <v>1870</v>
      </c>
      <c r="L828" s="246" t="s">
        <v>1500</v>
      </c>
      <c r="M828" s="7" t="s">
        <v>2131</v>
      </c>
      <c r="N828" t="s">
        <v>1870</v>
      </c>
      <c r="O828" s="247" t="s">
        <v>2292</v>
      </c>
      <c r="P828" s="3">
        <v>7381.3</v>
      </c>
      <c r="Q828" s="3">
        <v>6000</v>
      </c>
    </row>
    <row r="829" spans="1:17" x14ac:dyDescent="0.3">
      <c r="A829" s="249" t="s">
        <v>1870</v>
      </c>
      <c r="B829" s="246">
        <v>3512</v>
      </c>
      <c r="C829" t="s">
        <v>1870</v>
      </c>
      <c r="D829" t="s">
        <v>1870</v>
      </c>
      <c r="E829" s="246" t="s">
        <v>159</v>
      </c>
      <c r="F829" s="7">
        <v>1</v>
      </c>
      <c r="G829" t="s">
        <v>1870</v>
      </c>
      <c r="H829" s="248" t="s">
        <v>839</v>
      </c>
      <c r="I829" s="7" t="s">
        <v>1809</v>
      </c>
      <c r="J829" t="s">
        <v>1870</v>
      </c>
      <c r="K829" t="s">
        <v>1870</v>
      </c>
      <c r="L829" s="246" t="s">
        <v>1500</v>
      </c>
      <c r="M829" s="246" t="s">
        <v>2132</v>
      </c>
      <c r="N829" t="s">
        <v>1870</v>
      </c>
      <c r="O829" s="247" t="s">
        <v>2293</v>
      </c>
      <c r="Q829" s="3">
        <v>0</v>
      </c>
    </row>
    <row r="830" spans="1:17" x14ac:dyDescent="0.3">
      <c r="A830" s="249" t="s">
        <v>1870</v>
      </c>
      <c r="B830" s="246">
        <v>3512</v>
      </c>
      <c r="C830" t="s">
        <v>1870</v>
      </c>
      <c r="D830" t="s">
        <v>1870</v>
      </c>
      <c r="E830" s="246" t="s">
        <v>439</v>
      </c>
      <c r="F830">
        <v>1</v>
      </c>
      <c r="G830" t="s">
        <v>1870</v>
      </c>
      <c r="H830" s="248" t="s">
        <v>841</v>
      </c>
      <c r="I830" t="s">
        <v>1809</v>
      </c>
      <c r="J830" t="s">
        <v>1870</v>
      </c>
      <c r="K830" t="s">
        <v>1870</v>
      </c>
      <c r="L830" s="246" t="s">
        <v>1426</v>
      </c>
      <c r="M830" s="246" t="s">
        <v>2131</v>
      </c>
      <c r="N830" t="s">
        <v>1870</v>
      </c>
      <c r="O830" s="247" t="s">
        <v>2294</v>
      </c>
      <c r="Q830" s="3">
        <v>1000</v>
      </c>
    </row>
    <row r="831" spans="1:17" x14ac:dyDescent="0.3">
      <c r="A831" s="249" t="s">
        <v>1870</v>
      </c>
      <c r="B831" s="246">
        <v>3512</v>
      </c>
      <c r="C831" t="s">
        <v>1870</v>
      </c>
      <c r="D831" t="s">
        <v>1870</v>
      </c>
      <c r="E831" s="246" t="s">
        <v>439</v>
      </c>
      <c r="F831" s="7">
        <v>2</v>
      </c>
      <c r="G831" t="s">
        <v>1870</v>
      </c>
      <c r="H831" t="s">
        <v>843</v>
      </c>
      <c r="I831" s="7" t="s">
        <v>1489</v>
      </c>
      <c r="J831" t="s">
        <v>1870</v>
      </c>
      <c r="K831" t="s">
        <v>1870</v>
      </c>
      <c r="L831" s="7" t="s">
        <v>1489</v>
      </c>
      <c r="M831" s="7" t="s">
        <v>1489</v>
      </c>
      <c r="N831" t="s">
        <v>1870</v>
      </c>
      <c r="O831" t="s">
        <v>1489</v>
      </c>
      <c r="Q831" s="3">
        <v>0</v>
      </c>
    </row>
    <row r="832" spans="1:17" x14ac:dyDescent="0.3">
      <c r="A832" s="249" t="s">
        <v>1870</v>
      </c>
      <c r="B832" s="246">
        <v>3512</v>
      </c>
      <c r="C832" t="s">
        <v>1870</v>
      </c>
      <c r="D832" t="s">
        <v>1870</v>
      </c>
      <c r="E832" s="246" t="s">
        <v>439</v>
      </c>
      <c r="F832" s="7">
        <v>3</v>
      </c>
      <c r="G832" t="s">
        <v>1870</v>
      </c>
      <c r="H832" t="s">
        <v>845</v>
      </c>
      <c r="I832" t="s">
        <v>1489</v>
      </c>
      <c r="J832" t="s">
        <v>1870</v>
      </c>
      <c r="K832" t="s">
        <v>1870</v>
      </c>
      <c r="L832" t="s">
        <v>1489</v>
      </c>
      <c r="M832" t="s">
        <v>1489</v>
      </c>
      <c r="N832" t="s">
        <v>1870</v>
      </c>
      <c r="O832" t="s">
        <v>1489</v>
      </c>
      <c r="Q832" s="3">
        <v>0</v>
      </c>
    </row>
    <row r="833" spans="1:17" x14ac:dyDescent="0.3">
      <c r="A833" s="249" t="s">
        <v>1870</v>
      </c>
      <c r="B833" s="246">
        <v>3512</v>
      </c>
      <c r="C833" t="s">
        <v>1870</v>
      </c>
      <c r="D833" t="s">
        <v>1870</v>
      </c>
      <c r="E833" s="246" t="s">
        <v>131</v>
      </c>
      <c r="F833" s="7">
        <v>1</v>
      </c>
      <c r="G833" t="s">
        <v>1870</v>
      </c>
      <c r="H833" s="248" t="s">
        <v>847</v>
      </c>
      <c r="I833" s="7" t="s">
        <v>1809</v>
      </c>
      <c r="J833" t="s">
        <v>1870</v>
      </c>
      <c r="K833" t="s">
        <v>1870</v>
      </c>
      <c r="L833" s="7" t="s">
        <v>1426</v>
      </c>
      <c r="M833" s="7" t="s">
        <v>2131</v>
      </c>
      <c r="N833" t="s">
        <v>1870</v>
      </c>
      <c r="O833" s="247" t="s">
        <v>2294</v>
      </c>
      <c r="Q833" s="3">
        <v>0</v>
      </c>
    </row>
    <row r="834" spans="1:17" x14ac:dyDescent="0.3">
      <c r="A834" s="249" t="s">
        <v>1870</v>
      </c>
      <c r="B834" s="246">
        <v>3512</v>
      </c>
      <c r="C834" t="s">
        <v>1870</v>
      </c>
      <c r="D834" t="s">
        <v>1870</v>
      </c>
      <c r="E834" s="246" t="s">
        <v>131</v>
      </c>
      <c r="F834" s="7">
        <v>1</v>
      </c>
      <c r="G834" t="s">
        <v>1870</v>
      </c>
      <c r="H834" s="248" t="s">
        <v>847</v>
      </c>
      <c r="I834" s="7" t="s">
        <v>1809</v>
      </c>
      <c r="J834" t="s">
        <v>1870</v>
      </c>
      <c r="K834" t="s">
        <v>1870</v>
      </c>
      <c r="L834" s="246" t="s">
        <v>1831</v>
      </c>
      <c r="M834" t="s">
        <v>2131</v>
      </c>
      <c r="N834" t="s">
        <v>1870</v>
      </c>
      <c r="O834" s="247" t="s">
        <v>2297</v>
      </c>
      <c r="Q834" s="3">
        <v>0</v>
      </c>
    </row>
    <row r="835" spans="1:17" x14ac:dyDescent="0.3">
      <c r="A835" s="249" t="s">
        <v>1870</v>
      </c>
      <c r="B835" s="246">
        <v>3512</v>
      </c>
      <c r="C835" t="s">
        <v>1870</v>
      </c>
      <c r="D835" t="s">
        <v>1870</v>
      </c>
      <c r="E835" s="246" t="s">
        <v>131</v>
      </c>
      <c r="F835" s="7">
        <v>1</v>
      </c>
      <c r="G835" t="s">
        <v>1870</v>
      </c>
      <c r="H835" s="248" t="s">
        <v>847</v>
      </c>
      <c r="I835" s="7" t="s">
        <v>1809</v>
      </c>
      <c r="J835" t="s">
        <v>1870</v>
      </c>
      <c r="K835" t="s">
        <v>1870</v>
      </c>
      <c r="L835" s="246" t="s">
        <v>1500</v>
      </c>
      <c r="M835" s="246" t="s">
        <v>2133</v>
      </c>
      <c r="N835" t="s">
        <v>1870</v>
      </c>
      <c r="O835" s="247" t="s">
        <v>2296</v>
      </c>
      <c r="Q835" s="3">
        <v>0</v>
      </c>
    </row>
    <row r="836" spans="1:17" x14ac:dyDescent="0.3">
      <c r="A836" s="249" t="s">
        <v>1870</v>
      </c>
      <c r="B836" s="246">
        <v>3512</v>
      </c>
      <c r="C836" t="s">
        <v>1870</v>
      </c>
      <c r="D836" t="s">
        <v>1870</v>
      </c>
      <c r="E836" s="246" t="s">
        <v>131</v>
      </c>
      <c r="F836" s="7">
        <v>1</v>
      </c>
      <c r="G836" t="s">
        <v>1870</v>
      </c>
      <c r="H836" s="248" t="s">
        <v>847</v>
      </c>
      <c r="I836" s="7" t="s">
        <v>1809</v>
      </c>
      <c r="J836" t="s">
        <v>1870</v>
      </c>
      <c r="K836" t="s">
        <v>1870</v>
      </c>
      <c r="L836" s="246" t="s">
        <v>1678</v>
      </c>
      <c r="M836" s="246" t="s">
        <v>2131</v>
      </c>
      <c r="N836" t="s">
        <v>1870</v>
      </c>
      <c r="O836" s="247" t="s">
        <v>2295</v>
      </c>
      <c r="P836" s="3">
        <v>3594.35</v>
      </c>
      <c r="Q836" s="3">
        <v>6000</v>
      </c>
    </row>
    <row r="837" spans="1:17" x14ac:dyDescent="0.3">
      <c r="A837" s="249" t="s">
        <v>1870</v>
      </c>
      <c r="B837" s="246">
        <v>3512</v>
      </c>
      <c r="C837" t="s">
        <v>1870</v>
      </c>
      <c r="D837" t="s">
        <v>1870</v>
      </c>
      <c r="E837" s="246" t="s">
        <v>131</v>
      </c>
      <c r="F837" s="7">
        <v>2</v>
      </c>
      <c r="G837" t="s">
        <v>1870</v>
      </c>
      <c r="H837" t="s">
        <v>849</v>
      </c>
      <c r="I837" s="7" t="s">
        <v>1489</v>
      </c>
      <c r="J837" t="s">
        <v>1870</v>
      </c>
      <c r="K837" t="s">
        <v>1870</v>
      </c>
      <c r="L837" s="7" t="s">
        <v>1489</v>
      </c>
      <c r="M837" s="7" t="s">
        <v>1489</v>
      </c>
      <c r="N837" t="s">
        <v>1870</v>
      </c>
      <c r="O837" t="s">
        <v>1489</v>
      </c>
      <c r="Q837" s="3">
        <v>0</v>
      </c>
    </row>
    <row r="838" spans="1:17" x14ac:dyDescent="0.3">
      <c r="A838" s="249" t="s">
        <v>1870</v>
      </c>
      <c r="B838" s="246">
        <v>3512</v>
      </c>
      <c r="C838" t="s">
        <v>1870</v>
      </c>
      <c r="D838" t="s">
        <v>1870</v>
      </c>
      <c r="E838" s="246" t="s">
        <v>131</v>
      </c>
      <c r="F838" s="7">
        <v>3</v>
      </c>
      <c r="G838" t="s">
        <v>1870</v>
      </c>
      <c r="H838" t="s">
        <v>851</v>
      </c>
      <c r="I838" t="s">
        <v>1489</v>
      </c>
      <c r="J838" t="s">
        <v>1870</v>
      </c>
      <c r="K838" t="s">
        <v>1870</v>
      </c>
      <c r="L838" t="s">
        <v>1489</v>
      </c>
      <c r="M838" t="s">
        <v>1489</v>
      </c>
      <c r="N838" t="s">
        <v>1870</v>
      </c>
      <c r="O838" t="s">
        <v>1489</v>
      </c>
      <c r="Q838" s="3">
        <v>0</v>
      </c>
    </row>
    <row r="839" spans="1:17" x14ac:dyDescent="0.3">
      <c r="A839" s="249" t="s">
        <v>1870</v>
      </c>
      <c r="B839" s="246">
        <v>3512</v>
      </c>
      <c r="C839" t="s">
        <v>1870</v>
      </c>
      <c r="D839" t="s">
        <v>1870</v>
      </c>
      <c r="E839" s="246" t="s">
        <v>131</v>
      </c>
      <c r="F839" s="246">
        <v>4</v>
      </c>
      <c r="G839" t="s">
        <v>1870</v>
      </c>
      <c r="H839" s="248" t="s">
        <v>853</v>
      </c>
      <c r="I839" s="246" t="s">
        <v>1810</v>
      </c>
      <c r="J839" t="s">
        <v>1870</v>
      </c>
      <c r="K839" t="s">
        <v>1870</v>
      </c>
      <c r="L839" s="246" t="s">
        <v>1822</v>
      </c>
      <c r="M839" s="7" t="s">
        <v>2131</v>
      </c>
      <c r="N839" t="s">
        <v>1870</v>
      </c>
      <c r="O839" s="247" t="s">
        <v>2238</v>
      </c>
      <c r="Q839" s="3">
        <v>0</v>
      </c>
    </row>
    <row r="840" spans="1:17" x14ac:dyDescent="0.3">
      <c r="A840" s="249" t="s">
        <v>1870</v>
      </c>
      <c r="B840" s="246">
        <v>3512</v>
      </c>
      <c r="C840" t="s">
        <v>1870</v>
      </c>
      <c r="D840" t="s">
        <v>1870</v>
      </c>
      <c r="E840" s="246" t="s">
        <v>131</v>
      </c>
      <c r="F840" s="246">
        <v>4</v>
      </c>
      <c r="G840" t="s">
        <v>1870</v>
      </c>
      <c r="H840" s="248" t="s">
        <v>853</v>
      </c>
      <c r="I840" s="246" t="s">
        <v>1810</v>
      </c>
      <c r="J840" t="s">
        <v>1870</v>
      </c>
      <c r="K840" t="s">
        <v>1870</v>
      </c>
      <c r="L840" s="246" t="s">
        <v>1812</v>
      </c>
      <c r="M840" t="s">
        <v>2131</v>
      </c>
      <c r="N840" t="s">
        <v>1870</v>
      </c>
      <c r="O840" s="247" t="s">
        <v>2237</v>
      </c>
      <c r="P840" s="3">
        <v>8513.5499999999993</v>
      </c>
      <c r="Q840" s="3">
        <v>8000</v>
      </c>
    </row>
    <row r="841" spans="1:17" x14ac:dyDescent="0.3">
      <c r="A841" s="249" t="s">
        <v>1870</v>
      </c>
      <c r="B841" s="246">
        <v>3512</v>
      </c>
      <c r="C841" t="s">
        <v>1870</v>
      </c>
      <c r="D841" t="s">
        <v>1870</v>
      </c>
      <c r="E841" s="246" t="s">
        <v>131</v>
      </c>
      <c r="F841" s="246">
        <v>4</v>
      </c>
      <c r="G841" t="s">
        <v>1870</v>
      </c>
      <c r="H841" s="248" t="s">
        <v>853</v>
      </c>
      <c r="I841" s="246" t="s">
        <v>1810</v>
      </c>
      <c r="J841" t="s">
        <v>1870</v>
      </c>
      <c r="K841" t="s">
        <v>1870</v>
      </c>
      <c r="L841" s="246" t="s">
        <v>1504</v>
      </c>
      <c r="M841" t="s">
        <v>2131</v>
      </c>
      <c r="N841" t="s">
        <v>1870</v>
      </c>
      <c r="O841" s="247" t="s">
        <v>2236</v>
      </c>
      <c r="Q841" s="3">
        <v>0</v>
      </c>
    </row>
    <row r="842" spans="1:17" x14ac:dyDescent="0.3">
      <c r="A842" s="249" t="s">
        <v>1870</v>
      </c>
      <c r="B842" s="246">
        <v>3512</v>
      </c>
      <c r="C842" t="s">
        <v>1870</v>
      </c>
      <c r="D842" t="s">
        <v>1870</v>
      </c>
      <c r="E842" s="246" t="s">
        <v>131</v>
      </c>
      <c r="F842" s="246">
        <v>4</v>
      </c>
      <c r="G842" t="s">
        <v>1870</v>
      </c>
      <c r="H842" s="248" t="s">
        <v>853</v>
      </c>
      <c r="I842" s="246" t="s">
        <v>1810</v>
      </c>
      <c r="J842" t="s">
        <v>1870</v>
      </c>
      <c r="K842" t="s">
        <v>1870</v>
      </c>
      <c r="L842" s="246" t="s">
        <v>1504</v>
      </c>
      <c r="M842" s="246" t="s">
        <v>2132</v>
      </c>
      <c r="N842" t="s">
        <v>1870</v>
      </c>
      <c r="O842" s="247" t="s">
        <v>2232</v>
      </c>
      <c r="Q842" s="3">
        <v>0</v>
      </c>
    </row>
    <row r="843" spans="1:17" x14ac:dyDescent="0.3">
      <c r="A843" s="249" t="s">
        <v>1870</v>
      </c>
      <c r="B843" s="246">
        <v>3512</v>
      </c>
      <c r="C843" t="s">
        <v>1870</v>
      </c>
      <c r="D843" t="s">
        <v>1870</v>
      </c>
      <c r="E843" s="246" t="s">
        <v>131</v>
      </c>
      <c r="F843" s="246">
        <v>4</v>
      </c>
      <c r="G843" t="s">
        <v>1870</v>
      </c>
      <c r="H843" s="248" t="s">
        <v>853</v>
      </c>
      <c r="I843" s="246" t="s">
        <v>1810</v>
      </c>
      <c r="J843" t="s">
        <v>1870</v>
      </c>
      <c r="K843" t="s">
        <v>1870</v>
      </c>
      <c r="L843" s="246" t="s">
        <v>1504</v>
      </c>
      <c r="M843" s="246" t="s">
        <v>2133</v>
      </c>
      <c r="N843" t="s">
        <v>1870</v>
      </c>
      <c r="O843" s="247" t="s">
        <v>2233</v>
      </c>
      <c r="Q843" s="3">
        <v>0</v>
      </c>
    </row>
    <row r="844" spans="1:17" x14ac:dyDescent="0.3">
      <c r="A844" s="249" t="s">
        <v>1870</v>
      </c>
      <c r="B844" s="246">
        <v>3512</v>
      </c>
      <c r="C844" t="s">
        <v>1870</v>
      </c>
      <c r="D844" t="s">
        <v>1870</v>
      </c>
      <c r="E844" s="246" t="s">
        <v>131</v>
      </c>
      <c r="F844" s="246">
        <v>4</v>
      </c>
      <c r="G844" t="s">
        <v>1870</v>
      </c>
      <c r="H844" s="248" t="s">
        <v>853</v>
      </c>
      <c r="I844" s="246" t="s">
        <v>1810</v>
      </c>
      <c r="J844" t="s">
        <v>1870</v>
      </c>
      <c r="K844" t="s">
        <v>1870</v>
      </c>
      <c r="L844" s="246" t="s">
        <v>1504</v>
      </c>
      <c r="M844" s="246" t="s">
        <v>2134</v>
      </c>
      <c r="N844" t="s">
        <v>1870</v>
      </c>
      <c r="O844" s="247" t="s">
        <v>2234</v>
      </c>
      <c r="Q844" s="3">
        <v>0</v>
      </c>
    </row>
    <row r="845" spans="1:17" x14ac:dyDescent="0.3">
      <c r="A845" s="249" t="s">
        <v>1870</v>
      </c>
      <c r="B845" s="246">
        <v>3512</v>
      </c>
      <c r="C845" t="s">
        <v>1870</v>
      </c>
      <c r="D845" t="s">
        <v>1870</v>
      </c>
      <c r="E845" s="246" t="s">
        <v>131</v>
      </c>
      <c r="F845" s="246">
        <v>4</v>
      </c>
      <c r="G845" t="s">
        <v>1870</v>
      </c>
      <c r="H845" s="248" t="s">
        <v>853</v>
      </c>
      <c r="I845" s="246" t="s">
        <v>1810</v>
      </c>
      <c r="J845" t="s">
        <v>1870</v>
      </c>
      <c r="K845" t="s">
        <v>1870</v>
      </c>
      <c r="L845" s="246" t="s">
        <v>1504</v>
      </c>
      <c r="M845" s="246" t="s">
        <v>2135</v>
      </c>
      <c r="N845" t="s">
        <v>1870</v>
      </c>
      <c r="O845" s="247" t="s">
        <v>2235</v>
      </c>
      <c r="Q845" s="3">
        <v>0</v>
      </c>
    </row>
    <row r="846" spans="1:17" x14ac:dyDescent="0.3">
      <c r="A846" s="249" t="s">
        <v>1870</v>
      </c>
      <c r="B846" s="246">
        <v>3512</v>
      </c>
      <c r="C846" t="s">
        <v>1870</v>
      </c>
      <c r="D846" t="s">
        <v>1870</v>
      </c>
      <c r="E846" s="246" t="s">
        <v>123</v>
      </c>
      <c r="F846" s="246">
        <v>0</v>
      </c>
      <c r="G846" t="s">
        <v>1870</v>
      </c>
      <c r="H846" s="248" t="s">
        <v>855</v>
      </c>
      <c r="I846" s="246" t="s">
        <v>1809</v>
      </c>
      <c r="J846" t="s">
        <v>1870</v>
      </c>
      <c r="K846" t="s">
        <v>1870</v>
      </c>
      <c r="L846" s="246" t="s">
        <v>1678</v>
      </c>
      <c r="M846" s="246" t="s">
        <v>2131</v>
      </c>
      <c r="N846" t="s">
        <v>1870</v>
      </c>
      <c r="O846" s="247" t="s">
        <v>2295</v>
      </c>
      <c r="P846" s="3">
        <v>571.35</v>
      </c>
      <c r="Q846" s="3">
        <v>0</v>
      </c>
    </row>
    <row r="847" spans="1:17" x14ac:dyDescent="0.3">
      <c r="A847" s="249" t="s">
        <v>1870</v>
      </c>
      <c r="B847" s="246">
        <v>3512</v>
      </c>
      <c r="C847" t="s">
        <v>1870</v>
      </c>
      <c r="D847" t="s">
        <v>1870</v>
      </c>
      <c r="E847" s="246" t="s">
        <v>123</v>
      </c>
      <c r="F847" s="246">
        <v>1</v>
      </c>
      <c r="G847" t="s">
        <v>1870</v>
      </c>
      <c r="H847" s="248" t="s">
        <v>857</v>
      </c>
      <c r="I847" t="s">
        <v>1809</v>
      </c>
      <c r="J847" t="s">
        <v>1870</v>
      </c>
      <c r="K847" t="s">
        <v>1870</v>
      </c>
      <c r="L847" t="s">
        <v>1678</v>
      </c>
      <c r="M847" t="s">
        <v>2131</v>
      </c>
      <c r="N847" t="s">
        <v>1870</v>
      </c>
      <c r="O847" s="247" t="s">
        <v>2295</v>
      </c>
      <c r="P847" s="3">
        <v>515</v>
      </c>
      <c r="Q847" s="3">
        <v>1000</v>
      </c>
    </row>
    <row r="848" spans="1:17" x14ac:dyDescent="0.3">
      <c r="A848" s="249" t="s">
        <v>1870</v>
      </c>
      <c r="B848" s="246">
        <v>3512</v>
      </c>
      <c r="C848" t="s">
        <v>1870</v>
      </c>
      <c r="D848" t="s">
        <v>1870</v>
      </c>
      <c r="E848" s="246" t="s">
        <v>123</v>
      </c>
      <c r="F848" s="7">
        <v>2</v>
      </c>
      <c r="G848" t="s">
        <v>1870</v>
      </c>
      <c r="H848" t="s">
        <v>859</v>
      </c>
      <c r="I848" s="7" t="s">
        <v>1489</v>
      </c>
      <c r="J848" t="s">
        <v>1870</v>
      </c>
      <c r="K848" t="s">
        <v>1870</v>
      </c>
      <c r="L848" s="7" t="s">
        <v>1489</v>
      </c>
      <c r="M848" s="7" t="s">
        <v>1489</v>
      </c>
      <c r="N848" t="s">
        <v>1870</v>
      </c>
      <c r="O848" t="s">
        <v>1489</v>
      </c>
      <c r="Q848" s="3">
        <v>0</v>
      </c>
    </row>
    <row r="849" spans="1:17" x14ac:dyDescent="0.3">
      <c r="A849" s="249" t="s">
        <v>1870</v>
      </c>
      <c r="B849" s="246">
        <v>3512</v>
      </c>
      <c r="C849" t="s">
        <v>1870</v>
      </c>
      <c r="D849" t="s">
        <v>1870</v>
      </c>
      <c r="E849" s="246" t="s">
        <v>123</v>
      </c>
      <c r="F849" s="7">
        <v>3</v>
      </c>
      <c r="G849" t="s">
        <v>1870</v>
      </c>
      <c r="H849" t="s">
        <v>861</v>
      </c>
      <c r="I849" t="s">
        <v>1489</v>
      </c>
      <c r="J849" t="s">
        <v>1870</v>
      </c>
      <c r="K849" t="s">
        <v>1870</v>
      </c>
      <c r="L849" t="s">
        <v>1489</v>
      </c>
      <c r="M849" t="s">
        <v>1489</v>
      </c>
      <c r="N849" t="s">
        <v>1870</v>
      </c>
      <c r="O849" t="s">
        <v>1489</v>
      </c>
      <c r="Q849" s="3">
        <v>0</v>
      </c>
    </row>
    <row r="850" spans="1:17" x14ac:dyDescent="0.3">
      <c r="A850" s="249" t="s">
        <v>1870</v>
      </c>
      <c r="B850" s="246">
        <v>3512</v>
      </c>
      <c r="C850" t="s">
        <v>1870</v>
      </c>
      <c r="D850" t="s">
        <v>1870</v>
      </c>
      <c r="E850" s="246" t="s">
        <v>48</v>
      </c>
      <c r="F850" s="246">
        <v>0</v>
      </c>
      <c r="G850" t="s">
        <v>1870</v>
      </c>
      <c r="H850" s="248" t="s">
        <v>863</v>
      </c>
      <c r="I850" s="7" t="s">
        <v>1809</v>
      </c>
      <c r="J850" t="s">
        <v>1870</v>
      </c>
      <c r="K850" t="s">
        <v>1870</v>
      </c>
      <c r="L850" s="246" t="s">
        <v>1418</v>
      </c>
      <c r="M850" s="7" t="s">
        <v>2131</v>
      </c>
      <c r="N850" t="s">
        <v>1870</v>
      </c>
      <c r="O850" s="247" t="s">
        <v>2299</v>
      </c>
      <c r="P850" s="3">
        <v>2360.9</v>
      </c>
      <c r="Q850" s="3">
        <v>0</v>
      </c>
    </row>
    <row r="851" spans="1:17" x14ac:dyDescent="0.3">
      <c r="A851" s="249" t="s">
        <v>1870</v>
      </c>
      <c r="B851" s="246">
        <v>3512</v>
      </c>
      <c r="C851" t="s">
        <v>1870</v>
      </c>
      <c r="D851" t="s">
        <v>1870</v>
      </c>
      <c r="E851" s="246" t="s">
        <v>164</v>
      </c>
      <c r="F851">
        <v>0</v>
      </c>
      <c r="G851" t="s">
        <v>1870</v>
      </c>
      <c r="H851" s="248" t="s">
        <v>865</v>
      </c>
      <c r="I851" s="246" t="s">
        <v>1549</v>
      </c>
      <c r="J851" t="s">
        <v>1870</v>
      </c>
      <c r="K851" t="s">
        <v>1870</v>
      </c>
      <c r="L851" s="246" t="s">
        <v>1508</v>
      </c>
      <c r="M851" s="246" t="s">
        <v>2139</v>
      </c>
      <c r="N851" t="s">
        <v>1870</v>
      </c>
      <c r="O851" s="247" t="s">
        <v>1509</v>
      </c>
      <c r="P851" s="3">
        <v>75000</v>
      </c>
      <c r="Q851" s="3">
        <v>75000</v>
      </c>
    </row>
    <row r="852" spans="1:17" x14ac:dyDescent="0.3">
      <c r="A852" s="249" t="s">
        <v>1870</v>
      </c>
      <c r="B852" s="246">
        <v>3512</v>
      </c>
      <c r="C852" t="s">
        <v>1870</v>
      </c>
      <c r="D852" t="s">
        <v>1870</v>
      </c>
      <c r="E852" s="7" t="s">
        <v>6</v>
      </c>
      <c r="F852">
        <v>0</v>
      </c>
      <c r="G852" t="s">
        <v>1870</v>
      </c>
      <c r="H852" t="s">
        <v>867</v>
      </c>
      <c r="I852" s="7" t="s">
        <v>1489</v>
      </c>
      <c r="J852" t="s">
        <v>1870</v>
      </c>
      <c r="K852" t="s">
        <v>1870</v>
      </c>
      <c r="L852" s="7" t="s">
        <v>1489</v>
      </c>
      <c r="M852" s="7" t="s">
        <v>1489</v>
      </c>
      <c r="N852" t="s">
        <v>1870</v>
      </c>
      <c r="O852" t="s">
        <v>1489</v>
      </c>
      <c r="Q852" s="3">
        <v>0</v>
      </c>
    </row>
    <row r="853" spans="1:17" x14ac:dyDescent="0.3">
      <c r="A853" s="249" t="s">
        <v>1870</v>
      </c>
      <c r="B853" s="246">
        <v>3512</v>
      </c>
      <c r="C853" t="s">
        <v>1870</v>
      </c>
      <c r="D853" t="s">
        <v>1870</v>
      </c>
      <c r="E853" s="246" t="s">
        <v>326</v>
      </c>
      <c r="F853">
        <v>0</v>
      </c>
      <c r="G853" t="s">
        <v>1870</v>
      </c>
      <c r="H853" s="248" t="s">
        <v>869</v>
      </c>
      <c r="I853" s="246" t="s">
        <v>1809</v>
      </c>
      <c r="J853" t="s">
        <v>1870</v>
      </c>
      <c r="K853" t="s">
        <v>1870</v>
      </c>
      <c r="L853" s="246" t="s">
        <v>1443</v>
      </c>
      <c r="M853" s="246" t="s">
        <v>2131</v>
      </c>
      <c r="N853" t="s">
        <v>1870</v>
      </c>
      <c r="O853" s="247" t="s">
        <v>2032</v>
      </c>
      <c r="P853" s="3">
        <v>-44248.2</v>
      </c>
      <c r="Q853" s="3">
        <v>-44248.2</v>
      </c>
    </row>
    <row r="854" spans="1:17" x14ac:dyDescent="0.3">
      <c r="A854" s="249" t="s">
        <v>1870</v>
      </c>
      <c r="B854" s="246">
        <v>3512</v>
      </c>
      <c r="C854" t="s">
        <v>1870</v>
      </c>
      <c r="D854" t="s">
        <v>1870</v>
      </c>
      <c r="E854" s="246" t="s">
        <v>335</v>
      </c>
      <c r="F854">
        <v>0</v>
      </c>
      <c r="G854" t="s">
        <v>1870</v>
      </c>
      <c r="H854" s="248" t="s">
        <v>871</v>
      </c>
      <c r="I854" s="246" t="s">
        <v>1810</v>
      </c>
      <c r="J854" t="s">
        <v>1870</v>
      </c>
      <c r="K854" t="s">
        <v>1870</v>
      </c>
      <c r="L854" s="246" t="s">
        <v>1813</v>
      </c>
      <c r="M854" t="s">
        <v>2131</v>
      </c>
      <c r="N854" t="s">
        <v>1870</v>
      </c>
      <c r="O854" s="247" t="s">
        <v>2239</v>
      </c>
      <c r="P854" s="3">
        <v>-76881.3</v>
      </c>
      <c r="Q854" s="3">
        <v>-75000</v>
      </c>
    </row>
    <row r="855" spans="1:17" x14ac:dyDescent="0.3">
      <c r="A855" s="249" t="s">
        <v>1870</v>
      </c>
      <c r="B855" s="246">
        <v>3512</v>
      </c>
      <c r="C855" t="s">
        <v>1870</v>
      </c>
      <c r="D855" t="s">
        <v>1870</v>
      </c>
      <c r="E855" s="7" t="s">
        <v>61</v>
      </c>
      <c r="F855">
        <v>0</v>
      </c>
      <c r="G855" t="s">
        <v>1870</v>
      </c>
      <c r="H855" t="s">
        <v>873</v>
      </c>
      <c r="I855" s="7" t="s">
        <v>1489</v>
      </c>
      <c r="J855" t="s">
        <v>1870</v>
      </c>
      <c r="K855" t="s">
        <v>1870</v>
      </c>
      <c r="L855" s="7" t="s">
        <v>1489</v>
      </c>
      <c r="M855" s="7" t="s">
        <v>1489</v>
      </c>
      <c r="N855" t="s">
        <v>1870</v>
      </c>
      <c r="O855" t="s">
        <v>1489</v>
      </c>
      <c r="Q855" s="3">
        <v>0</v>
      </c>
    </row>
    <row r="856" spans="1:17" x14ac:dyDescent="0.3">
      <c r="A856" s="249" t="s">
        <v>1870</v>
      </c>
      <c r="B856" s="246">
        <v>3513</v>
      </c>
      <c r="C856" t="s">
        <v>1870</v>
      </c>
      <c r="D856" t="s">
        <v>1870</v>
      </c>
      <c r="E856" s="7" t="s">
        <v>159</v>
      </c>
      <c r="F856">
        <v>0</v>
      </c>
      <c r="G856" t="s">
        <v>1870</v>
      </c>
      <c r="H856" t="s">
        <v>876</v>
      </c>
      <c r="I856" t="s">
        <v>1489</v>
      </c>
      <c r="J856" t="s">
        <v>1870</v>
      </c>
      <c r="K856" t="s">
        <v>1870</v>
      </c>
      <c r="L856" t="s">
        <v>1489</v>
      </c>
      <c r="M856" t="s">
        <v>1489</v>
      </c>
      <c r="N856" t="s">
        <v>1870</v>
      </c>
      <c r="O856" t="s">
        <v>1489</v>
      </c>
      <c r="Q856" s="3">
        <v>0</v>
      </c>
    </row>
    <row r="857" spans="1:17" x14ac:dyDescent="0.3">
      <c r="A857" s="249" t="s">
        <v>1870</v>
      </c>
      <c r="B857" s="246">
        <v>3513</v>
      </c>
      <c r="C857" t="s">
        <v>1870</v>
      </c>
      <c r="D857" t="s">
        <v>1870</v>
      </c>
      <c r="E857" s="246" t="s">
        <v>131</v>
      </c>
      <c r="F857">
        <v>0</v>
      </c>
      <c r="G857" t="s">
        <v>1870</v>
      </c>
      <c r="H857" s="248" t="s">
        <v>878</v>
      </c>
      <c r="I857" s="246">
        <v>96903</v>
      </c>
      <c r="J857" t="s">
        <v>1870</v>
      </c>
      <c r="K857" t="s">
        <v>1870</v>
      </c>
      <c r="L857" s="246" t="s">
        <v>1812</v>
      </c>
      <c r="M857" s="7" t="s">
        <v>2131</v>
      </c>
      <c r="N857" t="s">
        <v>1870</v>
      </c>
      <c r="O857" s="247" t="s">
        <v>2176</v>
      </c>
      <c r="P857" s="3">
        <v>1232.2</v>
      </c>
      <c r="Q857" s="3">
        <v>1500</v>
      </c>
    </row>
    <row r="858" spans="1:17" x14ac:dyDescent="0.3">
      <c r="A858" s="249" t="s">
        <v>1870</v>
      </c>
      <c r="B858" s="246">
        <v>3513</v>
      </c>
      <c r="C858" t="s">
        <v>1870</v>
      </c>
      <c r="D858" t="s">
        <v>1870</v>
      </c>
      <c r="E858" s="7" t="s">
        <v>48</v>
      </c>
      <c r="F858">
        <v>0</v>
      </c>
      <c r="G858" t="s">
        <v>1870</v>
      </c>
      <c r="H858" t="s">
        <v>880</v>
      </c>
      <c r="I858" s="7" t="s">
        <v>1489</v>
      </c>
      <c r="J858" t="s">
        <v>1870</v>
      </c>
      <c r="K858" t="s">
        <v>1870</v>
      </c>
      <c r="L858" s="7" t="s">
        <v>1489</v>
      </c>
      <c r="M858" s="7" t="s">
        <v>1489</v>
      </c>
      <c r="N858" t="s">
        <v>1870</v>
      </c>
      <c r="O858" t="s">
        <v>1489</v>
      </c>
      <c r="Q858" s="3">
        <v>0</v>
      </c>
    </row>
    <row r="859" spans="1:17" x14ac:dyDescent="0.3">
      <c r="A859" s="249" t="s">
        <v>1870</v>
      </c>
      <c r="B859" s="246">
        <v>3513</v>
      </c>
      <c r="C859" t="s">
        <v>1870</v>
      </c>
      <c r="D859" t="s">
        <v>1870</v>
      </c>
      <c r="E859" s="7" t="s">
        <v>164</v>
      </c>
      <c r="F859">
        <v>0</v>
      </c>
      <c r="G859" t="s">
        <v>1870</v>
      </c>
      <c r="H859" t="s">
        <v>882</v>
      </c>
      <c r="I859" t="s">
        <v>1489</v>
      </c>
      <c r="J859" t="s">
        <v>1870</v>
      </c>
      <c r="K859" t="s">
        <v>1870</v>
      </c>
      <c r="L859" t="s">
        <v>1489</v>
      </c>
      <c r="M859" t="s">
        <v>1489</v>
      </c>
      <c r="N859" t="s">
        <v>1870</v>
      </c>
      <c r="O859" t="s">
        <v>1489</v>
      </c>
      <c r="Q859" s="3">
        <v>0</v>
      </c>
    </row>
    <row r="860" spans="1:17" x14ac:dyDescent="0.3">
      <c r="A860" s="249" t="s">
        <v>1870</v>
      </c>
      <c r="B860" s="246">
        <v>3513</v>
      </c>
      <c r="C860" t="s">
        <v>1870</v>
      </c>
      <c r="D860" t="s">
        <v>1870</v>
      </c>
      <c r="E860" s="7" t="s">
        <v>6</v>
      </c>
      <c r="F860">
        <v>0</v>
      </c>
      <c r="G860" t="s">
        <v>1870</v>
      </c>
      <c r="H860" t="s">
        <v>884</v>
      </c>
      <c r="I860" t="s">
        <v>1489</v>
      </c>
      <c r="J860" t="s">
        <v>1870</v>
      </c>
      <c r="K860" t="s">
        <v>1870</v>
      </c>
      <c r="L860" t="s">
        <v>1489</v>
      </c>
      <c r="M860" t="s">
        <v>1489</v>
      </c>
      <c r="N860" t="s">
        <v>1870</v>
      </c>
      <c r="O860" t="s">
        <v>1489</v>
      </c>
      <c r="Q860" s="3">
        <v>0</v>
      </c>
    </row>
    <row r="861" spans="1:17" x14ac:dyDescent="0.3">
      <c r="A861" s="249" t="s">
        <v>1870</v>
      </c>
      <c r="B861" s="246">
        <v>3513</v>
      </c>
      <c r="C861" t="s">
        <v>1870</v>
      </c>
      <c r="D861" t="s">
        <v>1870</v>
      </c>
      <c r="E861" s="7" t="s">
        <v>326</v>
      </c>
      <c r="F861">
        <v>0</v>
      </c>
      <c r="G861" t="s">
        <v>1870</v>
      </c>
      <c r="H861" t="s">
        <v>886</v>
      </c>
      <c r="I861" t="s">
        <v>1489</v>
      </c>
      <c r="J861" t="s">
        <v>1870</v>
      </c>
      <c r="K861" t="s">
        <v>1870</v>
      </c>
      <c r="L861" t="s">
        <v>1489</v>
      </c>
      <c r="M861" t="s">
        <v>1489</v>
      </c>
      <c r="N861" t="s">
        <v>1870</v>
      </c>
      <c r="O861" t="s">
        <v>1489</v>
      </c>
      <c r="Q861" s="3">
        <v>0</v>
      </c>
    </row>
    <row r="862" spans="1:17" x14ac:dyDescent="0.3">
      <c r="A862" s="249" t="s">
        <v>1870</v>
      </c>
      <c r="B862" s="246">
        <v>3513</v>
      </c>
      <c r="C862" t="s">
        <v>1870</v>
      </c>
      <c r="D862" t="s">
        <v>1870</v>
      </c>
      <c r="E862" s="7" t="s">
        <v>329</v>
      </c>
      <c r="F862">
        <v>0</v>
      </c>
      <c r="G862" t="s">
        <v>1870</v>
      </c>
      <c r="H862" t="s">
        <v>888</v>
      </c>
      <c r="I862" t="s">
        <v>1489</v>
      </c>
      <c r="J862" t="s">
        <v>1870</v>
      </c>
      <c r="K862" t="s">
        <v>1870</v>
      </c>
      <c r="L862" t="s">
        <v>1489</v>
      </c>
      <c r="M862" t="s">
        <v>1489</v>
      </c>
      <c r="N862" t="s">
        <v>1870</v>
      </c>
      <c r="O862" t="s">
        <v>1489</v>
      </c>
      <c r="Q862" s="3">
        <v>0</v>
      </c>
    </row>
    <row r="863" spans="1:17" x14ac:dyDescent="0.3">
      <c r="A863" s="249" t="s">
        <v>1870</v>
      </c>
      <c r="B863" s="246">
        <v>3513</v>
      </c>
      <c r="C863" t="s">
        <v>1870</v>
      </c>
      <c r="D863" t="s">
        <v>1870</v>
      </c>
      <c r="E863" s="7" t="s">
        <v>64</v>
      </c>
      <c r="F863">
        <v>0</v>
      </c>
      <c r="G863" t="s">
        <v>1870</v>
      </c>
      <c r="H863" t="s">
        <v>890</v>
      </c>
      <c r="I863" t="s">
        <v>1489</v>
      </c>
      <c r="J863" t="s">
        <v>1870</v>
      </c>
      <c r="K863" t="s">
        <v>1870</v>
      </c>
      <c r="L863" t="s">
        <v>1489</v>
      </c>
      <c r="M863" t="s">
        <v>1489</v>
      </c>
      <c r="N863" t="s">
        <v>1870</v>
      </c>
      <c r="O863" t="s">
        <v>1489</v>
      </c>
      <c r="Q863" s="3">
        <v>0</v>
      </c>
    </row>
    <row r="864" spans="1:17" x14ac:dyDescent="0.3">
      <c r="A864" s="249" t="s">
        <v>1870</v>
      </c>
      <c r="B864" s="246">
        <v>3514</v>
      </c>
      <c r="C864" t="s">
        <v>1870</v>
      </c>
      <c r="D864" t="s">
        <v>1870</v>
      </c>
      <c r="E864" s="246" t="s">
        <v>159</v>
      </c>
      <c r="F864">
        <v>0</v>
      </c>
      <c r="G864" t="s">
        <v>1870</v>
      </c>
      <c r="H864" s="248" t="s">
        <v>893</v>
      </c>
      <c r="I864" s="246" t="s">
        <v>1811</v>
      </c>
      <c r="J864" t="s">
        <v>1870</v>
      </c>
      <c r="K864" t="s">
        <v>1870</v>
      </c>
      <c r="L864" s="246" t="s">
        <v>1504</v>
      </c>
      <c r="M864" s="246" t="s">
        <v>2133</v>
      </c>
      <c r="N864" t="s">
        <v>1870</v>
      </c>
      <c r="O864" s="247" t="s">
        <v>2240</v>
      </c>
      <c r="P864" s="3">
        <v>221.95</v>
      </c>
      <c r="Q864" s="3">
        <v>0</v>
      </c>
    </row>
    <row r="865" spans="1:18" x14ac:dyDescent="0.3">
      <c r="A865" s="249" t="s">
        <v>1870</v>
      </c>
      <c r="B865" s="246">
        <v>3514</v>
      </c>
      <c r="C865" t="s">
        <v>1870</v>
      </c>
      <c r="D865" t="s">
        <v>1870</v>
      </c>
      <c r="E865" s="246" t="s">
        <v>159</v>
      </c>
      <c r="F865" s="246">
        <v>2</v>
      </c>
      <c r="G865" t="s">
        <v>1870</v>
      </c>
      <c r="H865" s="248" t="s">
        <v>895</v>
      </c>
      <c r="I865" t="s">
        <v>1811</v>
      </c>
      <c r="J865" t="s">
        <v>1870</v>
      </c>
      <c r="K865" t="s">
        <v>1870</v>
      </c>
      <c r="L865" t="s">
        <v>1504</v>
      </c>
      <c r="M865" t="s">
        <v>2133</v>
      </c>
      <c r="N865" t="s">
        <v>1870</v>
      </c>
      <c r="O865" s="247" t="s">
        <v>2240</v>
      </c>
      <c r="P865" s="3">
        <v>101.05</v>
      </c>
      <c r="Q865" s="3">
        <v>0</v>
      </c>
    </row>
    <row r="866" spans="1:18" x14ac:dyDescent="0.3">
      <c r="A866" s="249" t="s">
        <v>1870</v>
      </c>
      <c r="B866" s="246">
        <v>3514</v>
      </c>
      <c r="C866" t="s">
        <v>1870</v>
      </c>
      <c r="D866" t="s">
        <v>1870</v>
      </c>
      <c r="E866" s="246" t="s">
        <v>131</v>
      </c>
      <c r="F866" s="246">
        <v>0</v>
      </c>
      <c r="G866" t="s">
        <v>1870</v>
      </c>
      <c r="H866" s="248" t="s">
        <v>897</v>
      </c>
      <c r="I866" t="s">
        <v>1811</v>
      </c>
      <c r="J866" t="s">
        <v>1870</v>
      </c>
      <c r="K866" t="s">
        <v>1870</v>
      </c>
      <c r="L866" s="246" t="s">
        <v>1812</v>
      </c>
      <c r="M866" s="246" t="s">
        <v>2131</v>
      </c>
      <c r="N866" t="s">
        <v>1870</v>
      </c>
      <c r="O866" s="247" t="s">
        <v>2245</v>
      </c>
      <c r="P866" s="3">
        <v>605.45000000000005</v>
      </c>
      <c r="Q866" s="3">
        <v>0</v>
      </c>
    </row>
    <row r="867" spans="1:18" x14ac:dyDescent="0.3">
      <c r="A867" s="249" t="s">
        <v>1870</v>
      </c>
      <c r="B867" s="246">
        <v>3514</v>
      </c>
      <c r="C867" t="s">
        <v>1870</v>
      </c>
      <c r="D867" t="s">
        <v>1870</v>
      </c>
      <c r="E867" s="246" t="s">
        <v>131</v>
      </c>
      <c r="F867" s="246">
        <v>2</v>
      </c>
      <c r="G867" t="s">
        <v>1870</v>
      </c>
      <c r="H867" s="248" t="s">
        <v>899</v>
      </c>
      <c r="I867" t="s">
        <v>1811</v>
      </c>
      <c r="J867" t="s">
        <v>1870</v>
      </c>
      <c r="K867" t="s">
        <v>1870</v>
      </c>
      <c r="L867" s="246" t="s">
        <v>1822</v>
      </c>
      <c r="M867" t="s">
        <v>2131</v>
      </c>
      <c r="N867" t="s">
        <v>1870</v>
      </c>
      <c r="O867" s="247" t="s">
        <v>2246</v>
      </c>
      <c r="Q867" s="3">
        <v>0</v>
      </c>
    </row>
    <row r="868" spans="1:18" x14ac:dyDescent="0.3">
      <c r="A868" s="249" t="s">
        <v>1870</v>
      </c>
      <c r="B868" s="246">
        <v>3514</v>
      </c>
      <c r="C868" t="s">
        <v>1870</v>
      </c>
      <c r="D868" t="s">
        <v>1870</v>
      </c>
      <c r="E868" s="246" t="s">
        <v>131</v>
      </c>
      <c r="F868" s="246">
        <v>2</v>
      </c>
      <c r="G868" t="s">
        <v>1870</v>
      </c>
      <c r="H868" s="248" t="s">
        <v>899</v>
      </c>
      <c r="I868" t="s">
        <v>1811</v>
      </c>
      <c r="J868" t="s">
        <v>1870</v>
      </c>
      <c r="K868" t="s">
        <v>1870</v>
      </c>
      <c r="L868" s="246" t="s">
        <v>1812</v>
      </c>
      <c r="M868" t="s">
        <v>2131</v>
      </c>
      <c r="N868" t="s">
        <v>1870</v>
      </c>
      <c r="O868" s="247" t="s">
        <v>2245</v>
      </c>
      <c r="P868" s="3">
        <v>775.5</v>
      </c>
      <c r="Q868" s="3">
        <v>0</v>
      </c>
    </row>
    <row r="869" spans="1:18" x14ac:dyDescent="0.3">
      <c r="A869" s="249" t="s">
        <v>1870</v>
      </c>
      <c r="B869" s="246">
        <v>3514</v>
      </c>
      <c r="C869" t="s">
        <v>1870</v>
      </c>
      <c r="D869" t="s">
        <v>1870</v>
      </c>
      <c r="E869" s="246" t="s">
        <v>131</v>
      </c>
      <c r="F869" s="246">
        <v>2</v>
      </c>
      <c r="G869" t="s">
        <v>1870</v>
      </c>
      <c r="H869" s="248" t="s">
        <v>899</v>
      </c>
      <c r="I869" t="s">
        <v>1811</v>
      </c>
      <c r="J869" t="s">
        <v>1870</v>
      </c>
      <c r="K869" t="s">
        <v>1870</v>
      </c>
      <c r="L869" s="246" t="s">
        <v>1504</v>
      </c>
      <c r="M869" s="246" t="s">
        <v>2132</v>
      </c>
      <c r="N869" t="s">
        <v>1870</v>
      </c>
      <c r="O869" s="247" t="s">
        <v>2241</v>
      </c>
      <c r="Q869" s="3">
        <v>0</v>
      </c>
    </row>
    <row r="870" spans="1:18" x14ac:dyDescent="0.3">
      <c r="A870" s="249" t="s">
        <v>1870</v>
      </c>
      <c r="B870" s="246">
        <v>3514</v>
      </c>
      <c r="C870" t="s">
        <v>1870</v>
      </c>
      <c r="D870" t="s">
        <v>1870</v>
      </c>
      <c r="E870" s="246" t="s">
        <v>131</v>
      </c>
      <c r="F870" s="246">
        <v>2</v>
      </c>
      <c r="G870" t="s">
        <v>1870</v>
      </c>
      <c r="H870" s="248" t="s">
        <v>899</v>
      </c>
      <c r="I870" t="s">
        <v>1811</v>
      </c>
      <c r="J870" t="s">
        <v>1870</v>
      </c>
      <c r="K870" t="s">
        <v>1870</v>
      </c>
      <c r="L870" s="246" t="s">
        <v>1504</v>
      </c>
      <c r="M870" s="246" t="s">
        <v>2134</v>
      </c>
      <c r="N870" t="s">
        <v>1870</v>
      </c>
      <c r="O870" s="247" t="s">
        <v>2242</v>
      </c>
      <c r="Q870" s="3">
        <v>0</v>
      </c>
    </row>
    <row r="871" spans="1:18" x14ac:dyDescent="0.3">
      <c r="A871" s="249" t="s">
        <v>1870</v>
      </c>
      <c r="B871" s="246">
        <v>3514</v>
      </c>
      <c r="C871" t="s">
        <v>1870</v>
      </c>
      <c r="D871" t="s">
        <v>1870</v>
      </c>
      <c r="E871" s="246" t="s">
        <v>131</v>
      </c>
      <c r="F871" s="246">
        <v>2</v>
      </c>
      <c r="G871" t="s">
        <v>1870</v>
      </c>
      <c r="H871" s="248" t="s">
        <v>899</v>
      </c>
      <c r="I871" t="s">
        <v>1811</v>
      </c>
      <c r="J871" t="s">
        <v>1870</v>
      </c>
      <c r="K871" t="s">
        <v>1870</v>
      </c>
      <c r="L871" s="246" t="s">
        <v>1504</v>
      </c>
      <c r="M871" s="246" t="s">
        <v>2135</v>
      </c>
      <c r="N871" t="s">
        <v>1870</v>
      </c>
      <c r="O871" s="247" t="s">
        <v>2243</v>
      </c>
      <c r="Q871" s="3">
        <v>0</v>
      </c>
    </row>
    <row r="872" spans="1:18" x14ac:dyDescent="0.3">
      <c r="A872" s="249" t="s">
        <v>1870</v>
      </c>
      <c r="B872" s="246">
        <v>3514</v>
      </c>
      <c r="C872" t="s">
        <v>1870</v>
      </c>
      <c r="D872" t="s">
        <v>1870</v>
      </c>
      <c r="E872" s="246" t="s">
        <v>123</v>
      </c>
      <c r="F872" s="246">
        <v>0</v>
      </c>
      <c r="G872" t="s">
        <v>1870</v>
      </c>
      <c r="H872" s="248" t="s">
        <v>901</v>
      </c>
      <c r="I872" t="s">
        <v>1811</v>
      </c>
      <c r="J872" t="s">
        <v>1870</v>
      </c>
      <c r="K872" t="s">
        <v>1870</v>
      </c>
      <c r="L872" s="246" t="s">
        <v>1812</v>
      </c>
      <c r="M872" s="246" t="s">
        <v>2131</v>
      </c>
      <c r="N872" t="s">
        <v>1870</v>
      </c>
      <c r="O872" s="247" t="s">
        <v>2245</v>
      </c>
      <c r="P872" s="3">
        <v>172.95</v>
      </c>
      <c r="Q872" s="3">
        <v>0</v>
      </c>
    </row>
    <row r="873" spans="1:18" x14ac:dyDescent="0.3">
      <c r="A873" s="249" t="s">
        <v>1870</v>
      </c>
      <c r="B873" s="246">
        <v>3514</v>
      </c>
      <c r="C873" t="s">
        <v>1870</v>
      </c>
      <c r="D873" t="s">
        <v>1870</v>
      </c>
      <c r="E873" s="246" t="s">
        <v>48</v>
      </c>
      <c r="F873">
        <v>0</v>
      </c>
      <c r="G873" t="s">
        <v>1870</v>
      </c>
      <c r="H873" s="248" t="s">
        <v>903</v>
      </c>
      <c r="I873" t="s">
        <v>1811</v>
      </c>
      <c r="J873" t="s">
        <v>1870</v>
      </c>
      <c r="K873" t="s">
        <v>1870</v>
      </c>
      <c r="L873" s="246" t="s">
        <v>1504</v>
      </c>
      <c r="M873" t="s">
        <v>2131</v>
      </c>
      <c r="N873" t="s">
        <v>1870</v>
      </c>
      <c r="O873" s="247" t="s">
        <v>2244</v>
      </c>
      <c r="P873" s="3">
        <v>657.8</v>
      </c>
      <c r="Q873" s="3">
        <v>0</v>
      </c>
    </row>
    <row r="874" spans="1:18" x14ac:dyDescent="0.3">
      <c r="A874" s="249" t="s">
        <v>1870</v>
      </c>
      <c r="B874" s="246">
        <v>3514</v>
      </c>
      <c r="C874" t="s">
        <v>1870</v>
      </c>
      <c r="D874" t="s">
        <v>1870</v>
      </c>
      <c r="E874" s="246" t="s">
        <v>53</v>
      </c>
      <c r="F874">
        <v>0</v>
      </c>
      <c r="G874" t="s">
        <v>1870</v>
      </c>
      <c r="H874" s="248" t="s">
        <v>905</v>
      </c>
      <c r="I874" t="s">
        <v>1811</v>
      </c>
      <c r="J874" t="s">
        <v>1870</v>
      </c>
      <c r="K874" t="s">
        <v>1870</v>
      </c>
      <c r="L874" s="246">
        <v>3441</v>
      </c>
      <c r="M874" s="246" t="s">
        <v>2139</v>
      </c>
      <c r="N874" t="s">
        <v>1870</v>
      </c>
      <c r="O874" s="247" t="s">
        <v>2249</v>
      </c>
      <c r="P874" s="3">
        <v>94641.85</v>
      </c>
      <c r="Q874" s="3">
        <v>0</v>
      </c>
    </row>
    <row r="875" spans="1:18" x14ac:dyDescent="0.3">
      <c r="A875" s="249" t="s">
        <v>1870</v>
      </c>
      <c r="B875" s="246">
        <v>3514</v>
      </c>
      <c r="C875" t="s">
        <v>1870</v>
      </c>
      <c r="D875" t="s">
        <v>1870</v>
      </c>
      <c r="E875" s="7" t="s">
        <v>6</v>
      </c>
      <c r="F875">
        <v>0</v>
      </c>
      <c r="G875" t="s">
        <v>1870</v>
      </c>
      <c r="H875" t="s">
        <v>907</v>
      </c>
      <c r="I875" t="s">
        <v>1489</v>
      </c>
      <c r="J875" t="s">
        <v>1870</v>
      </c>
      <c r="K875" t="s">
        <v>1870</v>
      </c>
      <c r="L875">
        <v>0</v>
      </c>
      <c r="M875" t="s">
        <v>1489</v>
      </c>
      <c r="N875" t="s">
        <v>1870</v>
      </c>
      <c r="O875" t="s">
        <v>1489</v>
      </c>
      <c r="Q875" s="3">
        <v>0</v>
      </c>
    </row>
    <row r="876" spans="1:18" x14ac:dyDescent="0.3">
      <c r="A876" s="249" t="s">
        <v>1870</v>
      </c>
      <c r="B876" s="246">
        <v>3514</v>
      </c>
      <c r="C876" t="s">
        <v>1870</v>
      </c>
      <c r="D876" t="s">
        <v>1870</v>
      </c>
      <c r="E876" s="7" t="s">
        <v>326</v>
      </c>
      <c r="F876">
        <v>0</v>
      </c>
      <c r="G876" t="s">
        <v>1870</v>
      </c>
      <c r="H876" t="s">
        <v>909</v>
      </c>
      <c r="I876" t="s">
        <v>1489</v>
      </c>
      <c r="J876" t="s">
        <v>1870</v>
      </c>
      <c r="K876" t="s">
        <v>1870</v>
      </c>
      <c r="L876" t="s">
        <v>1489</v>
      </c>
      <c r="M876" t="s">
        <v>1489</v>
      </c>
      <c r="N876" t="s">
        <v>1870</v>
      </c>
      <c r="O876" t="s">
        <v>1489</v>
      </c>
      <c r="Q876" s="3">
        <v>0</v>
      </c>
    </row>
    <row r="877" spans="1:18" x14ac:dyDescent="0.3">
      <c r="A877" s="249" t="s">
        <v>1870</v>
      </c>
      <c r="B877" s="246">
        <v>3514</v>
      </c>
      <c r="C877" t="s">
        <v>1870</v>
      </c>
      <c r="D877" t="s">
        <v>1870</v>
      </c>
      <c r="E877" s="246" t="s">
        <v>335</v>
      </c>
      <c r="F877" s="246">
        <v>2</v>
      </c>
      <c r="G877" t="s">
        <v>1870</v>
      </c>
      <c r="H877" s="248" t="s">
        <v>911</v>
      </c>
      <c r="I877" s="7" t="s">
        <v>1811</v>
      </c>
      <c r="J877" t="s">
        <v>1870</v>
      </c>
      <c r="K877" t="s">
        <v>1870</v>
      </c>
      <c r="L877" s="246" t="s">
        <v>1813</v>
      </c>
      <c r="M877" s="246" t="s">
        <v>2131</v>
      </c>
      <c r="N877" t="s">
        <v>1870</v>
      </c>
      <c r="O877" s="247" t="s">
        <v>2247</v>
      </c>
      <c r="P877" s="3">
        <v>-28510</v>
      </c>
      <c r="Q877" s="3">
        <v>0</v>
      </c>
    </row>
    <row r="878" spans="1:18" x14ac:dyDescent="0.3">
      <c r="A878" s="249" t="s">
        <v>1870</v>
      </c>
      <c r="B878" s="246">
        <v>3514</v>
      </c>
      <c r="C878" t="s">
        <v>1870</v>
      </c>
      <c r="D878" t="s">
        <v>1870</v>
      </c>
      <c r="E878" s="246" t="s">
        <v>64</v>
      </c>
      <c r="F878" s="246">
        <v>0</v>
      </c>
      <c r="G878" t="s">
        <v>1870</v>
      </c>
      <c r="H878" s="248" t="s">
        <v>913</v>
      </c>
      <c r="I878" s="246" t="s">
        <v>1710</v>
      </c>
      <c r="J878" t="s">
        <v>1870</v>
      </c>
      <c r="K878" t="s">
        <v>1870</v>
      </c>
      <c r="L878" s="246" t="s">
        <v>1711</v>
      </c>
      <c r="M878" t="s">
        <v>2131</v>
      </c>
      <c r="N878" t="s">
        <v>1870</v>
      </c>
      <c r="O878" s="247" t="s">
        <v>1712</v>
      </c>
      <c r="P878" s="3">
        <v>-94641.85</v>
      </c>
      <c r="Q878" s="3">
        <v>0</v>
      </c>
    </row>
    <row r="879" spans="1:18" x14ac:dyDescent="0.3">
      <c r="P879"/>
      <c r="Q879"/>
      <c r="R879"/>
    </row>
    <row r="880" spans="1:18" x14ac:dyDescent="0.3">
      <c r="P880"/>
      <c r="Q880"/>
      <c r="R880"/>
    </row>
    <row r="881" spans="2:15" customFormat="1" x14ac:dyDescent="0.3">
      <c r="B881" s="246"/>
      <c r="E881" s="246"/>
      <c r="F881" s="246"/>
      <c r="H881" s="248"/>
      <c r="I881" s="246"/>
      <c r="L881" s="246"/>
      <c r="M881" s="246"/>
      <c r="O881" s="247"/>
    </row>
    <row r="882" spans="2:15" customFormat="1" x14ac:dyDescent="0.3">
      <c r="B882" s="246"/>
      <c r="E882" s="246"/>
      <c r="F882" s="246"/>
      <c r="H882" s="248"/>
      <c r="I882" s="246"/>
      <c r="L882" s="246"/>
      <c r="M882" s="246"/>
      <c r="O882" s="247"/>
    </row>
    <row r="883" spans="2:15" customFormat="1" x14ac:dyDescent="0.3">
      <c r="B883" s="246"/>
      <c r="E883" s="246"/>
      <c r="F883" s="246"/>
      <c r="H883" s="248"/>
      <c r="I883" s="246"/>
      <c r="L883" s="246"/>
      <c r="M883" s="246"/>
      <c r="O883" s="247"/>
    </row>
    <row r="884" spans="2:15" customFormat="1" x14ac:dyDescent="0.3">
      <c r="B884" s="246"/>
      <c r="E884" s="246"/>
      <c r="F884" s="246"/>
      <c r="H884" s="248"/>
      <c r="I884" s="246"/>
      <c r="L884" s="246"/>
      <c r="M884" s="246"/>
      <c r="O884" s="2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BC10-8B78-439C-8306-AB0B11777351}">
  <sheetPr codeName="Feuil5"/>
  <dimension ref="A1:AQ888"/>
  <sheetViews>
    <sheetView tabSelected="1" zoomScale="109" zoomScaleNormal="109" workbookViewId="0">
      <pane xSplit="7" ySplit="2" topLeftCell="H30" activePane="bottomRight" state="frozen"/>
      <selection pane="topRight" activeCell="F1" sqref="F1"/>
      <selection pane="bottomLeft" activeCell="A2" sqref="A2"/>
      <selection pane="bottomRight" activeCell="C35" sqref="C35"/>
    </sheetView>
  </sheetViews>
  <sheetFormatPr baseColWidth="10" defaultRowHeight="15" customHeight="1" outlineLevelCol="2" x14ac:dyDescent="0.3"/>
  <cols>
    <col min="1" max="1" width="2.77734375" customWidth="1" outlineLevel="1"/>
    <col min="2" max="2" width="10.44140625" customWidth="1" outlineLevel="1"/>
    <col min="3" max="3" width="40.33203125" style="28" customWidth="1"/>
    <col min="4" max="4" width="6.6640625" style="7" hidden="1" customWidth="1" outlineLevel="1"/>
    <col min="5" max="5" width="7.33203125" style="7" hidden="1" customWidth="1" outlineLevel="1" collapsed="1"/>
    <col min="6" max="6" width="7.33203125" style="7" customWidth="1" collapsed="1"/>
    <col min="7" max="8" width="7.109375" style="7" customWidth="1"/>
    <col min="9" max="9" width="9.21875" style="3" hidden="1" customWidth="1" outlineLevel="2"/>
    <col min="10" max="10" width="8.5546875" style="3" hidden="1" customWidth="1" outlineLevel="2"/>
    <col min="11" max="11" width="8.88671875" style="3" hidden="1" customWidth="1" outlineLevel="1"/>
    <col min="12" max="12" width="9.109375" style="3" hidden="1" customWidth="1" outlineLevel="2"/>
    <col min="13" max="13" width="10.21875" style="3" hidden="1" customWidth="1" outlineLevel="2"/>
    <col min="14" max="14" width="10.109375" style="3" hidden="1" customWidth="1" outlineLevel="1" collapsed="1"/>
    <col min="15" max="15" width="8.88671875" style="3" hidden="1" customWidth="1" outlineLevel="1"/>
    <col min="16" max="16" width="6.77734375" style="181" customWidth="1" collapsed="1"/>
    <col min="17" max="17" width="5.88671875" style="181" customWidth="1"/>
    <col min="18" max="18" width="4.77734375" style="181" customWidth="1"/>
    <col min="19" max="19" width="45" style="41" customWidth="1"/>
    <col min="20" max="20" width="10.33203125" style="6" customWidth="1" outlineLevel="1"/>
    <col min="21" max="21" width="10.21875" style="6" customWidth="1" outlineLevel="1"/>
    <col min="22" max="22" width="28.77734375" style="7" customWidth="1" outlineLevel="1"/>
    <col min="23" max="23" width="28.44140625" customWidth="1" outlineLevel="1"/>
    <col min="24" max="25" width="11.5546875" customWidth="1" outlineLevel="1"/>
    <col min="26" max="26" width="10" customWidth="1"/>
    <col min="27" max="28" width="5.33203125" customWidth="1"/>
    <col min="29" max="29" width="4" bestFit="1" customWidth="1"/>
    <col min="30" max="31" width="5.33203125" customWidth="1"/>
    <col min="32" max="32" width="5.5546875" customWidth="1"/>
    <col min="33" max="33" width="23.77734375" customWidth="1"/>
    <col min="34" max="34" width="7.21875" customWidth="1"/>
    <col min="35" max="35" width="5.33203125" customWidth="1"/>
    <col min="36" max="36" width="5" bestFit="1" customWidth="1"/>
    <col min="37" max="37" width="12" bestFit="1" customWidth="1"/>
    <col min="38" max="38" width="12.109375" bestFit="1" customWidth="1"/>
  </cols>
  <sheetData>
    <row r="1" spans="1:43" ht="15" customHeight="1" x14ac:dyDescent="0.3">
      <c r="K1" s="6">
        <f>SUM(K3:K1048576)+390211.97</f>
        <v>1.6298145055770874E-9</v>
      </c>
      <c r="N1" s="6">
        <f>SUM(N3:N1048576)-467686</f>
        <v>0</v>
      </c>
      <c r="O1" s="6"/>
      <c r="P1" s="200"/>
      <c r="Q1" s="200"/>
      <c r="R1" s="200"/>
      <c r="S1" s="41" t="s">
        <v>1878</v>
      </c>
      <c r="T1" s="6">
        <f>SUM(T3:T1048576)+390211.97</f>
        <v>-1.4799999988172203</v>
      </c>
      <c r="X1" s="96" t="s">
        <v>2081</v>
      </c>
    </row>
    <row r="2" spans="1:43" s="230" customFormat="1" ht="52.8" x14ac:dyDescent="0.25">
      <c r="A2" s="225" t="s">
        <v>0</v>
      </c>
      <c r="B2" s="224" t="s">
        <v>2115</v>
      </c>
      <c r="C2" s="226" t="s">
        <v>2116</v>
      </c>
      <c r="D2" s="225" t="s">
        <v>1449</v>
      </c>
      <c r="E2" s="224" t="s">
        <v>1</v>
      </c>
      <c r="F2" s="224" t="s">
        <v>2095</v>
      </c>
      <c r="G2" s="224" t="s">
        <v>2</v>
      </c>
      <c r="H2" s="224" t="s">
        <v>1880</v>
      </c>
      <c r="I2" s="222" t="s">
        <v>1984</v>
      </c>
      <c r="J2" s="222" t="s">
        <v>1985</v>
      </c>
      <c r="K2" s="222" t="s">
        <v>1986</v>
      </c>
      <c r="L2" s="222" t="s">
        <v>1987</v>
      </c>
      <c r="M2" s="222" t="s">
        <v>1988</v>
      </c>
      <c r="N2" s="222" t="s">
        <v>1990</v>
      </c>
      <c r="O2" s="223" t="s">
        <v>1989</v>
      </c>
      <c r="P2" s="225" t="s">
        <v>2117</v>
      </c>
      <c r="Q2" s="225" t="s">
        <v>2118</v>
      </c>
      <c r="R2" s="225" t="s">
        <v>2119</v>
      </c>
      <c r="S2" s="227" t="s">
        <v>2120</v>
      </c>
      <c r="T2" s="228" t="s">
        <v>1388</v>
      </c>
      <c r="U2" s="228" t="s">
        <v>1389</v>
      </c>
      <c r="V2" s="229" t="s">
        <v>1970</v>
      </c>
      <c r="W2" s="230" t="s">
        <v>1447</v>
      </c>
      <c r="X2" s="231" t="s">
        <v>1471</v>
      </c>
      <c r="Y2" s="232" t="s">
        <v>1476</v>
      </c>
      <c r="Z2" s="236" t="s">
        <v>2156</v>
      </c>
      <c r="AA2" s="235" t="s">
        <v>2140</v>
      </c>
      <c r="AB2" s="238" t="s">
        <v>2143</v>
      </c>
      <c r="AC2" s="236" t="s">
        <v>2141</v>
      </c>
      <c r="AD2" s="237" t="s">
        <v>2142</v>
      </c>
      <c r="AE2" s="239" t="s">
        <v>2144</v>
      </c>
      <c r="AF2" s="240" t="s">
        <v>2145</v>
      </c>
      <c r="AG2" s="237" t="s">
        <v>2146</v>
      </c>
      <c r="AH2" s="241" t="s">
        <v>2147</v>
      </c>
      <c r="AI2" s="235" t="s">
        <v>2148</v>
      </c>
      <c r="AJ2" s="242" t="s">
        <v>2149</v>
      </c>
      <c r="AK2" s="237" t="s">
        <v>2150</v>
      </c>
      <c r="AL2" s="239" t="s">
        <v>2151</v>
      </c>
      <c r="AM2" s="240" t="s">
        <v>2152</v>
      </c>
      <c r="AN2" s="237" t="s">
        <v>2153</v>
      </c>
      <c r="AO2" s="236" t="s">
        <v>2154</v>
      </c>
      <c r="AP2" s="243" t="s">
        <v>1780</v>
      </c>
      <c r="AQ2" s="237" t="s">
        <v>2155</v>
      </c>
    </row>
    <row r="3" spans="1:43" ht="15" customHeight="1" x14ac:dyDescent="0.3">
      <c r="A3" s="48">
        <v>0</v>
      </c>
      <c r="B3" s="49" t="s">
        <v>9</v>
      </c>
      <c r="C3" s="50" t="s">
        <v>10</v>
      </c>
      <c r="D3" s="46" t="s">
        <v>1458</v>
      </c>
      <c r="E3" s="46" t="s">
        <v>8</v>
      </c>
      <c r="F3" s="46">
        <v>100</v>
      </c>
      <c r="G3" s="46" t="s">
        <v>11</v>
      </c>
      <c r="H3" s="46"/>
      <c r="I3" s="51">
        <v>9075</v>
      </c>
      <c r="J3" s="51">
        <v>0</v>
      </c>
      <c r="K3" s="51">
        <f>+I3+J3</f>
        <v>9075</v>
      </c>
      <c r="L3" s="51">
        <v>12000</v>
      </c>
      <c r="M3" s="51">
        <v>0</v>
      </c>
      <c r="N3" s="51">
        <f t="shared" ref="N3:N34" si="0">+L3+M3</f>
        <v>12000</v>
      </c>
      <c r="O3" s="51">
        <v>8525</v>
      </c>
      <c r="P3" s="179" t="s">
        <v>1365</v>
      </c>
      <c r="Q3" s="179" t="s">
        <v>1366</v>
      </c>
      <c r="R3" s="179" t="s">
        <v>2131</v>
      </c>
      <c r="S3" s="47" t="s">
        <v>1377</v>
      </c>
      <c r="T3" s="54">
        <f>+I3</f>
        <v>9075</v>
      </c>
      <c r="U3" s="54">
        <f>+T3</f>
        <v>9075</v>
      </c>
      <c r="AA3">
        <f>+F3</f>
        <v>100</v>
      </c>
      <c r="AD3" t="str">
        <f>+G3</f>
        <v>300</v>
      </c>
      <c r="AE3">
        <f>+H3</f>
        <v>0</v>
      </c>
      <c r="AG3" s="50" t="str">
        <f>+C3</f>
        <v>Conseil Communal - Commissions</v>
      </c>
      <c r="AH3" s="244" t="str">
        <f>+P3</f>
        <v>01100</v>
      </c>
      <c r="AI3" s="219"/>
      <c r="AJ3" s="219"/>
      <c r="AK3" s="219" t="str">
        <f>+Q3</f>
        <v>3000</v>
      </c>
      <c r="AL3" s="244" t="str">
        <f>+R3</f>
        <v>00</v>
      </c>
      <c r="AN3" s="219" t="str">
        <f>+S3</f>
        <v>Commissions</v>
      </c>
    </row>
    <row r="4" spans="1:43" ht="15" customHeight="1" x14ac:dyDescent="0.3">
      <c r="A4" s="48">
        <v>0</v>
      </c>
      <c r="B4" s="49" t="s">
        <v>12</v>
      </c>
      <c r="C4" s="50" t="s">
        <v>13</v>
      </c>
      <c r="D4" s="46" t="s">
        <v>1458</v>
      </c>
      <c r="E4" s="46" t="s">
        <v>8</v>
      </c>
      <c r="F4" s="46">
        <v>100</v>
      </c>
      <c r="G4" s="46" t="s">
        <v>3</v>
      </c>
      <c r="H4" s="46"/>
      <c r="I4" s="51">
        <v>9428.9500000000007</v>
      </c>
      <c r="J4" s="51">
        <v>0</v>
      </c>
      <c r="K4" s="51">
        <f>+I4+J4</f>
        <v>9428.9500000000007</v>
      </c>
      <c r="L4" s="51">
        <v>9500</v>
      </c>
      <c r="M4" s="51">
        <v>0</v>
      </c>
      <c r="N4" s="51">
        <f t="shared" si="0"/>
        <v>9500</v>
      </c>
      <c r="O4" s="51">
        <v>9294.7999999999993</v>
      </c>
      <c r="P4" s="179" t="s">
        <v>1365</v>
      </c>
      <c r="Q4" s="179" t="s">
        <v>1366</v>
      </c>
      <c r="R4" s="179" t="s">
        <v>2132</v>
      </c>
      <c r="S4" s="47" t="s">
        <v>1374</v>
      </c>
      <c r="T4" s="54">
        <f>+I4</f>
        <v>9428.9500000000007</v>
      </c>
      <c r="U4" s="54">
        <f>+T4</f>
        <v>9428.9500000000007</v>
      </c>
      <c r="W4" t="s">
        <v>1884</v>
      </c>
      <c r="AA4">
        <f t="shared" ref="AA4:AA67" si="1">+F4</f>
        <v>100</v>
      </c>
      <c r="AD4" t="str">
        <f t="shared" ref="AD4:AD67" si="2">+G4</f>
        <v>301</v>
      </c>
      <c r="AE4">
        <f t="shared" ref="AE4:AE67" si="3">+H4</f>
        <v>0</v>
      </c>
      <c r="AG4" s="50" t="str">
        <f t="shared" ref="AG4:AG67" si="4">+C4</f>
        <v>Conseil Communal - Secrétariat</v>
      </c>
      <c r="AH4" s="244" t="str">
        <f t="shared" ref="AH4:AH67" si="5">+P4</f>
        <v>01100</v>
      </c>
      <c r="AI4" s="219"/>
      <c r="AJ4" s="219"/>
      <c r="AK4" s="219" t="str">
        <f t="shared" ref="AK4:AK67" si="6">+Q4</f>
        <v>3000</v>
      </c>
      <c r="AL4" s="244" t="str">
        <f t="shared" ref="AL4:AL67" si="7">+R4</f>
        <v>01</v>
      </c>
      <c r="AN4" s="219" t="str">
        <f t="shared" ref="AN4:AN67" si="8">+S4</f>
        <v>Salaire des autorités et commissions - scrt.</v>
      </c>
    </row>
    <row r="5" spans="1:43" ht="15" customHeight="1" x14ac:dyDescent="0.3">
      <c r="A5" s="48">
        <v>0</v>
      </c>
      <c r="B5" s="79" t="s">
        <v>14</v>
      </c>
      <c r="C5" s="80" t="s">
        <v>15</v>
      </c>
      <c r="D5" s="187" t="s">
        <v>1458</v>
      </c>
      <c r="E5" s="187" t="s">
        <v>8</v>
      </c>
      <c r="F5" s="46">
        <v>100</v>
      </c>
      <c r="G5" s="187" t="s">
        <v>16</v>
      </c>
      <c r="H5" s="187"/>
      <c r="I5" s="51">
        <v>804.3</v>
      </c>
      <c r="J5" s="51">
        <v>0</v>
      </c>
      <c r="K5" s="51">
        <f>+I5+J5</f>
        <v>804.3</v>
      </c>
      <c r="L5" s="51">
        <v>1300</v>
      </c>
      <c r="M5" s="51">
        <v>0</v>
      </c>
      <c r="N5" s="51">
        <f t="shared" si="0"/>
        <v>1300</v>
      </c>
      <c r="O5" s="51">
        <v>879.25</v>
      </c>
      <c r="P5" s="179" t="s">
        <v>1365</v>
      </c>
      <c r="Q5" s="179" t="s">
        <v>1367</v>
      </c>
      <c r="R5" s="179" t="s">
        <v>2131</v>
      </c>
      <c r="S5" s="47" t="s">
        <v>1378</v>
      </c>
      <c r="T5" s="54">
        <f>+I5</f>
        <v>804.3</v>
      </c>
      <c r="U5" s="54">
        <f>+T5</f>
        <v>804.3</v>
      </c>
      <c r="V5" s="8" t="s">
        <v>1448</v>
      </c>
      <c r="AA5">
        <f t="shared" si="1"/>
        <v>100</v>
      </c>
      <c r="AD5" t="str">
        <f t="shared" si="2"/>
        <v>303</v>
      </c>
      <c r="AE5">
        <f t="shared" si="3"/>
        <v>0</v>
      </c>
      <c r="AG5" s="50" t="str">
        <f t="shared" si="4"/>
        <v>Conseil Communal - Cotisations AVS/AC/AF</v>
      </c>
      <c r="AH5" s="244" t="str">
        <f t="shared" si="5"/>
        <v>01100</v>
      </c>
      <c r="AI5" s="219"/>
      <c r="AJ5" s="219"/>
      <c r="AK5" s="219" t="str">
        <f t="shared" si="6"/>
        <v>3050</v>
      </c>
      <c r="AL5" s="244" t="str">
        <f t="shared" si="7"/>
        <v>00</v>
      </c>
      <c r="AN5" s="219" t="str">
        <f t="shared" si="8"/>
        <v>Cotisations AVS, AI, APG, AC, frais adm</v>
      </c>
    </row>
    <row r="6" spans="1:43" ht="15" customHeight="1" x14ac:dyDescent="0.3">
      <c r="A6" s="48"/>
      <c r="B6" s="79" t="s">
        <v>14</v>
      </c>
      <c r="C6" s="80" t="s">
        <v>15</v>
      </c>
      <c r="D6" s="187" t="s">
        <v>1458</v>
      </c>
      <c r="E6" s="187" t="s">
        <v>8</v>
      </c>
      <c r="F6" s="46">
        <v>100</v>
      </c>
      <c r="G6" s="187" t="s">
        <v>16</v>
      </c>
      <c r="H6" s="187"/>
      <c r="I6" s="51"/>
      <c r="J6" s="51"/>
      <c r="K6" s="51"/>
      <c r="L6" s="51"/>
      <c r="M6" s="51"/>
      <c r="N6" s="51">
        <f t="shared" si="0"/>
        <v>0</v>
      </c>
      <c r="O6" s="51"/>
      <c r="P6" s="179" t="s">
        <v>1365</v>
      </c>
      <c r="Q6" s="179" t="s">
        <v>1413</v>
      </c>
      <c r="R6" s="179" t="s">
        <v>2131</v>
      </c>
      <c r="S6" s="5" t="s">
        <v>1414</v>
      </c>
      <c r="T6" s="54"/>
      <c r="U6" s="54"/>
      <c r="AA6">
        <f t="shared" si="1"/>
        <v>100</v>
      </c>
      <c r="AD6" t="str">
        <f t="shared" si="2"/>
        <v>303</v>
      </c>
      <c r="AE6">
        <f t="shared" si="3"/>
        <v>0</v>
      </c>
      <c r="AG6" s="50" t="str">
        <f t="shared" si="4"/>
        <v>Conseil Communal - Cotisations AVS/AC/AF</v>
      </c>
      <c r="AH6" s="244" t="str">
        <f t="shared" si="5"/>
        <v>01100</v>
      </c>
      <c r="AI6" s="219"/>
      <c r="AJ6" s="219"/>
      <c r="AK6" s="219" t="str">
        <f t="shared" si="6"/>
        <v>3054</v>
      </c>
      <c r="AL6" s="244" t="str">
        <f t="shared" si="7"/>
        <v>00</v>
      </c>
      <c r="AN6" s="219" t="str">
        <f t="shared" si="8"/>
        <v>Cotisations CAF</v>
      </c>
    </row>
    <row r="7" spans="1:43" ht="15" customHeight="1" x14ac:dyDescent="0.3">
      <c r="A7" s="48">
        <v>0</v>
      </c>
      <c r="B7" s="49" t="s">
        <v>17</v>
      </c>
      <c r="C7" s="50" t="s">
        <v>18</v>
      </c>
      <c r="D7" s="46" t="s">
        <v>1458</v>
      </c>
      <c r="E7" s="46" t="s">
        <v>8</v>
      </c>
      <c r="F7" s="46">
        <v>100</v>
      </c>
      <c r="G7" s="46" t="s">
        <v>19</v>
      </c>
      <c r="H7" s="46"/>
      <c r="I7" s="51">
        <v>139.85</v>
      </c>
      <c r="J7" s="51">
        <v>0</v>
      </c>
      <c r="K7" s="51">
        <f>+I7+J7</f>
        <v>139.85</v>
      </c>
      <c r="L7" s="51">
        <v>240</v>
      </c>
      <c r="M7" s="51">
        <v>0</v>
      </c>
      <c r="N7" s="51">
        <f t="shared" si="0"/>
        <v>240</v>
      </c>
      <c r="O7" s="51">
        <v>149.6</v>
      </c>
      <c r="P7" s="179" t="s">
        <v>1365</v>
      </c>
      <c r="Q7" s="179" t="s">
        <v>1375</v>
      </c>
      <c r="R7" s="179" t="s">
        <v>2131</v>
      </c>
      <c r="S7" s="47" t="s">
        <v>1379</v>
      </c>
      <c r="T7" s="54">
        <f>+I7</f>
        <v>139.85</v>
      </c>
      <c r="U7" s="54">
        <f>+T7</f>
        <v>139.85</v>
      </c>
      <c r="AA7">
        <f t="shared" si="1"/>
        <v>100</v>
      </c>
      <c r="AD7" t="str">
        <f t="shared" si="2"/>
        <v>305</v>
      </c>
      <c r="AE7">
        <f t="shared" si="3"/>
        <v>0</v>
      </c>
      <c r="AG7" s="50" t="str">
        <f t="shared" si="4"/>
        <v>Conseil Communal - Ass. Accidents/Maladie</v>
      </c>
      <c r="AH7" s="244" t="str">
        <f t="shared" si="5"/>
        <v>01100</v>
      </c>
      <c r="AI7" s="219"/>
      <c r="AJ7" s="219"/>
      <c r="AK7" s="219" t="str">
        <f t="shared" si="6"/>
        <v>3053</v>
      </c>
      <c r="AL7" s="244" t="str">
        <f t="shared" si="7"/>
        <v>00</v>
      </c>
      <c r="AN7" s="219" t="str">
        <f t="shared" si="8"/>
        <v>Cotisations patronales aux assurance-accidents</v>
      </c>
    </row>
    <row r="8" spans="1:43" ht="15" customHeight="1" x14ac:dyDescent="0.3">
      <c r="A8" s="48"/>
      <c r="B8" s="49"/>
      <c r="C8" s="50"/>
      <c r="D8" s="46"/>
      <c r="E8" s="46"/>
      <c r="F8" s="46"/>
      <c r="G8" s="46"/>
      <c r="H8" s="46"/>
      <c r="I8" s="51"/>
      <c r="J8" s="51"/>
      <c r="K8" s="51"/>
      <c r="L8" s="51"/>
      <c r="M8" s="51"/>
      <c r="N8" s="51">
        <f t="shared" si="0"/>
        <v>0</v>
      </c>
      <c r="O8" s="51"/>
      <c r="P8" s="179" t="s">
        <v>1365</v>
      </c>
      <c r="Q8" s="179" t="s">
        <v>1386</v>
      </c>
      <c r="R8" s="179" t="s">
        <v>2131</v>
      </c>
      <c r="S8" s="47" t="s">
        <v>1387</v>
      </c>
      <c r="T8" s="54"/>
      <c r="U8" s="54"/>
      <c r="AA8">
        <f t="shared" si="1"/>
        <v>0</v>
      </c>
      <c r="AD8">
        <f t="shared" si="2"/>
        <v>0</v>
      </c>
      <c r="AE8">
        <f t="shared" si="3"/>
        <v>0</v>
      </c>
      <c r="AG8" s="50">
        <f t="shared" si="4"/>
        <v>0</v>
      </c>
      <c r="AH8" s="244" t="str">
        <f t="shared" si="5"/>
        <v>01100</v>
      </c>
      <c r="AI8" s="219"/>
      <c r="AJ8" s="219"/>
      <c r="AK8" s="219" t="str">
        <f t="shared" si="6"/>
        <v>3052</v>
      </c>
      <c r="AL8" s="244" t="str">
        <f t="shared" si="7"/>
        <v>00</v>
      </c>
      <c r="AN8" s="219" t="str">
        <f t="shared" si="8"/>
        <v>Cotisations patronales aux caisses de pensions</v>
      </c>
    </row>
    <row r="9" spans="1:43" ht="15" customHeight="1" x14ac:dyDescent="0.3">
      <c r="A9" s="48">
        <v>0</v>
      </c>
      <c r="B9" s="49" t="s">
        <v>20</v>
      </c>
      <c r="C9" s="50" t="s">
        <v>21</v>
      </c>
      <c r="D9" s="46" t="s">
        <v>1458</v>
      </c>
      <c r="E9" s="46" t="s">
        <v>8</v>
      </c>
      <c r="F9" s="46">
        <v>100</v>
      </c>
      <c r="G9" s="46" t="s">
        <v>22</v>
      </c>
      <c r="H9" s="46"/>
      <c r="I9" s="51">
        <v>3385.45</v>
      </c>
      <c r="J9" s="51">
        <v>0</v>
      </c>
      <c r="K9" s="51">
        <f t="shared" ref="K9:K40" si="9">+I9+J9</f>
        <v>3385.45</v>
      </c>
      <c r="L9" s="51">
        <v>2000</v>
      </c>
      <c r="M9" s="51">
        <v>0</v>
      </c>
      <c r="N9" s="51">
        <f t="shared" si="0"/>
        <v>2000</v>
      </c>
      <c r="O9" s="51">
        <v>5728.25</v>
      </c>
      <c r="P9" s="179" t="s">
        <v>1365</v>
      </c>
      <c r="Q9" s="179" t="s">
        <v>1380</v>
      </c>
      <c r="R9" s="179" t="s">
        <v>2131</v>
      </c>
      <c r="S9" s="47" t="s">
        <v>1381</v>
      </c>
      <c r="T9" s="54">
        <f>+I9</f>
        <v>3385.45</v>
      </c>
      <c r="U9" s="54">
        <f t="shared" ref="U9:U37" si="10">+T9</f>
        <v>3385.45</v>
      </c>
      <c r="AA9">
        <f t="shared" si="1"/>
        <v>100</v>
      </c>
      <c r="AD9" t="str">
        <f t="shared" si="2"/>
        <v>306</v>
      </c>
      <c r="AE9">
        <f t="shared" si="3"/>
        <v>0</v>
      </c>
      <c r="AG9" s="50" t="str">
        <f t="shared" si="4"/>
        <v>Conseil Communal - Frais</v>
      </c>
      <c r="AH9" s="244" t="str">
        <f t="shared" si="5"/>
        <v>01100</v>
      </c>
      <c r="AI9" s="219"/>
      <c r="AJ9" s="219"/>
      <c r="AK9" s="219" t="str">
        <f t="shared" si="6"/>
        <v>3099</v>
      </c>
      <c r="AL9" s="244" t="str">
        <f t="shared" si="7"/>
        <v>00</v>
      </c>
      <c r="AN9" s="219" t="str">
        <f t="shared" si="8"/>
        <v>Autres charges du personnel</v>
      </c>
    </row>
    <row r="10" spans="1:43" ht="15" customHeight="1" x14ac:dyDescent="0.3">
      <c r="A10" s="48"/>
      <c r="B10" s="49" t="s">
        <v>20</v>
      </c>
      <c r="C10" s="50" t="s">
        <v>21</v>
      </c>
      <c r="D10" s="46" t="s">
        <v>1458</v>
      </c>
      <c r="E10" s="46" t="s">
        <v>8</v>
      </c>
      <c r="F10" s="46">
        <v>100</v>
      </c>
      <c r="G10" s="46" t="s">
        <v>22</v>
      </c>
      <c r="H10" s="46"/>
      <c r="I10" s="51"/>
      <c r="J10" s="51"/>
      <c r="K10" s="51">
        <f t="shared" si="9"/>
        <v>0</v>
      </c>
      <c r="L10" s="51"/>
      <c r="M10" s="51"/>
      <c r="N10" s="51">
        <f t="shared" si="0"/>
        <v>0</v>
      </c>
      <c r="O10" s="51"/>
      <c r="P10" s="179" t="s">
        <v>1365</v>
      </c>
      <c r="Q10" s="179" t="s">
        <v>1382</v>
      </c>
      <c r="R10" s="179" t="s">
        <v>2131</v>
      </c>
      <c r="S10" s="47" t="s">
        <v>1383</v>
      </c>
      <c r="T10" s="54">
        <f>+I10</f>
        <v>0</v>
      </c>
      <c r="U10" s="54">
        <f t="shared" si="10"/>
        <v>0</v>
      </c>
      <c r="AA10">
        <f t="shared" si="1"/>
        <v>100</v>
      </c>
      <c r="AD10" t="str">
        <f t="shared" si="2"/>
        <v>306</v>
      </c>
      <c r="AE10">
        <f t="shared" si="3"/>
        <v>0</v>
      </c>
      <c r="AG10" s="50" t="str">
        <f t="shared" si="4"/>
        <v>Conseil Communal - Frais</v>
      </c>
      <c r="AH10" s="244" t="str">
        <f t="shared" si="5"/>
        <v>01100</v>
      </c>
      <c r="AI10" s="219"/>
      <c r="AJ10" s="219"/>
      <c r="AK10" s="219" t="str">
        <f t="shared" si="6"/>
        <v>3049</v>
      </c>
      <c r="AL10" s="244" t="str">
        <f t="shared" si="7"/>
        <v>00</v>
      </c>
      <c r="AN10" s="219" t="str">
        <f t="shared" si="8"/>
        <v>Autres indemnités forfaitaires - natels</v>
      </c>
    </row>
    <row r="11" spans="1:43" ht="15" customHeight="1" x14ac:dyDescent="0.3">
      <c r="A11" s="48"/>
      <c r="B11" s="49" t="s">
        <v>20</v>
      </c>
      <c r="C11" s="50" t="s">
        <v>21</v>
      </c>
      <c r="D11" s="46" t="s">
        <v>1458</v>
      </c>
      <c r="E11" s="46" t="s">
        <v>8</v>
      </c>
      <c r="F11" s="46">
        <v>100</v>
      </c>
      <c r="G11" s="46" t="s">
        <v>22</v>
      </c>
      <c r="H11" s="46"/>
      <c r="I11" s="51"/>
      <c r="J11" s="51"/>
      <c r="K11" s="51">
        <f t="shared" si="9"/>
        <v>0</v>
      </c>
      <c r="L11" s="51"/>
      <c r="M11" s="51"/>
      <c r="N11" s="51">
        <f t="shared" si="0"/>
        <v>0</v>
      </c>
      <c r="O11" s="51"/>
      <c r="P11" s="179" t="s">
        <v>1365</v>
      </c>
      <c r="Q11" s="179" t="s">
        <v>1393</v>
      </c>
      <c r="R11" s="179" t="s">
        <v>2131</v>
      </c>
      <c r="S11" s="47" t="s">
        <v>2073</v>
      </c>
      <c r="T11" s="54">
        <f>+I11</f>
        <v>0</v>
      </c>
      <c r="U11" s="54">
        <f t="shared" si="10"/>
        <v>0</v>
      </c>
      <c r="AA11">
        <f t="shared" si="1"/>
        <v>100</v>
      </c>
      <c r="AD11" t="str">
        <f t="shared" si="2"/>
        <v>306</v>
      </c>
      <c r="AE11">
        <f t="shared" si="3"/>
        <v>0</v>
      </c>
      <c r="AG11" s="50" t="str">
        <f t="shared" si="4"/>
        <v>Conseil Communal - Frais</v>
      </c>
      <c r="AH11" s="244" t="str">
        <f t="shared" si="5"/>
        <v>01100</v>
      </c>
      <c r="AI11" s="219"/>
      <c r="AJ11" s="219"/>
      <c r="AK11" s="219" t="str">
        <f t="shared" si="6"/>
        <v>3170</v>
      </c>
      <c r="AL11" s="244" t="str">
        <f t="shared" si="7"/>
        <v>00</v>
      </c>
      <c r="AN11" s="219" t="str">
        <f t="shared" si="8"/>
        <v>Remboursements de frais effectifs km</v>
      </c>
    </row>
    <row r="12" spans="1:43" ht="15" customHeight="1" x14ac:dyDescent="0.3">
      <c r="A12" s="48">
        <v>0</v>
      </c>
      <c r="B12" s="49" t="s">
        <v>23</v>
      </c>
      <c r="C12" s="50" t="s">
        <v>24</v>
      </c>
      <c r="D12" s="46" t="s">
        <v>1458</v>
      </c>
      <c r="E12" s="46" t="s">
        <v>8</v>
      </c>
      <c r="F12" s="46">
        <v>100</v>
      </c>
      <c r="G12" s="46" t="s">
        <v>25</v>
      </c>
      <c r="H12" s="46"/>
      <c r="I12" s="51">
        <v>0</v>
      </c>
      <c r="J12" s="51">
        <v>0</v>
      </c>
      <c r="K12" s="51">
        <f t="shared" si="9"/>
        <v>0</v>
      </c>
      <c r="L12" s="51">
        <v>0</v>
      </c>
      <c r="M12" s="51">
        <v>0</v>
      </c>
      <c r="N12" s="51">
        <f t="shared" si="0"/>
        <v>0</v>
      </c>
      <c r="O12" s="51">
        <v>766.11</v>
      </c>
      <c r="P12" s="179" t="s">
        <v>1365</v>
      </c>
      <c r="Q12" s="179" t="s">
        <v>1376</v>
      </c>
      <c r="R12" s="179" t="s">
        <v>2131</v>
      </c>
      <c r="S12" s="47" t="s">
        <v>1384</v>
      </c>
      <c r="T12" s="54">
        <f>+I12</f>
        <v>0</v>
      </c>
      <c r="U12" s="54">
        <f t="shared" si="10"/>
        <v>0</v>
      </c>
      <c r="AA12">
        <f t="shared" si="1"/>
        <v>100</v>
      </c>
      <c r="AD12" t="str">
        <f t="shared" si="2"/>
        <v>311</v>
      </c>
      <c r="AE12">
        <f t="shared" si="3"/>
        <v>0</v>
      </c>
      <c r="AG12" s="50" t="str">
        <f t="shared" si="4"/>
        <v>Conseil Communal -Achats matériel et logiciels</v>
      </c>
      <c r="AH12" s="244" t="str">
        <f t="shared" si="5"/>
        <v>01100</v>
      </c>
      <c r="AI12" s="219"/>
      <c r="AJ12" s="219"/>
      <c r="AK12" s="219" t="str">
        <f t="shared" si="6"/>
        <v>3113</v>
      </c>
      <c r="AL12" s="244" t="str">
        <f t="shared" si="7"/>
        <v>00</v>
      </c>
      <c r="AN12" s="219" t="str">
        <f t="shared" si="8"/>
        <v>Matériel informatique</v>
      </c>
    </row>
    <row r="13" spans="1:43" ht="15" customHeight="1" x14ac:dyDescent="0.3">
      <c r="A13" s="48">
        <v>0</v>
      </c>
      <c r="B13" s="49" t="s">
        <v>26</v>
      </c>
      <c r="C13" s="50" t="s">
        <v>27</v>
      </c>
      <c r="D13" s="46" t="s">
        <v>1458</v>
      </c>
      <c r="E13" s="46" t="s">
        <v>8</v>
      </c>
      <c r="F13" s="46">
        <v>100</v>
      </c>
      <c r="G13" s="46" t="s">
        <v>28</v>
      </c>
      <c r="H13" s="46">
        <v>1</v>
      </c>
      <c r="I13" s="51">
        <v>0</v>
      </c>
      <c r="J13" s="51">
        <v>0</v>
      </c>
      <c r="K13" s="51">
        <f t="shared" si="9"/>
        <v>0</v>
      </c>
      <c r="L13" s="51">
        <v>0</v>
      </c>
      <c r="M13" s="51">
        <v>0</v>
      </c>
      <c r="N13" s="51">
        <f t="shared" si="0"/>
        <v>0</v>
      </c>
      <c r="O13" s="51">
        <v>0</v>
      </c>
      <c r="P13" s="179" t="s">
        <v>1489</v>
      </c>
      <c r="Q13" s="179" t="s">
        <v>1489</v>
      </c>
      <c r="R13" s="179" t="s">
        <v>1489</v>
      </c>
      <c r="S13" s="47"/>
      <c r="T13" s="54"/>
      <c r="U13" s="54">
        <f t="shared" si="10"/>
        <v>0</v>
      </c>
      <c r="AA13">
        <f t="shared" si="1"/>
        <v>100</v>
      </c>
      <c r="AD13" t="str">
        <f t="shared" si="2"/>
        <v>390</v>
      </c>
      <c r="AE13">
        <f t="shared" si="3"/>
        <v>1</v>
      </c>
      <c r="AG13" s="50" t="str">
        <f t="shared" si="4"/>
        <v>Conseil Communal - imputations internes salaires</v>
      </c>
      <c r="AH13" s="244" t="str">
        <f t="shared" si="5"/>
        <v>-</v>
      </c>
      <c r="AI13" s="219"/>
      <c r="AJ13" s="219"/>
      <c r="AK13" s="219" t="str">
        <f t="shared" si="6"/>
        <v>-</v>
      </c>
      <c r="AL13" s="244" t="str">
        <f t="shared" si="7"/>
        <v>-</v>
      </c>
      <c r="AN13" s="219">
        <f t="shared" si="8"/>
        <v>0</v>
      </c>
    </row>
    <row r="14" spans="1:43" ht="15" customHeight="1" x14ac:dyDescent="0.3">
      <c r="A14" s="48">
        <v>0</v>
      </c>
      <c r="B14" s="49" t="s">
        <v>30</v>
      </c>
      <c r="C14" s="50" t="s">
        <v>31</v>
      </c>
      <c r="D14" s="46" t="s">
        <v>1458</v>
      </c>
      <c r="E14" s="46" t="s">
        <v>29</v>
      </c>
      <c r="F14" s="46">
        <v>101</v>
      </c>
      <c r="G14" s="46" t="s">
        <v>11</v>
      </c>
      <c r="H14" s="46"/>
      <c r="I14" s="51">
        <v>0</v>
      </c>
      <c r="J14" s="51">
        <v>0</v>
      </c>
      <c r="K14" s="51">
        <f t="shared" si="9"/>
        <v>0</v>
      </c>
      <c r="L14" s="51">
        <v>0</v>
      </c>
      <c r="M14" s="51">
        <v>0</v>
      </c>
      <c r="N14" s="51">
        <f t="shared" si="0"/>
        <v>0</v>
      </c>
      <c r="O14" s="51">
        <v>0</v>
      </c>
      <c r="P14" s="179" t="s">
        <v>1489</v>
      </c>
      <c r="Q14" s="179" t="s">
        <v>1489</v>
      </c>
      <c r="R14" s="179" t="s">
        <v>1489</v>
      </c>
      <c r="S14" s="47"/>
      <c r="T14" s="54"/>
      <c r="U14" s="54">
        <f t="shared" si="10"/>
        <v>0</v>
      </c>
      <c r="AA14">
        <f t="shared" si="1"/>
        <v>101</v>
      </c>
      <c r="AD14" t="str">
        <f t="shared" si="2"/>
        <v>300</v>
      </c>
      <c r="AE14">
        <f t="shared" si="3"/>
        <v>0</v>
      </c>
      <c r="AG14" s="50" t="str">
        <f t="shared" si="4"/>
        <v>Rétributions Municipalité</v>
      </c>
      <c r="AH14" s="244" t="str">
        <f t="shared" si="5"/>
        <v>-</v>
      </c>
      <c r="AI14" s="219"/>
      <c r="AJ14" s="219"/>
      <c r="AK14" s="219" t="str">
        <f t="shared" si="6"/>
        <v>-</v>
      </c>
      <c r="AL14" s="244" t="str">
        <f t="shared" si="7"/>
        <v>-</v>
      </c>
      <c r="AN14" s="219">
        <f t="shared" si="8"/>
        <v>0</v>
      </c>
    </row>
    <row r="15" spans="1:43" ht="15" customHeight="1" x14ac:dyDescent="0.3">
      <c r="A15" s="48">
        <v>0</v>
      </c>
      <c r="B15" s="49" t="s">
        <v>32</v>
      </c>
      <c r="C15" s="50" t="s">
        <v>33</v>
      </c>
      <c r="D15" s="46" t="s">
        <v>1458</v>
      </c>
      <c r="E15" s="46" t="s">
        <v>29</v>
      </c>
      <c r="F15" s="46">
        <v>101</v>
      </c>
      <c r="G15" s="46" t="s">
        <v>3</v>
      </c>
      <c r="H15" s="46"/>
      <c r="I15" s="51">
        <v>210642.3</v>
      </c>
      <c r="J15" s="51">
        <v>0</v>
      </c>
      <c r="K15" s="51">
        <f t="shared" si="9"/>
        <v>210642.3</v>
      </c>
      <c r="L15" s="51">
        <v>225000</v>
      </c>
      <c r="M15" s="51">
        <v>0</v>
      </c>
      <c r="N15" s="51">
        <f t="shared" si="0"/>
        <v>225000</v>
      </c>
      <c r="O15" s="51">
        <v>85347</v>
      </c>
      <c r="P15" s="179" t="s">
        <v>1385</v>
      </c>
      <c r="Q15" s="179" t="s">
        <v>1366</v>
      </c>
      <c r="R15" s="179" t="s">
        <v>2131</v>
      </c>
      <c r="S15" s="47" t="s">
        <v>1373</v>
      </c>
      <c r="T15" s="54">
        <f t="shared" ref="T15:T22" si="11">+I15</f>
        <v>210642.3</v>
      </c>
      <c r="U15" s="54">
        <f t="shared" si="10"/>
        <v>210642.3</v>
      </c>
      <c r="AA15">
        <f t="shared" si="1"/>
        <v>101</v>
      </c>
      <c r="AD15" t="str">
        <f t="shared" si="2"/>
        <v>301</v>
      </c>
      <c r="AE15">
        <f t="shared" si="3"/>
        <v>0</v>
      </c>
      <c r="AG15" s="50" t="str">
        <f t="shared" si="4"/>
        <v>Salaire et vacations</v>
      </c>
      <c r="AH15" s="244" t="str">
        <f t="shared" si="5"/>
        <v>01200</v>
      </c>
      <c r="AI15" s="219"/>
      <c r="AJ15" s="219"/>
      <c r="AK15" s="219" t="str">
        <f t="shared" si="6"/>
        <v>3000</v>
      </c>
      <c r="AL15" s="244" t="str">
        <f t="shared" si="7"/>
        <v>00</v>
      </c>
      <c r="AN15" s="219" t="str">
        <f t="shared" si="8"/>
        <v>Salaire des autorités et commissions</v>
      </c>
    </row>
    <row r="16" spans="1:43" ht="15" customHeight="1" x14ac:dyDescent="0.3">
      <c r="A16" s="48">
        <v>0</v>
      </c>
      <c r="B16" s="79" t="s">
        <v>34</v>
      </c>
      <c r="C16" s="80" t="s">
        <v>35</v>
      </c>
      <c r="D16" s="187" t="s">
        <v>1458</v>
      </c>
      <c r="E16" s="187" t="s">
        <v>29</v>
      </c>
      <c r="F16" s="46">
        <v>101</v>
      </c>
      <c r="G16" s="187" t="s">
        <v>16</v>
      </c>
      <c r="H16" s="187"/>
      <c r="I16" s="51">
        <v>15656.5</v>
      </c>
      <c r="J16" s="51">
        <v>0</v>
      </c>
      <c r="K16" s="51">
        <f t="shared" si="9"/>
        <v>15656.5</v>
      </c>
      <c r="L16" s="51">
        <v>15000</v>
      </c>
      <c r="M16" s="51">
        <v>0</v>
      </c>
      <c r="N16" s="51">
        <f t="shared" si="0"/>
        <v>15000</v>
      </c>
      <c r="O16" s="51">
        <v>6248.4</v>
      </c>
      <c r="P16" s="179" t="s">
        <v>1385</v>
      </c>
      <c r="Q16" s="179" t="s">
        <v>1367</v>
      </c>
      <c r="R16" s="179" t="s">
        <v>2131</v>
      </c>
      <c r="S16" s="47" t="s">
        <v>1378</v>
      </c>
      <c r="T16" s="54">
        <f t="shared" si="11"/>
        <v>15656.5</v>
      </c>
      <c r="U16" s="54">
        <f t="shared" si="10"/>
        <v>15656.5</v>
      </c>
      <c r="V16" s="8" t="s">
        <v>1448</v>
      </c>
      <c r="AA16">
        <f t="shared" si="1"/>
        <v>101</v>
      </c>
      <c r="AD16" t="str">
        <f t="shared" si="2"/>
        <v>303</v>
      </c>
      <c r="AE16">
        <f t="shared" si="3"/>
        <v>0</v>
      </c>
      <c r="AG16" s="50" t="str">
        <f t="shared" si="4"/>
        <v>Cotisations AVS/AC/AF</v>
      </c>
      <c r="AH16" s="244" t="str">
        <f t="shared" si="5"/>
        <v>01200</v>
      </c>
      <c r="AI16" s="219"/>
      <c r="AJ16" s="219"/>
      <c r="AK16" s="219" t="str">
        <f t="shared" si="6"/>
        <v>3050</v>
      </c>
      <c r="AL16" s="244" t="str">
        <f t="shared" si="7"/>
        <v>00</v>
      </c>
      <c r="AN16" s="219" t="str">
        <f t="shared" si="8"/>
        <v>Cotisations AVS, AI, APG, AC, frais adm</v>
      </c>
    </row>
    <row r="17" spans="1:40" ht="15" customHeight="1" x14ac:dyDescent="0.3">
      <c r="A17" s="48"/>
      <c r="B17" s="79" t="s">
        <v>34</v>
      </c>
      <c r="C17" s="80" t="s">
        <v>35</v>
      </c>
      <c r="D17" s="187" t="s">
        <v>1458</v>
      </c>
      <c r="E17" s="187" t="s">
        <v>29</v>
      </c>
      <c r="F17" s="46">
        <v>101</v>
      </c>
      <c r="G17" s="187" t="s">
        <v>16</v>
      </c>
      <c r="H17" s="187"/>
      <c r="I17" s="51"/>
      <c r="J17" s="51"/>
      <c r="K17" s="51">
        <f t="shared" si="9"/>
        <v>0</v>
      </c>
      <c r="L17" s="51"/>
      <c r="M17" s="51"/>
      <c r="N17" s="51">
        <f t="shared" si="0"/>
        <v>0</v>
      </c>
      <c r="O17" s="51"/>
      <c r="P17" s="179" t="s">
        <v>1385</v>
      </c>
      <c r="Q17" s="179" t="s">
        <v>1413</v>
      </c>
      <c r="R17" s="179" t="s">
        <v>2131</v>
      </c>
      <c r="S17" s="47" t="s">
        <v>1414</v>
      </c>
      <c r="T17" s="54">
        <f t="shared" si="11"/>
        <v>0</v>
      </c>
      <c r="U17" s="54">
        <f t="shared" si="10"/>
        <v>0</v>
      </c>
      <c r="AA17">
        <f t="shared" si="1"/>
        <v>101</v>
      </c>
      <c r="AD17" t="str">
        <f t="shared" si="2"/>
        <v>303</v>
      </c>
      <c r="AE17">
        <f t="shared" si="3"/>
        <v>0</v>
      </c>
      <c r="AG17" s="50" t="str">
        <f t="shared" si="4"/>
        <v>Cotisations AVS/AC/AF</v>
      </c>
      <c r="AH17" s="244" t="str">
        <f t="shared" si="5"/>
        <v>01200</v>
      </c>
      <c r="AI17" s="219"/>
      <c r="AJ17" s="219"/>
      <c r="AK17" s="219" t="str">
        <f t="shared" si="6"/>
        <v>3054</v>
      </c>
      <c r="AL17" s="244" t="str">
        <f t="shared" si="7"/>
        <v>00</v>
      </c>
      <c r="AN17" s="219" t="str">
        <f t="shared" si="8"/>
        <v>Cotisations CAF</v>
      </c>
    </row>
    <row r="18" spans="1:40" ht="15" customHeight="1" x14ac:dyDescent="0.3">
      <c r="A18" s="48">
        <v>0</v>
      </c>
      <c r="B18" s="49" t="s">
        <v>36</v>
      </c>
      <c r="C18" s="50" t="s">
        <v>37</v>
      </c>
      <c r="D18" s="46" t="s">
        <v>1458</v>
      </c>
      <c r="E18" s="46" t="s">
        <v>29</v>
      </c>
      <c r="F18" s="46">
        <v>101</v>
      </c>
      <c r="G18" s="46" t="s">
        <v>38</v>
      </c>
      <c r="H18" s="46"/>
      <c r="I18" s="51">
        <v>16477.2</v>
      </c>
      <c r="J18" s="51">
        <v>0</v>
      </c>
      <c r="K18" s="51">
        <f t="shared" si="9"/>
        <v>16477.2</v>
      </c>
      <c r="L18" s="51">
        <v>15000</v>
      </c>
      <c r="M18" s="51">
        <v>0</v>
      </c>
      <c r="N18" s="51">
        <f t="shared" si="0"/>
        <v>15000</v>
      </c>
      <c r="O18" s="51">
        <v>3357.45</v>
      </c>
      <c r="P18" s="179" t="s">
        <v>1385</v>
      </c>
      <c r="Q18" s="179" t="s">
        <v>1386</v>
      </c>
      <c r="R18" s="179" t="s">
        <v>2131</v>
      </c>
      <c r="S18" s="47" t="s">
        <v>1387</v>
      </c>
      <c r="T18" s="54">
        <f t="shared" si="11"/>
        <v>16477.2</v>
      </c>
      <c r="U18" s="54">
        <f t="shared" si="10"/>
        <v>16477.2</v>
      </c>
      <c r="AA18">
        <f t="shared" si="1"/>
        <v>101</v>
      </c>
      <c r="AD18" t="str">
        <f t="shared" si="2"/>
        <v>304</v>
      </c>
      <c r="AE18">
        <f t="shared" si="3"/>
        <v>0</v>
      </c>
      <c r="AG18" s="50" t="str">
        <f t="shared" si="4"/>
        <v>Prévoyance professionnelle</v>
      </c>
      <c r="AH18" s="244" t="str">
        <f t="shared" si="5"/>
        <v>01200</v>
      </c>
      <c r="AI18" s="219"/>
      <c r="AJ18" s="219"/>
      <c r="AK18" s="219" t="str">
        <f t="shared" si="6"/>
        <v>3052</v>
      </c>
      <c r="AL18" s="244" t="str">
        <f t="shared" si="7"/>
        <v>00</v>
      </c>
      <c r="AN18" s="219" t="str">
        <f t="shared" si="8"/>
        <v>Cotisations patronales aux caisses de pensions</v>
      </c>
    </row>
    <row r="19" spans="1:40" ht="15" customHeight="1" x14ac:dyDescent="0.3">
      <c r="A19" s="48">
        <v>0</v>
      </c>
      <c r="B19" s="49" t="s">
        <v>39</v>
      </c>
      <c r="C19" s="50" t="s">
        <v>40</v>
      </c>
      <c r="D19" s="46" t="s">
        <v>1458</v>
      </c>
      <c r="E19" s="46" t="s">
        <v>29</v>
      </c>
      <c r="F19" s="46">
        <v>101</v>
      </c>
      <c r="G19" s="46" t="s">
        <v>19</v>
      </c>
      <c r="H19" s="46"/>
      <c r="I19" s="51">
        <v>2334.65</v>
      </c>
      <c r="J19" s="51">
        <v>0</v>
      </c>
      <c r="K19" s="51">
        <f t="shared" si="9"/>
        <v>2334.65</v>
      </c>
      <c r="L19" s="51">
        <v>1350</v>
      </c>
      <c r="M19" s="51">
        <v>0</v>
      </c>
      <c r="N19" s="51">
        <f t="shared" si="0"/>
        <v>1350</v>
      </c>
      <c r="O19" s="51">
        <v>930.4</v>
      </c>
      <c r="P19" s="179" t="s">
        <v>1385</v>
      </c>
      <c r="Q19" s="179" t="s">
        <v>1375</v>
      </c>
      <c r="R19" s="179" t="s">
        <v>2131</v>
      </c>
      <c r="S19" s="47" t="s">
        <v>1379</v>
      </c>
      <c r="T19" s="54">
        <f t="shared" si="11"/>
        <v>2334.65</v>
      </c>
      <c r="U19" s="54">
        <f t="shared" si="10"/>
        <v>2334.65</v>
      </c>
      <c r="AA19">
        <f>+F19</f>
        <v>101</v>
      </c>
      <c r="AD19" t="str">
        <f t="shared" si="2"/>
        <v>305</v>
      </c>
      <c r="AE19">
        <f t="shared" si="3"/>
        <v>0</v>
      </c>
      <c r="AG19" s="50" t="str">
        <f t="shared" si="4"/>
        <v>Assurances Accidents/Maladie</v>
      </c>
      <c r="AH19" s="244" t="str">
        <f t="shared" si="5"/>
        <v>01200</v>
      </c>
      <c r="AI19" s="219"/>
      <c r="AJ19" s="219"/>
      <c r="AK19" s="219" t="str">
        <f t="shared" si="6"/>
        <v>3053</v>
      </c>
      <c r="AL19" s="244" t="str">
        <f t="shared" si="7"/>
        <v>00</v>
      </c>
      <c r="AN19" s="219" t="str">
        <f t="shared" si="8"/>
        <v>Cotisations patronales aux assurance-accidents</v>
      </c>
    </row>
    <row r="20" spans="1:40" ht="15" customHeight="1" x14ac:dyDescent="0.3">
      <c r="A20" s="48">
        <v>0</v>
      </c>
      <c r="B20" s="74" t="s">
        <v>41</v>
      </c>
      <c r="C20" s="67" t="s">
        <v>42</v>
      </c>
      <c r="D20" s="188" t="s">
        <v>1458</v>
      </c>
      <c r="E20" s="188" t="s">
        <v>29</v>
      </c>
      <c r="F20" s="46">
        <v>101</v>
      </c>
      <c r="G20" s="188" t="s">
        <v>22</v>
      </c>
      <c r="H20" s="188"/>
      <c r="I20" s="51">
        <v>8043.6</v>
      </c>
      <c r="J20" s="51">
        <v>0</v>
      </c>
      <c r="K20" s="51">
        <f t="shared" si="9"/>
        <v>8043.6</v>
      </c>
      <c r="L20" s="51">
        <v>8000</v>
      </c>
      <c r="M20" s="51">
        <v>0</v>
      </c>
      <c r="N20" s="51">
        <f t="shared" si="0"/>
        <v>8000</v>
      </c>
      <c r="O20" s="51">
        <v>2712.7</v>
      </c>
      <c r="P20" s="179" t="s">
        <v>1385</v>
      </c>
      <c r="Q20" s="179" t="s">
        <v>1382</v>
      </c>
      <c r="R20" s="179" t="s">
        <v>2131</v>
      </c>
      <c r="S20" s="47" t="s">
        <v>1383</v>
      </c>
      <c r="T20" s="54">
        <f t="shared" si="11"/>
        <v>8043.6</v>
      </c>
      <c r="U20" s="54">
        <f t="shared" si="10"/>
        <v>8043.6</v>
      </c>
      <c r="V20" s="8" t="s">
        <v>1448</v>
      </c>
      <c r="AA20">
        <f t="shared" si="1"/>
        <v>101</v>
      </c>
      <c r="AD20" t="str">
        <f t="shared" si="2"/>
        <v>306</v>
      </c>
      <c r="AE20">
        <f t="shared" si="3"/>
        <v>0</v>
      </c>
      <c r="AG20" s="50" t="str">
        <f t="shared" si="4"/>
        <v>Frais du personnel ou représentation ext.</v>
      </c>
      <c r="AH20" s="244" t="str">
        <f t="shared" si="5"/>
        <v>01200</v>
      </c>
      <c r="AI20" s="219"/>
      <c r="AJ20" s="219"/>
      <c r="AK20" s="219" t="str">
        <f t="shared" si="6"/>
        <v>3049</v>
      </c>
      <c r="AL20" s="244" t="str">
        <f t="shared" si="7"/>
        <v>00</v>
      </c>
      <c r="AN20" s="219" t="str">
        <f t="shared" si="8"/>
        <v>Autres indemnités forfaitaires - natels</v>
      </c>
    </row>
    <row r="21" spans="1:40" ht="15" customHeight="1" x14ac:dyDescent="0.3">
      <c r="A21" s="48"/>
      <c r="B21" s="74" t="s">
        <v>41</v>
      </c>
      <c r="C21" s="67" t="s">
        <v>42</v>
      </c>
      <c r="D21" s="188" t="s">
        <v>1458</v>
      </c>
      <c r="E21" s="188" t="s">
        <v>29</v>
      </c>
      <c r="F21" s="46">
        <v>101</v>
      </c>
      <c r="G21" s="188" t="s">
        <v>22</v>
      </c>
      <c r="H21" s="188"/>
      <c r="I21" s="51"/>
      <c r="J21" s="51"/>
      <c r="K21" s="51">
        <f t="shared" si="9"/>
        <v>0</v>
      </c>
      <c r="L21" s="51"/>
      <c r="M21" s="51"/>
      <c r="N21" s="51">
        <f t="shared" si="0"/>
        <v>0</v>
      </c>
      <c r="O21" s="51"/>
      <c r="P21" s="179" t="s">
        <v>1385</v>
      </c>
      <c r="Q21" s="179" t="s">
        <v>1393</v>
      </c>
      <c r="R21" s="179" t="s">
        <v>2131</v>
      </c>
      <c r="S21" s="47" t="s">
        <v>2073</v>
      </c>
      <c r="T21" s="54">
        <f t="shared" si="11"/>
        <v>0</v>
      </c>
      <c r="U21" s="54">
        <f t="shared" si="10"/>
        <v>0</v>
      </c>
      <c r="AA21">
        <f t="shared" si="1"/>
        <v>101</v>
      </c>
      <c r="AD21" t="str">
        <f t="shared" si="2"/>
        <v>306</v>
      </c>
      <c r="AE21">
        <f t="shared" si="3"/>
        <v>0</v>
      </c>
      <c r="AG21" s="50" t="str">
        <f t="shared" si="4"/>
        <v>Frais du personnel ou représentation ext.</v>
      </c>
      <c r="AH21" s="244" t="str">
        <f t="shared" si="5"/>
        <v>01200</v>
      </c>
      <c r="AI21" s="219"/>
      <c r="AJ21" s="219"/>
      <c r="AK21" s="219" t="str">
        <f t="shared" si="6"/>
        <v>3170</v>
      </c>
      <c r="AL21" s="244" t="str">
        <f t="shared" si="7"/>
        <v>00</v>
      </c>
      <c r="AN21" s="219" t="str">
        <f t="shared" si="8"/>
        <v>Remboursements de frais effectifs km</v>
      </c>
    </row>
    <row r="22" spans="1:40" ht="15" customHeight="1" x14ac:dyDescent="0.3">
      <c r="A22" s="48">
        <v>0</v>
      </c>
      <c r="B22" s="77" t="s">
        <v>43</v>
      </c>
      <c r="C22" s="78" t="s">
        <v>44</v>
      </c>
      <c r="D22" s="182" t="s">
        <v>1458</v>
      </c>
      <c r="E22" s="182" t="s">
        <v>29</v>
      </c>
      <c r="F22" s="46">
        <v>101</v>
      </c>
      <c r="G22" s="182" t="s">
        <v>45</v>
      </c>
      <c r="H22" s="182"/>
      <c r="I22" s="51">
        <v>78132.03</v>
      </c>
      <c r="J22" s="51">
        <v>0</v>
      </c>
      <c r="K22" s="51">
        <f t="shared" si="9"/>
        <v>78132.03</v>
      </c>
      <c r="L22" s="51">
        <v>74000</v>
      </c>
      <c r="M22" s="51">
        <v>0</v>
      </c>
      <c r="N22" s="51">
        <f t="shared" si="0"/>
        <v>74000</v>
      </c>
      <c r="O22" s="51">
        <v>41392.1</v>
      </c>
      <c r="P22" s="179" t="s">
        <v>1385</v>
      </c>
      <c r="Q22" s="179" t="s">
        <v>1390</v>
      </c>
      <c r="R22" s="179" t="s">
        <v>2131</v>
      </c>
      <c r="S22" s="47" t="s">
        <v>1391</v>
      </c>
      <c r="T22" s="54">
        <f t="shared" si="11"/>
        <v>78132.03</v>
      </c>
      <c r="U22" s="54">
        <f t="shared" si="10"/>
        <v>78132.03</v>
      </c>
      <c r="V22" s="8" t="s">
        <v>1448</v>
      </c>
      <c r="W22" t="s">
        <v>1396</v>
      </c>
      <c r="AA22">
        <f t="shared" si="1"/>
        <v>101</v>
      </c>
      <c r="AD22" t="str">
        <f t="shared" si="2"/>
        <v>317</v>
      </c>
      <c r="AE22">
        <f t="shared" si="3"/>
        <v>0</v>
      </c>
      <c r="AG22" s="50" t="str">
        <f t="shared" si="4"/>
        <v>Réceptions et manifestations</v>
      </c>
      <c r="AH22" s="244" t="str">
        <f t="shared" si="5"/>
        <v>01200</v>
      </c>
      <c r="AI22" s="219"/>
      <c r="AJ22" s="219"/>
      <c r="AK22" s="219" t="str">
        <f t="shared" si="6"/>
        <v>3130</v>
      </c>
      <c r="AL22" s="244" t="str">
        <f t="shared" si="7"/>
        <v>00</v>
      </c>
      <c r="AN22" s="219" t="str">
        <f t="shared" si="8"/>
        <v>Prestations de services tiers - manif et réceptions</v>
      </c>
    </row>
    <row r="23" spans="1:40" ht="15" customHeight="1" x14ac:dyDescent="0.3">
      <c r="A23" s="48"/>
      <c r="B23" s="77" t="s">
        <v>43</v>
      </c>
      <c r="C23" s="78" t="s">
        <v>44</v>
      </c>
      <c r="D23" s="182" t="s">
        <v>1458</v>
      </c>
      <c r="E23" s="182" t="s">
        <v>29</v>
      </c>
      <c r="F23" s="46">
        <v>101</v>
      </c>
      <c r="G23" s="182" t="s">
        <v>45</v>
      </c>
      <c r="H23" s="182"/>
      <c r="I23" s="51"/>
      <c r="J23" s="51"/>
      <c r="K23" s="51">
        <f t="shared" si="9"/>
        <v>0</v>
      </c>
      <c r="L23" s="51"/>
      <c r="M23" s="51"/>
      <c r="N23" s="51">
        <f t="shared" si="0"/>
        <v>0</v>
      </c>
      <c r="O23" s="51"/>
      <c r="P23" s="179" t="s">
        <v>1385</v>
      </c>
      <c r="Q23" s="179" t="s">
        <v>1390</v>
      </c>
      <c r="R23" s="179" t="s">
        <v>2135</v>
      </c>
      <c r="S23" s="47" t="s">
        <v>1402</v>
      </c>
      <c r="T23" s="54"/>
      <c r="U23" s="54">
        <f t="shared" si="10"/>
        <v>0</v>
      </c>
      <c r="W23" s="10" t="s">
        <v>1419</v>
      </c>
      <c r="AA23">
        <f t="shared" si="1"/>
        <v>101</v>
      </c>
      <c r="AD23" t="str">
        <f t="shared" si="2"/>
        <v>317</v>
      </c>
      <c r="AE23">
        <f t="shared" si="3"/>
        <v>0</v>
      </c>
      <c r="AG23" s="50" t="str">
        <f t="shared" si="4"/>
        <v>Réceptions et manifestations</v>
      </c>
      <c r="AH23" s="244" t="str">
        <f t="shared" si="5"/>
        <v>01200</v>
      </c>
      <c r="AI23" s="219"/>
      <c r="AJ23" s="219"/>
      <c r="AK23" s="219" t="str">
        <f t="shared" si="6"/>
        <v>3130</v>
      </c>
      <c r="AL23" s="244" t="str">
        <f t="shared" si="7"/>
        <v>04</v>
      </c>
      <c r="AN23" s="219" t="str">
        <f t="shared" si="8"/>
        <v>Prestations de services tiers - cotisations</v>
      </c>
    </row>
    <row r="24" spans="1:40" ht="15" customHeight="1" x14ac:dyDescent="0.3">
      <c r="A24" s="48"/>
      <c r="B24" s="77" t="s">
        <v>43</v>
      </c>
      <c r="C24" s="78" t="s">
        <v>44</v>
      </c>
      <c r="D24" s="182" t="s">
        <v>1458</v>
      </c>
      <c r="E24" s="182" t="s">
        <v>29</v>
      </c>
      <c r="F24" s="46">
        <v>101</v>
      </c>
      <c r="G24" s="182" t="s">
        <v>45</v>
      </c>
      <c r="H24" s="182"/>
      <c r="I24" s="51"/>
      <c r="J24" s="51"/>
      <c r="K24" s="51">
        <f t="shared" si="9"/>
        <v>0</v>
      </c>
      <c r="L24" s="51"/>
      <c r="M24" s="51"/>
      <c r="N24" s="51">
        <f t="shared" si="0"/>
        <v>0</v>
      </c>
      <c r="O24" s="51"/>
      <c r="P24" s="179" t="s">
        <v>1385</v>
      </c>
      <c r="Q24" s="179" t="s">
        <v>1368</v>
      </c>
      <c r="R24" s="179" t="s">
        <v>2131</v>
      </c>
      <c r="S24" s="47" t="s">
        <v>1392</v>
      </c>
      <c r="T24" s="54"/>
      <c r="U24" s="54">
        <f t="shared" si="10"/>
        <v>0</v>
      </c>
      <c r="AA24">
        <f t="shared" si="1"/>
        <v>101</v>
      </c>
      <c r="AD24" t="str">
        <f t="shared" si="2"/>
        <v>317</v>
      </c>
      <c r="AE24">
        <f t="shared" si="3"/>
        <v>0</v>
      </c>
      <c r="AG24" s="50" t="str">
        <f t="shared" si="4"/>
        <v>Réceptions et manifestations</v>
      </c>
      <c r="AH24" s="244" t="str">
        <f t="shared" si="5"/>
        <v>01200</v>
      </c>
      <c r="AI24" s="219"/>
      <c r="AJ24" s="219"/>
      <c r="AK24" s="219" t="str">
        <f t="shared" si="6"/>
        <v>3090</v>
      </c>
      <c r="AL24" s="244" t="str">
        <f t="shared" si="7"/>
        <v>00</v>
      </c>
      <c r="AN24" s="219" t="str">
        <f t="shared" si="8"/>
        <v>Formation et perfectionnement</v>
      </c>
    </row>
    <row r="25" spans="1:40" ht="15" customHeight="1" x14ac:dyDescent="0.3">
      <c r="A25" s="48"/>
      <c r="B25" s="77" t="s">
        <v>43</v>
      </c>
      <c r="C25" s="78" t="s">
        <v>44</v>
      </c>
      <c r="D25" s="182" t="s">
        <v>1458</v>
      </c>
      <c r="E25" s="182" t="s">
        <v>29</v>
      </c>
      <c r="F25" s="46">
        <v>101</v>
      </c>
      <c r="G25" s="182" t="s">
        <v>45</v>
      </c>
      <c r="H25" s="182"/>
      <c r="I25" s="51"/>
      <c r="J25" s="51"/>
      <c r="K25" s="51">
        <f t="shared" si="9"/>
        <v>0</v>
      </c>
      <c r="L25" s="51"/>
      <c r="M25" s="51"/>
      <c r="N25" s="51">
        <f t="shared" si="0"/>
        <v>0</v>
      </c>
      <c r="O25" s="51"/>
      <c r="P25" s="179" t="s">
        <v>1385</v>
      </c>
      <c r="Q25" s="179" t="s">
        <v>1380</v>
      </c>
      <c r="R25" s="179" t="s">
        <v>2131</v>
      </c>
      <c r="S25" s="47" t="s">
        <v>1381</v>
      </c>
      <c r="T25" s="54"/>
      <c r="U25" s="54">
        <f t="shared" si="10"/>
        <v>0</v>
      </c>
      <c r="W25" t="s">
        <v>1395</v>
      </c>
      <c r="AA25">
        <f t="shared" si="1"/>
        <v>101</v>
      </c>
      <c r="AD25" t="str">
        <f t="shared" si="2"/>
        <v>317</v>
      </c>
      <c r="AE25">
        <f t="shared" si="3"/>
        <v>0</v>
      </c>
      <c r="AG25" s="50" t="str">
        <f t="shared" si="4"/>
        <v>Réceptions et manifestations</v>
      </c>
      <c r="AH25" s="244" t="str">
        <f t="shared" si="5"/>
        <v>01200</v>
      </c>
      <c r="AI25" s="219"/>
      <c r="AJ25" s="219"/>
      <c r="AK25" s="219" t="str">
        <f t="shared" si="6"/>
        <v>3099</v>
      </c>
      <c r="AL25" s="244" t="str">
        <f t="shared" si="7"/>
        <v>00</v>
      </c>
      <c r="AN25" s="219" t="str">
        <f t="shared" si="8"/>
        <v>Autres charges du personnel</v>
      </c>
    </row>
    <row r="26" spans="1:40" ht="15" customHeight="1" x14ac:dyDescent="0.3">
      <c r="A26" s="48">
        <v>0</v>
      </c>
      <c r="B26" s="81" t="s">
        <v>46</v>
      </c>
      <c r="C26" s="82" t="s">
        <v>47</v>
      </c>
      <c r="D26" s="183" t="s">
        <v>1458</v>
      </c>
      <c r="E26" s="183" t="s">
        <v>29</v>
      </c>
      <c r="F26" s="46">
        <v>101</v>
      </c>
      <c r="G26" s="183" t="s">
        <v>48</v>
      </c>
      <c r="H26" s="183"/>
      <c r="I26" s="51">
        <v>106290.15</v>
      </c>
      <c r="J26" s="51">
        <v>0</v>
      </c>
      <c r="K26" s="51">
        <f t="shared" si="9"/>
        <v>106290.15</v>
      </c>
      <c r="L26" s="51">
        <v>110000</v>
      </c>
      <c r="M26" s="51">
        <v>0</v>
      </c>
      <c r="N26" s="51">
        <f t="shared" si="0"/>
        <v>110000</v>
      </c>
      <c r="O26" s="51">
        <v>49881.81</v>
      </c>
      <c r="P26" s="179" t="s">
        <v>1385</v>
      </c>
      <c r="Q26" s="179" t="s">
        <v>1397</v>
      </c>
      <c r="R26" s="179" t="s">
        <v>2131</v>
      </c>
      <c r="S26" s="47" t="s">
        <v>1400</v>
      </c>
      <c r="T26" s="54">
        <f>+I26</f>
        <v>106290.15</v>
      </c>
      <c r="U26" s="54">
        <f t="shared" si="10"/>
        <v>106290.15</v>
      </c>
      <c r="V26" s="8" t="s">
        <v>1448</v>
      </c>
      <c r="W26" t="s">
        <v>1463</v>
      </c>
      <c r="AA26">
        <f t="shared" si="1"/>
        <v>101</v>
      </c>
      <c r="AD26" t="str">
        <f t="shared" si="2"/>
        <v>318</v>
      </c>
      <c r="AE26">
        <f t="shared" si="3"/>
        <v>0</v>
      </c>
      <c r="AG26" s="50" t="str">
        <f t="shared" si="4"/>
        <v>Prestations de service et avocats</v>
      </c>
      <c r="AH26" s="244" t="str">
        <f t="shared" si="5"/>
        <v>01200</v>
      </c>
      <c r="AI26" s="219"/>
      <c r="AJ26" s="219"/>
      <c r="AK26" s="219" t="str">
        <f t="shared" si="6"/>
        <v>3132</v>
      </c>
      <c r="AL26" s="244" t="str">
        <f t="shared" si="7"/>
        <v>00</v>
      </c>
      <c r="AN26" s="219" t="str">
        <f t="shared" si="8"/>
        <v>Honoraires conseils externes, spécialistes (avocats, archivistes, …)</v>
      </c>
    </row>
    <row r="27" spans="1:40" ht="15" customHeight="1" x14ac:dyDescent="0.3">
      <c r="A27" s="48"/>
      <c r="B27" s="81" t="s">
        <v>46</v>
      </c>
      <c r="C27" s="82" t="s">
        <v>47</v>
      </c>
      <c r="D27" s="183" t="s">
        <v>1458</v>
      </c>
      <c r="E27" s="183" t="s">
        <v>29</v>
      </c>
      <c r="F27" s="46">
        <v>101</v>
      </c>
      <c r="G27" s="183" t="s">
        <v>48</v>
      </c>
      <c r="H27" s="183"/>
      <c r="I27" s="51"/>
      <c r="J27" s="51"/>
      <c r="K27" s="51">
        <f t="shared" si="9"/>
        <v>0</v>
      </c>
      <c r="L27" s="51"/>
      <c r="M27" s="51"/>
      <c r="N27" s="51">
        <f t="shared" si="0"/>
        <v>0</v>
      </c>
      <c r="O27" s="51"/>
      <c r="P27" s="179" t="s">
        <v>1385</v>
      </c>
      <c r="Q27" s="179" t="s">
        <v>1398</v>
      </c>
      <c r="R27" s="179" t="s">
        <v>2131</v>
      </c>
      <c r="S27" s="47" t="s">
        <v>2043</v>
      </c>
      <c r="T27" s="54"/>
      <c r="U27" s="54">
        <f t="shared" si="10"/>
        <v>0</v>
      </c>
      <c r="W27" t="s">
        <v>1399</v>
      </c>
      <c r="AA27">
        <f t="shared" si="1"/>
        <v>101</v>
      </c>
      <c r="AD27" t="str">
        <f t="shared" si="2"/>
        <v>318</v>
      </c>
      <c r="AE27">
        <f t="shared" si="3"/>
        <v>0</v>
      </c>
      <c r="AG27" s="50" t="str">
        <f t="shared" si="4"/>
        <v>Prestations de service et avocats</v>
      </c>
      <c r="AH27" s="244" t="str">
        <f t="shared" si="5"/>
        <v>01200</v>
      </c>
      <c r="AI27" s="219"/>
      <c r="AJ27" s="219"/>
      <c r="AK27" s="219" t="str">
        <f t="shared" si="6"/>
        <v>3612</v>
      </c>
      <c r="AL27" s="244" t="str">
        <f t="shared" si="7"/>
        <v>00</v>
      </c>
      <c r="AN27" s="219" t="str">
        <f t="shared" si="8"/>
        <v>Parts aux communes et assoc intercomm</v>
      </c>
    </row>
    <row r="28" spans="1:40" ht="15" customHeight="1" x14ac:dyDescent="0.3">
      <c r="A28" s="48">
        <v>0</v>
      </c>
      <c r="B28" s="49" t="s">
        <v>49</v>
      </c>
      <c r="C28" s="50" t="s">
        <v>50</v>
      </c>
      <c r="D28" s="46" t="s">
        <v>1458</v>
      </c>
      <c r="E28" s="46" t="s">
        <v>29</v>
      </c>
      <c r="F28" s="46">
        <v>101</v>
      </c>
      <c r="G28" s="46" t="s">
        <v>48</v>
      </c>
      <c r="H28" s="46">
        <v>1</v>
      </c>
      <c r="I28" s="51">
        <v>0</v>
      </c>
      <c r="J28" s="51">
        <v>0</v>
      </c>
      <c r="K28" s="51">
        <f t="shared" si="9"/>
        <v>0</v>
      </c>
      <c r="L28" s="51">
        <v>0</v>
      </c>
      <c r="M28" s="51">
        <v>0</v>
      </c>
      <c r="N28" s="51">
        <f t="shared" si="0"/>
        <v>0</v>
      </c>
      <c r="O28" s="51">
        <v>0</v>
      </c>
      <c r="P28" s="179" t="s">
        <v>1489</v>
      </c>
      <c r="Q28" s="179" t="s">
        <v>1489</v>
      </c>
      <c r="R28" s="179" t="s">
        <v>1489</v>
      </c>
      <c r="S28" s="47" t="s">
        <v>1489</v>
      </c>
      <c r="T28" s="54">
        <f t="shared" ref="T28:T35" si="12">+I28</f>
        <v>0</v>
      </c>
      <c r="U28" s="54">
        <f t="shared" si="10"/>
        <v>0</v>
      </c>
      <c r="AA28">
        <f t="shared" si="1"/>
        <v>101</v>
      </c>
      <c r="AD28" t="str">
        <f t="shared" si="2"/>
        <v>318</v>
      </c>
      <c r="AE28">
        <f t="shared" si="3"/>
        <v>1</v>
      </c>
      <c r="AG28" s="50" t="str">
        <f t="shared" si="4"/>
        <v>Prestations SIR</v>
      </c>
      <c r="AH28" s="244" t="str">
        <f t="shared" si="5"/>
        <v>-</v>
      </c>
      <c r="AI28" s="219"/>
      <c r="AJ28" s="219"/>
      <c r="AK28" s="219" t="str">
        <f t="shared" si="6"/>
        <v>-</v>
      </c>
      <c r="AL28" s="244" t="str">
        <f t="shared" si="7"/>
        <v>-</v>
      </c>
      <c r="AN28" s="219" t="str">
        <f t="shared" si="8"/>
        <v>-</v>
      </c>
    </row>
    <row r="29" spans="1:40" ht="15" customHeight="1" x14ac:dyDescent="0.3">
      <c r="A29" s="48">
        <v>0</v>
      </c>
      <c r="B29" s="49" t="s">
        <v>51</v>
      </c>
      <c r="C29" s="50" t="s">
        <v>52</v>
      </c>
      <c r="D29" s="46" t="s">
        <v>1458</v>
      </c>
      <c r="E29" s="46" t="s">
        <v>29</v>
      </c>
      <c r="F29" s="46">
        <v>101</v>
      </c>
      <c r="G29" s="46" t="s">
        <v>53</v>
      </c>
      <c r="H29" s="46"/>
      <c r="I29" s="51">
        <v>0</v>
      </c>
      <c r="J29" s="51">
        <v>0</v>
      </c>
      <c r="K29" s="51">
        <f t="shared" si="9"/>
        <v>0</v>
      </c>
      <c r="L29" s="51">
        <v>0</v>
      </c>
      <c r="M29" s="51">
        <v>0</v>
      </c>
      <c r="N29" s="51">
        <f t="shared" si="0"/>
        <v>0</v>
      </c>
      <c r="O29" s="51">
        <v>0</v>
      </c>
      <c r="P29" s="179" t="s">
        <v>1489</v>
      </c>
      <c r="Q29" s="179" t="s">
        <v>1489</v>
      </c>
      <c r="R29" s="179" t="s">
        <v>1489</v>
      </c>
      <c r="S29" s="47" t="s">
        <v>1489</v>
      </c>
      <c r="T29" s="54">
        <f t="shared" si="12"/>
        <v>0</v>
      </c>
      <c r="U29" s="54">
        <f t="shared" si="10"/>
        <v>0</v>
      </c>
      <c r="AA29">
        <f t="shared" si="1"/>
        <v>101</v>
      </c>
      <c r="AD29" t="str">
        <f t="shared" si="2"/>
        <v>330</v>
      </c>
      <c r="AE29">
        <f t="shared" si="3"/>
        <v>0</v>
      </c>
      <c r="AG29" s="50" t="str">
        <f t="shared" si="4"/>
        <v>AUTORITES  AMORTISSEMENT</v>
      </c>
      <c r="AH29" s="244" t="str">
        <f t="shared" si="5"/>
        <v>-</v>
      </c>
      <c r="AI29" s="219"/>
      <c r="AJ29" s="219"/>
      <c r="AK29" s="219" t="str">
        <f t="shared" si="6"/>
        <v>-</v>
      </c>
      <c r="AL29" s="244" t="str">
        <f t="shared" si="7"/>
        <v>-</v>
      </c>
      <c r="AN29" s="219" t="str">
        <f t="shared" si="8"/>
        <v>-</v>
      </c>
    </row>
    <row r="30" spans="1:40" ht="15" customHeight="1" x14ac:dyDescent="0.3">
      <c r="A30" s="48">
        <v>0</v>
      </c>
      <c r="B30" s="49" t="s">
        <v>54</v>
      </c>
      <c r="C30" s="50" t="s">
        <v>55</v>
      </c>
      <c r="D30" s="46" t="s">
        <v>1458</v>
      </c>
      <c r="E30" s="46" t="s">
        <v>29</v>
      </c>
      <c r="F30" s="46">
        <v>101</v>
      </c>
      <c r="G30" s="46" t="s">
        <v>28</v>
      </c>
      <c r="H30" s="46">
        <v>1</v>
      </c>
      <c r="I30" s="51">
        <v>0</v>
      </c>
      <c r="J30" s="51">
        <v>0</v>
      </c>
      <c r="K30" s="51">
        <f t="shared" si="9"/>
        <v>0</v>
      </c>
      <c r="L30" s="51">
        <v>0</v>
      </c>
      <c r="M30" s="51">
        <v>0</v>
      </c>
      <c r="N30" s="51">
        <f t="shared" si="0"/>
        <v>0</v>
      </c>
      <c r="O30" s="51">
        <v>0</v>
      </c>
      <c r="P30" s="179" t="s">
        <v>1489</v>
      </c>
      <c r="Q30" s="179" t="s">
        <v>1489</v>
      </c>
      <c r="R30" s="179" t="s">
        <v>1489</v>
      </c>
      <c r="S30" s="47" t="s">
        <v>1489</v>
      </c>
      <c r="T30" s="54">
        <f t="shared" si="12"/>
        <v>0</v>
      </c>
      <c r="U30" s="54">
        <f t="shared" si="10"/>
        <v>0</v>
      </c>
      <c r="AA30">
        <f t="shared" si="1"/>
        <v>101</v>
      </c>
      <c r="AD30" t="str">
        <f t="shared" si="2"/>
        <v>390</v>
      </c>
      <c r="AE30">
        <f t="shared" si="3"/>
        <v>1</v>
      </c>
      <c r="AG30" s="50" t="str">
        <f t="shared" si="4"/>
        <v>Imputations internes salaires</v>
      </c>
      <c r="AH30" s="244" t="str">
        <f t="shared" si="5"/>
        <v>-</v>
      </c>
      <c r="AI30" s="219"/>
      <c r="AJ30" s="219"/>
      <c r="AK30" s="219" t="str">
        <f t="shared" si="6"/>
        <v>-</v>
      </c>
      <c r="AL30" s="244" t="str">
        <f t="shared" si="7"/>
        <v>-</v>
      </c>
      <c r="AN30" s="219" t="str">
        <f t="shared" si="8"/>
        <v>-</v>
      </c>
    </row>
    <row r="31" spans="1:40" ht="14.4" x14ac:dyDescent="0.3">
      <c r="A31" s="48">
        <v>0</v>
      </c>
      <c r="B31" s="49" t="s">
        <v>56</v>
      </c>
      <c r="C31" s="50" t="s">
        <v>57</v>
      </c>
      <c r="D31" s="46" t="s">
        <v>1458</v>
      </c>
      <c r="E31" s="46" t="s">
        <v>29</v>
      </c>
      <c r="F31" s="46">
        <v>101</v>
      </c>
      <c r="G31" s="46" t="s">
        <v>58</v>
      </c>
      <c r="H31" s="46"/>
      <c r="I31" s="51">
        <v>0</v>
      </c>
      <c r="J31" s="51">
        <v>0</v>
      </c>
      <c r="K31" s="51">
        <f t="shared" si="9"/>
        <v>0</v>
      </c>
      <c r="L31" s="51">
        <v>0</v>
      </c>
      <c r="M31" s="51">
        <v>0</v>
      </c>
      <c r="N31" s="51">
        <f t="shared" si="0"/>
        <v>0</v>
      </c>
      <c r="O31" s="51">
        <v>-8612.75</v>
      </c>
      <c r="P31" s="179" t="s">
        <v>2128</v>
      </c>
      <c r="Q31" s="179" t="s">
        <v>2126</v>
      </c>
      <c r="R31" s="179" t="s">
        <v>2131</v>
      </c>
      <c r="S31" s="47" t="s">
        <v>2127</v>
      </c>
      <c r="T31" s="54">
        <f t="shared" si="12"/>
        <v>0</v>
      </c>
      <c r="U31" s="54">
        <f t="shared" si="10"/>
        <v>0</v>
      </c>
      <c r="W31" t="s">
        <v>2015</v>
      </c>
      <c r="AA31">
        <f t="shared" si="1"/>
        <v>101</v>
      </c>
      <c r="AD31" t="str">
        <f t="shared" si="2"/>
        <v>435</v>
      </c>
      <c r="AE31">
        <f t="shared" si="3"/>
        <v>0</v>
      </c>
      <c r="AG31" s="50" t="str">
        <f t="shared" si="4"/>
        <v>Vente Manifestations</v>
      </c>
      <c r="AH31" s="244" t="str">
        <f t="shared" si="5"/>
        <v>32200</v>
      </c>
      <c r="AI31" s="219"/>
      <c r="AJ31" s="219"/>
      <c r="AK31" s="219" t="str">
        <f t="shared" si="6"/>
        <v>4309</v>
      </c>
      <c r="AL31" s="244" t="str">
        <f t="shared" si="7"/>
        <v>00</v>
      </c>
      <c r="AN31" s="219" t="str">
        <f t="shared" si="8"/>
        <v>Autres revenus d’exploitation</v>
      </c>
    </row>
    <row r="32" spans="1:40" ht="15" customHeight="1" x14ac:dyDescent="0.3">
      <c r="A32" s="48">
        <v>0</v>
      </c>
      <c r="B32" s="49" t="s">
        <v>59</v>
      </c>
      <c r="C32" s="50" t="s">
        <v>60</v>
      </c>
      <c r="D32" s="46" t="s">
        <v>1458</v>
      </c>
      <c r="E32" s="46" t="s">
        <v>29</v>
      </c>
      <c r="F32" s="46">
        <v>101</v>
      </c>
      <c r="G32" s="46" t="s">
        <v>61</v>
      </c>
      <c r="H32" s="46"/>
      <c r="I32" s="51">
        <v>0</v>
      </c>
      <c r="J32" s="51">
        <v>0</v>
      </c>
      <c r="K32" s="51">
        <f t="shared" si="9"/>
        <v>0</v>
      </c>
      <c r="L32" s="51">
        <v>0</v>
      </c>
      <c r="M32" s="51">
        <v>0</v>
      </c>
      <c r="N32" s="51">
        <f t="shared" si="0"/>
        <v>0</v>
      </c>
      <c r="O32" s="51">
        <v>0</v>
      </c>
      <c r="P32" s="179" t="s">
        <v>1489</v>
      </c>
      <c r="Q32" s="179" t="s">
        <v>1489</v>
      </c>
      <c r="R32" s="179" t="s">
        <v>1489</v>
      </c>
      <c r="S32" s="47" t="s">
        <v>1489</v>
      </c>
      <c r="T32" s="54">
        <f t="shared" si="12"/>
        <v>0</v>
      </c>
      <c r="U32" s="54">
        <f t="shared" si="10"/>
        <v>0</v>
      </c>
      <c r="AA32">
        <f t="shared" si="1"/>
        <v>101</v>
      </c>
      <c r="AD32" t="str">
        <f t="shared" si="2"/>
        <v>436</v>
      </c>
      <c r="AE32">
        <f t="shared" si="3"/>
        <v>0</v>
      </c>
      <c r="AG32" s="50" t="str">
        <f t="shared" si="4"/>
        <v>Participations de tiers</v>
      </c>
      <c r="AH32" s="244" t="str">
        <f t="shared" si="5"/>
        <v>-</v>
      </c>
      <c r="AI32" s="219"/>
      <c r="AJ32" s="219"/>
      <c r="AK32" s="219" t="str">
        <f t="shared" si="6"/>
        <v>-</v>
      </c>
      <c r="AL32" s="244" t="str">
        <f t="shared" si="7"/>
        <v>-</v>
      </c>
      <c r="AN32" s="219" t="str">
        <f t="shared" si="8"/>
        <v>-</v>
      </c>
    </row>
    <row r="33" spans="1:40" ht="15" customHeight="1" x14ac:dyDescent="0.3">
      <c r="A33" s="48">
        <v>0</v>
      </c>
      <c r="B33" s="49" t="s">
        <v>62</v>
      </c>
      <c r="C33" s="50" t="s">
        <v>63</v>
      </c>
      <c r="D33" s="46" t="s">
        <v>1458</v>
      </c>
      <c r="E33" s="46" t="s">
        <v>29</v>
      </c>
      <c r="F33" s="46">
        <v>101</v>
      </c>
      <c r="G33" s="46" t="s">
        <v>64</v>
      </c>
      <c r="H33" s="46"/>
      <c r="I33" s="51">
        <v>0</v>
      </c>
      <c r="J33" s="51">
        <v>0</v>
      </c>
      <c r="K33" s="51">
        <f t="shared" si="9"/>
        <v>0</v>
      </c>
      <c r="L33" s="51">
        <v>0</v>
      </c>
      <c r="M33" s="51">
        <v>0</v>
      </c>
      <c r="N33" s="51">
        <f t="shared" si="0"/>
        <v>0</v>
      </c>
      <c r="O33" s="51">
        <v>0</v>
      </c>
      <c r="P33" s="179" t="s">
        <v>1489</v>
      </c>
      <c r="Q33" s="179" t="s">
        <v>1489</v>
      </c>
      <c r="R33" s="179" t="s">
        <v>1489</v>
      </c>
      <c r="S33" s="47" t="s">
        <v>1489</v>
      </c>
      <c r="T33" s="54">
        <f t="shared" si="12"/>
        <v>0</v>
      </c>
      <c r="U33" s="54">
        <f t="shared" si="10"/>
        <v>0</v>
      </c>
      <c r="AA33">
        <f t="shared" si="1"/>
        <v>101</v>
      </c>
      <c r="AD33" t="str">
        <f t="shared" si="2"/>
        <v>480</v>
      </c>
      <c r="AE33">
        <f t="shared" si="3"/>
        <v>0</v>
      </c>
      <c r="AG33" s="50" t="str">
        <f t="shared" si="4"/>
        <v>Prélèvement fonds de réserve</v>
      </c>
      <c r="AH33" s="244" t="str">
        <f t="shared" si="5"/>
        <v>-</v>
      </c>
      <c r="AI33" s="219"/>
      <c r="AJ33" s="219"/>
      <c r="AK33" s="219" t="str">
        <f t="shared" si="6"/>
        <v>-</v>
      </c>
      <c r="AL33" s="244" t="str">
        <f t="shared" si="7"/>
        <v>-</v>
      </c>
      <c r="AN33" s="219" t="str">
        <f t="shared" si="8"/>
        <v>-</v>
      </c>
    </row>
    <row r="34" spans="1:40" ht="15" customHeight="1" x14ac:dyDescent="0.3">
      <c r="A34" s="48">
        <v>0</v>
      </c>
      <c r="B34" s="49" t="s">
        <v>65</v>
      </c>
      <c r="C34" s="50" t="s">
        <v>66</v>
      </c>
      <c r="D34" s="46" t="s">
        <v>1458</v>
      </c>
      <c r="E34" s="46" t="s">
        <v>29</v>
      </c>
      <c r="F34" s="46">
        <v>101</v>
      </c>
      <c r="G34" s="46" t="s">
        <v>67</v>
      </c>
      <c r="H34" s="46"/>
      <c r="I34" s="51">
        <v>0</v>
      </c>
      <c r="J34" s="51">
        <v>0</v>
      </c>
      <c r="K34" s="51">
        <f t="shared" si="9"/>
        <v>0</v>
      </c>
      <c r="L34" s="51">
        <v>0</v>
      </c>
      <c r="M34" s="51">
        <v>0</v>
      </c>
      <c r="N34" s="51">
        <f t="shared" si="0"/>
        <v>0</v>
      </c>
      <c r="O34" s="51">
        <v>0</v>
      </c>
      <c r="P34" s="179" t="s">
        <v>1489</v>
      </c>
      <c r="Q34" s="179" t="s">
        <v>1489</v>
      </c>
      <c r="R34" s="179" t="s">
        <v>1489</v>
      </c>
      <c r="S34" s="47" t="s">
        <v>1489</v>
      </c>
      <c r="T34" s="54">
        <f t="shared" si="12"/>
        <v>0</v>
      </c>
      <c r="U34" s="54">
        <f t="shared" si="10"/>
        <v>0</v>
      </c>
      <c r="AA34">
        <f t="shared" si="1"/>
        <v>101</v>
      </c>
      <c r="AD34" t="str">
        <f t="shared" si="2"/>
        <v>490</v>
      </c>
      <c r="AE34">
        <f t="shared" si="3"/>
        <v>0</v>
      </c>
      <c r="AG34" s="50" t="str">
        <f t="shared" si="4"/>
        <v>Imputations internes</v>
      </c>
      <c r="AH34" s="244" t="str">
        <f t="shared" si="5"/>
        <v>-</v>
      </c>
      <c r="AI34" s="219"/>
      <c r="AJ34" s="219"/>
      <c r="AK34" s="219" t="str">
        <f t="shared" si="6"/>
        <v>-</v>
      </c>
      <c r="AL34" s="244" t="str">
        <f t="shared" si="7"/>
        <v>-</v>
      </c>
      <c r="AN34" s="219" t="str">
        <f t="shared" si="8"/>
        <v>-</v>
      </c>
    </row>
    <row r="35" spans="1:40" ht="15" customHeight="1" x14ac:dyDescent="0.3">
      <c r="A35" s="48">
        <v>0</v>
      </c>
      <c r="B35" s="83" t="s">
        <v>69</v>
      </c>
      <c r="C35" s="84" t="s">
        <v>70</v>
      </c>
      <c r="D35" s="189" t="s">
        <v>1458</v>
      </c>
      <c r="E35" s="189" t="s">
        <v>68</v>
      </c>
      <c r="F35" s="189">
        <v>110</v>
      </c>
      <c r="G35" s="189" t="s">
        <v>3</v>
      </c>
      <c r="H35" s="189"/>
      <c r="I35" s="51">
        <v>217539.65</v>
      </c>
      <c r="J35" s="51">
        <v>0</v>
      </c>
      <c r="K35" s="51">
        <f t="shared" si="9"/>
        <v>217539.65</v>
      </c>
      <c r="L35" s="51">
        <v>225000</v>
      </c>
      <c r="M35" s="51">
        <v>0</v>
      </c>
      <c r="N35" s="51">
        <f t="shared" ref="N35:N58" si="13">+L35+M35</f>
        <v>225000</v>
      </c>
      <c r="O35" s="51">
        <v>109839.9</v>
      </c>
      <c r="P35" s="179" t="s">
        <v>1408</v>
      </c>
      <c r="Q35" s="179" t="s">
        <v>1410</v>
      </c>
      <c r="R35" s="179" t="s">
        <v>2131</v>
      </c>
      <c r="S35" s="47" t="s">
        <v>1411</v>
      </c>
      <c r="T35" s="54">
        <f t="shared" si="12"/>
        <v>217539.65</v>
      </c>
      <c r="U35" s="54">
        <f t="shared" si="10"/>
        <v>217539.65</v>
      </c>
      <c r="V35" s="8" t="s">
        <v>1448</v>
      </c>
      <c r="W35" t="s">
        <v>1885</v>
      </c>
      <c r="AA35">
        <f t="shared" si="1"/>
        <v>110</v>
      </c>
      <c r="AD35" t="str">
        <f t="shared" si="2"/>
        <v>301</v>
      </c>
      <c r="AE35">
        <f t="shared" si="3"/>
        <v>0</v>
      </c>
      <c r="AG35" s="50" t="str">
        <f t="shared" si="4"/>
        <v>Administration salaires</v>
      </c>
      <c r="AH35" s="244" t="str">
        <f t="shared" si="5"/>
        <v>02200</v>
      </c>
      <c r="AI35" s="219"/>
      <c r="AJ35" s="219"/>
      <c r="AK35" s="219" t="str">
        <f t="shared" si="6"/>
        <v>3010</v>
      </c>
      <c r="AL35" s="244" t="str">
        <f t="shared" si="7"/>
        <v>00</v>
      </c>
      <c r="AN35" s="219" t="str">
        <f t="shared" si="8"/>
        <v>Salaire du personnel administratif</v>
      </c>
    </row>
    <row r="36" spans="1:40" ht="15" customHeight="1" x14ac:dyDescent="0.3">
      <c r="A36" s="48"/>
      <c r="B36" s="83" t="s">
        <v>69</v>
      </c>
      <c r="C36" s="84" t="s">
        <v>70</v>
      </c>
      <c r="D36" s="189" t="s">
        <v>1458</v>
      </c>
      <c r="E36" s="189" t="s">
        <v>68</v>
      </c>
      <c r="F36" s="189">
        <v>110</v>
      </c>
      <c r="G36" s="189" t="s">
        <v>3</v>
      </c>
      <c r="H36" s="189"/>
      <c r="I36" s="51"/>
      <c r="J36" s="51"/>
      <c r="K36" s="51">
        <f t="shared" si="9"/>
        <v>0</v>
      </c>
      <c r="L36" s="51"/>
      <c r="M36" s="51"/>
      <c r="N36" s="51">
        <f t="shared" si="13"/>
        <v>0</v>
      </c>
      <c r="O36" s="51"/>
      <c r="P36" s="179" t="s">
        <v>1408</v>
      </c>
      <c r="Q36" s="179" t="s">
        <v>1410</v>
      </c>
      <c r="R36" s="179" t="s">
        <v>2138</v>
      </c>
      <c r="S36" s="47" t="s">
        <v>1424</v>
      </c>
      <c r="T36" s="54"/>
      <c r="U36" s="54">
        <f t="shared" si="10"/>
        <v>0</v>
      </c>
      <c r="AA36">
        <f t="shared" si="1"/>
        <v>110</v>
      </c>
      <c r="AD36" t="str">
        <f t="shared" si="2"/>
        <v>301</v>
      </c>
      <c r="AE36">
        <f t="shared" si="3"/>
        <v>0</v>
      </c>
      <c r="AG36" s="50" t="str">
        <f t="shared" si="4"/>
        <v>Administration salaires</v>
      </c>
      <c r="AH36" s="244" t="str">
        <f t="shared" si="5"/>
        <v>02200</v>
      </c>
      <c r="AI36" s="219"/>
      <c r="AJ36" s="219"/>
      <c r="AK36" s="219" t="str">
        <f t="shared" si="6"/>
        <v>3010</v>
      </c>
      <c r="AL36" s="244" t="str">
        <f t="shared" si="7"/>
        <v>99</v>
      </c>
      <c r="AN36" s="219" t="str">
        <f t="shared" si="8"/>
        <v>Remboursements IJM</v>
      </c>
    </row>
    <row r="37" spans="1:40" ht="15" customHeight="1" x14ac:dyDescent="0.3">
      <c r="A37" s="48">
        <v>0</v>
      </c>
      <c r="B37" s="79" t="s">
        <v>71</v>
      </c>
      <c r="C37" s="80" t="s">
        <v>72</v>
      </c>
      <c r="D37" s="187" t="s">
        <v>1458</v>
      </c>
      <c r="E37" s="187" t="s">
        <v>68</v>
      </c>
      <c r="F37" s="189">
        <v>110</v>
      </c>
      <c r="G37" s="187" t="s">
        <v>16</v>
      </c>
      <c r="H37" s="187"/>
      <c r="I37" s="51">
        <v>20522.349999999999</v>
      </c>
      <c r="J37" s="51">
        <v>0</v>
      </c>
      <c r="K37" s="51">
        <f t="shared" si="9"/>
        <v>20522.349999999999</v>
      </c>
      <c r="L37" s="51">
        <v>18000</v>
      </c>
      <c r="M37" s="51">
        <v>0</v>
      </c>
      <c r="N37" s="51">
        <f t="shared" si="13"/>
        <v>18000</v>
      </c>
      <c r="O37" s="51">
        <v>10391.299999999999</v>
      </c>
      <c r="P37" s="179" t="s">
        <v>1408</v>
      </c>
      <c r="Q37" s="179" t="s">
        <v>1367</v>
      </c>
      <c r="R37" s="179" t="s">
        <v>2131</v>
      </c>
      <c r="S37" s="47" t="s">
        <v>1378</v>
      </c>
      <c r="T37" s="54">
        <f>+I37</f>
        <v>20522.349999999999</v>
      </c>
      <c r="U37" s="54">
        <f t="shared" si="10"/>
        <v>20522.349999999999</v>
      </c>
      <c r="V37" s="8" t="s">
        <v>1448</v>
      </c>
      <c r="AA37">
        <f t="shared" si="1"/>
        <v>110</v>
      </c>
      <c r="AD37" t="str">
        <f t="shared" si="2"/>
        <v>303</v>
      </c>
      <c r="AE37">
        <f t="shared" si="3"/>
        <v>0</v>
      </c>
      <c r="AG37" s="50" t="str">
        <f t="shared" si="4"/>
        <v>Administration Cotisations AVS/AC/AF</v>
      </c>
      <c r="AH37" s="244" t="str">
        <f t="shared" si="5"/>
        <v>02200</v>
      </c>
      <c r="AI37" s="219"/>
      <c r="AJ37" s="219"/>
      <c r="AK37" s="219" t="str">
        <f t="shared" si="6"/>
        <v>3050</v>
      </c>
      <c r="AL37" s="244" t="str">
        <f t="shared" si="7"/>
        <v>00</v>
      </c>
      <c r="AN37" s="219" t="str">
        <f t="shared" si="8"/>
        <v>Cotisations AVS, AI, APG, AC, frais adm</v>
      </c>
    </row>
    <row r="38" spans="1:40" ht="15" customHeight="1" x14ac:dyDescent="0.3">
      <c r="A38" s="48"/>
      <c r="B38" s="79" t="s">
        <v>71</v>
      </c>
      <c r="C38" s="80" t="s">
        <v>72</v>
      </c>
      <c r="D38" s="187" t="s">
        <v>1458</v>
      </c>
      <c r="E38" s="187" t="s">
        <v>68</v>
      </c>
      <c r="F38" s="189">
        <v>110</v>
      </c>
      <c r="G38" s="187" t="s">
        <v>16</v>
      </c>
      <c r="H38" s="187"/>
      <c r="I38" s="51"/>
      <c r="J38" s="51"/>
      <c r="K38" s="51">
        <f t="shared" si="9"/>
        <v>0</v>
      </c>
      <c r="L38" s="51"/>
      <c r="M38" s="51"/>
      <c r="N38" s="51">
        <f t="shared" si="13"/>
        <v>0</v>
      </c>
      <c r="O38" s="51"/>
      <c r="P38" s="179" t="s">
        <v>1408</v>
      </c>
      <c r="Q38" s="179" t="s">
        <v>1413</v>
      </c>
      <c r="R38" s="179" t="s">
        <v>2131</v>
      </c>
      <c r="S38" s="47" t="s">
        <v>1414</v>
      </c>
      <c r="T38" s="54"/>
      <c r="U38" s="54"/>
      <c r="AA38">
        <f t="shared" si="1"/>
        <v>110</v>
      </c>
      <c r="AD38" t="str">
        <f t="shared" si="2"/>
        <v>303</v>
      </c>
      <c r="AE38">
        <f t="shared" si="3"/>
        <v>0</v>
      </c>
      <c r="AG38" s="50" t="str">
        <f t="shared" si="4"/>
        <v>Administration Cotisations AVS/AC/AF</v>
      </c>
      <c r="AH38" s="244" t="str">
        <f t="shared" si="5"/>
        <v>02200</v>
      </c>
      <c r="AI38" s="219"/>
      <c r="AJ38" s="219"/>
      <c r="AK38" s="219" t="str">
        <f t="shared" si="6"/>
        <v>3054</v>
      </c>
      <c r="AL38" s="244" t="str">
        <f t="shared" si="7"/>
        <v>00</v>
      </c>
      <c r="AN38" s="219" t="str">
        <f t="shared" si="8"/>
        <v>Cotisations CAF</v>
      </c>
    </row>
    <row r="39" spans="1:40" ht="15" customHeight="1" x14ac:dyDescent="0.3">
      <c r="A39" s="48">
        <v>0</v>
      </c>
      <c r="B39" s="49" t="s">
        <v>73</v>
      </c>
      <c r="C39" s="50" t="s">
        <v>74</v>
      </c>
      <c r="D39" s="46" t="s">
        <v>1458</v>
      </c>
      <c r="E39" s="46" t="s">
        <v>68</v>
      </c>
      <c r="F39" s="189">
        <v>110</v>
      </c>
      <c r="G39" s="46" t="s">
        <v>38</v>
      </c>
      <c r="H39" s="46"/>
      <c r="I39" s="51">
        <v>21458</v>
      </c>
      <c r="J39" s="51">
        <v>0</v>
      </c>
      <c r="K39" s="51">
        <f t="shared" si="9"/>
        <v>21458</v>
      </c>
      <c r="L39" s="51">
        <v>24000</v>
      </c>
      <c r="M39" s="51">
        <v>0</v>
      </c>
      <c r="N39" s="51">
        <f t="shared" si="13"/>
        <v>24000</v>
      </c>
      <c r="O39" s="51">
        <v>15581.55</v>
      </c>
      <c r="P39" s="179" t="s">
        <v>1408</v>
      </c>
      <c r="Q39" s="179" t="s">
        <v>1386</v>
      </c>
      <c r="R39" s="179" t="s">
        <v>2131</v>
      </c>
      <c r="S39" s="47" t="s">
        <v>1387</v>
      </c>
      <c r="T39" s="54">
        <f t="shared" ref="T39:T44" si="14">+I39</f>
        <v>21458</v>
      </c>
      <c r="U39" s="54">
        <f t="shared" ref="U39:U44" si="15">+T39</f>
        <v>21458</v>
      </c>
      <c r="AA39">
        <f t="shared" si="1"/>
        <v>110</v>
      </c>
      <c r="AD39" t="str">
        <f t="shared" si="2"/>
        <v>304</v>
      </c>
      <c r="AE39">
        <f t="shared" si="3"/>
        <v>0</v>
      </c>
      <c r="AG39" s="50" t="str">
        <f t="shared" si="4"/>
        <v>Administration Caise de prévoyance LPP</v>
      </c>
      <c r="AH39" s="244" t="str">
        <f t="shared" si="5"/>
        <v>02200</v>
      </c>
      <c r="AI39" s="219"/>
      <c r="AJ39" s="219"/>
      <c r="AK39" s="219" t="str">
        <f t="shared" si="6"/>
        <v>3052</v>
      </c>
      <c r="AL39" s="244" t="str">
        <f t="shared" si="7"/>
        <v>00</v>
      </c>
      <c r="AN39" s="219" t="str">
        <f t="shared" si="8"/>
        <v>Cotisations patronales aux caisses de pensions</v>
      </c>
    </row>
    <row r="40" spans="1:40" ht="15" customHeight="1" x14ac:dyDescent="0.3">
      <c r="A40" s="48">
        <v>0</v>
      </c>
      <c r="B40" s="49" t="s">
        <v>75</v>
      </c>
      <c r="C40" s="50" t="s">
        <v>76</v>
      </c>
      <c r="D40" s="46" t="s">
        <v>1458</v>
      </c>
      <c r="E40" s="46" t="s">
        <v>68</v>
      </c>
      <c r="F40" s="189">
        <v>110</v>
      </c>
      <c r="G40" s="46" t="s">
        <v>19</v>
      </c>
      <c r="H40" s="46"/>
      <c r="I40" s="51">
        <v>5062.3500000000004</v>
      </c>
      <c r="J40" s="51">
        <v>0</v>
      </c>
      <c r="K40" s="51">
        <f t="shared" si="9"/>
        <v>5062.3500000000004</v>
      </c>
      <c r="L40" s="51">
        <v>4600</v>
      </c>
      <c r="M40" s="51">
        <v>0</v>
      </c>
      <c r="N40" s="51">
        <f t="shared" si="13"/>
        <v>4600</v>
      </c>
      <c r="O40" s="51">
        <v>2629.4</v>
      </c>
      <c r="P40" s="179" t="s">
        <v>1408</v>
      </c>
      <c r="Q40" s="179" t="s">
        <v>1375</v>
      </c>
      <c r="R40" s="179" t="s">
        <v>2131</v>
      </c>
      <c r="S40" s="47" t="s">
        <v>1379</v>
      </c>
      <c r="T40" s="54">
        <f t="shared" si="14"/>
        <v>5062.3500000000004</v>
      </c>
      <c r="U40" s="54">
        <f t="shared" si="15"/>
        <v>5062.3500000000004</v>
      </c>
      <c r="AA40">
        <f t="shared" si="1"/>
        <v>110</v>
      </c>
      <c r="AD40" t="str">
        <f t="shared" si="2"/>
        <v>305</v>
      </c>
      <c r="AE40">
        <f t="shared" si="3"/>
        <v>0</v>
      </c>
      <c r="AG40" s="50" t="str">
        <f t="shared" si="4"/>
        <v>Administration Ass. Accidents/Maladie</v>
      </c>
      <c r="AH40" s="244" t="str">
        <f t="shared" si="5"/>
        <v>02200</v>
      </c>
      <c r="AI40" s="219"/>
      <c r="AJ40" s="219"/>
      <c r="AK40" s="219" t="str">
        <f t="shared" si="6"/>
        <v>3053</v>
      </c>
      <c r="AL40" s="244" t="str">
        <f t="shared" si="7"/>
        <v>00</v>
      </c>
      <c r="AN40" s="219" t="str">
        <f t="shared" si="8"/>
        <v>Cotisations patronales aux assurance-accidents</v>
      </c>
    </row>
    <row r="41" spans="1:40" ht="15" customHeight="1" x14ac:dyDescent="0.3">
      <c r="A41" s="48">
        <v>0</v>
      </c>
      <c r="B41" s="74" t="s">
        <v>77</v>
      </c>
      <c r="C41" s="67" t="s">
        <v>78</v>
      </c>
      <c r="D41" s="188" t="s">
        <v>1458</v>
      </c>
      <c r="E41" s="188" t="s">
        <v>68</v>
      </c>
      <c r="F41" s="189">
        <v>110</v>
      </c>
      <c r="G41" s="188" t="s">
        <v>22</v>
      </c>
      <c r="H41" s="188"/>
      <c r="I41" s="51">
        <v>1828.8</v>
      </c>
      <c r="J41" s="51">
        <v>0</v>
      </c>
      <c r="K41" s="51">
        <f t="shared" ref="K41:K58" si="16">+I41+J41</f>
        <v>1828.8</v>
      </c>
      <c r="L41" s="51">
        <v>2500</v>
      </c>
      <c r="M41" s="51">
        <v>0</v>
      </c>
      <c r="N41" s="51">
        <f t="shared" si="13"/>
        <v>2500</v>
      </c>
      <c r="O41" s="51">
        <v>339</v>
      </c>
      <c r="P41" s="179" t="s">
        <v>1408</v>
      </c>
      <c r="Q41" s="179" t="s">
        <v>1382</v>
      </c>
      <c r="R41" s="179" t="s">
        <v>2131</v>
      </c>
      <c r="S41" s="47" t="s">
        <v>1383</v>
      </c>
      <c r="T41" s="54">
        <f t="shared" si="14"/>
        <v>1828.8</v>
      </c>
      <c r="U41" s="54">
        <f t="shared" si="15"/>
        <v>1828.8</v>
      </c>
      <c r="V41" s="8" t="s">
        <v>1448</v>
      </c>
      <c r="AA41">
        <f t="shared" si="1"/>
        <v>110</v>
      </c>
      <c r="AD41" t="str">
        <f t="shared" si="2"/>
        <v>306</v>
      </c>
      <c r="AE41">
        <f t="shared" si="3"/>
        <v>0</v>
      </c>
      <c r="AG41" s="50" t="str">
        <f t="shared" si="4"/>
        <v>Administration Frais du personnel</v>
      </c>
      <c r="AH41" s="244" t="str">
        <f t="shared" si="5"/>
        <v>02200</v>
      </c>
      <c r="AI41" s="219"/>
      <c r="AJ41" s="219"/>
      <c r="AK41" s="219" t="str">
        <f t="shared" si="6"/>
        <v>3049</v>
      </c>
      <c r="AL41" s="244" t="str">
        <f t="shared" si="7"/>
        <v>00</v>
      </c>
      <c r="AN41" s="219" t="str">
        <f t="shared" si="8"/>
        <v>Autres indemnités forfaitaires - natels</v>
      </c>
    </row>
    <row r="42" spans="1:40" ht="15" customHeight="1" x14ac:dyDescent="0.3">
      <c r="A42" s="48"/>
      <c r="B42" s="74" t="s">
        <v>77</v>
      </c>
      <c r="C42" s="67" t="s">
        <v>78</v>
      </c>
      <c r="D42" s="188" t="s">
        <v>1458</v>
      </c>
      <c r="E42" s="188" t="s">
        <v>68</v>
      </c>
      <c r="F42" s="189">
        <v>110</v>
      </c>
      <c r="G42" s="188" t="s">
        <v>22</v>
      </c>
      <c r="H42" s="188"/>
      <c r="I42" s="51"/>
      <c r="J42" s="51"/>
      <c r="K42" s="51">
        <f t="shared" si="16"/>
        <v>0</v>
      </c>
      <c r="L42" s="51"/>
      <c r="M42" s="51"/>
      <c r="N42" s="51">
        <f t="shared" si="13"/>
        <v>0</v>
      </c>
      <c r="O42" s="51"/>
      <c r="P42" s="179" t="s">
        <v>1408</v>
      </c>
      <c r="Q42" s="179" t="s">
        <v>1393</v>
      </c>
      <c r="R42" s="179" t="s">
        <v>2131</v>
      </c>
      <c r="S42" s="47" t="s">
        <v>2073</v>
      </c>
      <c r="T42" s="54">
        <f t="shared" si="14"/>
        <v>0</v>
      </c>
      <c r="U42" s="54">
        <f t="shared" si="15"/>
        <v>0</v>
      </c>
      <c r="AA42">
        <f t="shared" si="1"/>
        <v>110</v>
      </c>
      <c r="AD42" t="str">
        <f t="shared" si="2"/>
        <v>306</v>
      </c>
      <c r="AE42">
        <f t="shared" si="3"/>
        <v>0</v>
      </c>
      <c r="AG42" s="50" t="str">
        <f t="shared" si="4"/>
        <v>Administration Frais du personnel</v>
      </c>
      <c r="AH42" s="244" t="str">
        <f t="shared" si="5"/>
        <v>02200</v>
      </c>
      <c r="AI42" s="219"/>
      <c r="AJ42" s="219"/>
      <c r="AK42" s="219" t="str">
        <f t="shared" si="6"/>
        <v>3170</v>
      </c>
      <c r="AL42" s="244" t="str">
        <f t="shared" si="7"/>
        <v>00</v>
      </c>
      <c r="AN42" s="219" t="str">
        <f t="shared" si="8"/>
        <v>Remboursements de frais effectifs km</v>
      </c>
    </row>
    <row r="43" spans="1:40" ht="15" customHeight="1" x14ac:dyDescent="0.3">
      <c r="A43" s="48"/>
      <c r="B43" s="74" t="s">
        <v>77</v>
      </c>
      <c r="C43" s="67" t="s">
        <v>78</v>
      </c>
      <c r="D43" s="188" t="s">
        <v>1458</v>
      </c>
      <c r="E43" s="188" t="s">
        <v>68</v>
      </c>
      <c r="F43" s="189">
        <v>110</v>
      </c>
      <c r="G43" s="188" t="s">
        <v>22</v>
      </c>
      <c r="H43" s="188"/>
      <c r="I43" s="51"/>
      <c r="J43" s="51"/>
      <c r="K43" s="51">
        <f t="shared" si="16"/>
        <v>0</v>
      </c>
      <c r="L43" s="51"/>
      <c r="M43" s="51"/>
      <c r="N43" s="51">
        <f t="shared" si="13"/>
        <v>0</v>
      </c>
      <c r="O43" s="51"/>
      <c r="P43" s="179" t="s">
        <v>1408</v>
      </c>
      <c r="Q43" s="179" t="s">
        <v>1380</v>
      </c>
      <c r="R43" s="179" t="s">
        <v>2131</v>
      </c>
      <c r="S43" s="47" t="s">
        <v>1381</v>
      </c>
      <c r="T43" s="54">
        <f t="shared" si="14"/>
        <v>0</v>
      </c>
      <c r="U43" s="54">
        <f t="shared" si="15"/>
        <v>0</v>
      </c>
      <c r="W43" t="s">
        <v>1886</v>
      </c>
      <c r="AA43">
        <f t="shared" si="1"/>
        <v>110</v>
      </c>
      <c r="AD43" t="str">
        <f t="shared" si="2"/>
        <v>306</v>
      </c>
      <c r="AE43">
        <f t="shared" si="3"/>
        <v>0</v>
      </c>
      <c r="AG43" s="50" t="str">
        <f t="shared" si="4"/>
        <v>Administration Frais du personnel</v>
      </c>
      <c r="AH43" s="244" t="str">
        <f t="shared" si="5"/>
        <v>02200</v>
      </c>
      <c r="AI43" s="219"/>
      <c r="AJ43" s="219"/>
      <c r="AK43" s="219" t="str">
        <f t="shared" si="6"/>
        <v>3099</v>
      </c>
      <c r="AL43" s="244" t="str">
        <f t="shared" si="7"/>
        <v>00</v>
      </c>
      <c r="AN43" s="219" t="str">
        <f t="shared" si="8"/>
        <v>Autres charges du personnel</v>
      </c>
    </row>
    <row r="44" spans="1:40" ht="15" customHeight="1" x14ac:dyDescent="0.3">
      <c r="A44" s="48">
        <v>0</v>
      </c>
      <c r="B44" s="81" t="s">
        <v>79</v>
      </c>
      <c r="C44" s="82" t="s">
        <v>80</v>
      </c>
      <c r="D44" s="183" t="s">
        <v>1458</v>
      </c>
      <c r="E44" s="183" t="s">
        <v>68</v>
      </c>
      <c r="F44" s="189">
        <v>110</v>
      </c>
      <c r="G44" s="183" t="s">
        <v>81</v>
      </c>
      <c r="H44" s="183"/>
      <c r="I44" s="51">
        <v>2564.9</v>
      </c>
      <c r="J44" s="51">
        <v>0</v>
      </c>
      <c r="K44" s="51">
        <f t="shared" si="16"/>
        <v>2564.9</v>
      </c>
      <c r="L44" s="51">
        <v>2500</v>
      </c>
      <c r="M44" s="51">
        <v>0</v>
      </c>
      <c r="N44" s="51">
        <f t="shared" si="13"/>
        <v>2500</v>
      </c>
      <c r="O44" s="51">
        <v>1604</v>
      </c>
      <c r="P44" s="179" t="s">
        <v>1408</v>
      </c>
      <c r="Q44" s="179" t="s">
        <v>1368</v>
      </c>
      <c r="R44" s="179" t="s">
        <v>2131</v>
      </c>
      <c r="S44" s="47" t="s">
        <v>1392</v>
      </c>
      <c r="T44" s="54">
        <f t="shared" si="14"/>
        <v>2564.9</v>
      </c>
      <c r="U44" s="54">
        <f t="shared" si="15"/>
        <v>2564.9</v>
      </c>
      <c r="V44" s="8" t="s">
        <v>1448</v>
      </c>
      <c r="AA44">
        <f t="shared" si="1"/>
        <v>110</v>
      </c>
      <c r="AD44" t="str">
        <f t="shared" si="2"/>
        <v>309</v>
      </c>
      <c r="AE44">
        <f t="shared" si="3"/>
        <v>0</v>
      </c>
      <c r="AG44" s="50" t="str">
        <f t="shared" si="4"/>
        <v>Cours et cadeaux</v>
      </c>
      <c r="AH44" s="244" t="str">
        <f t="shared" si="5"/>
        <v>02200</v>
      </c>
      <c r="AI44" s="219"/>
      <c r="AJ44" s="219"/>
      <c r="AK44" s="219" t="str">
        <f t="shared" si="6"/>
        <v>3090</v>
      </c>
      <c r="AL44" s="244" t="str">
        <f t="shared" si="7"/>
        <v>00</v>
      </c>
      <c r="AN44" s="219" t="str">
        <f t="shared" si="8"/>
        <v>Formation et perfectionnement</v>
      </c>
    </row>
    <row r="45" spans="1:40" ht="15" customHeight="1" x14ac:dyDescent="0.3">
      <c r="A45" s="48"/>
      <c r="B45" s="81" t="s">
        <v>79</v>
      </c>
      <c r="C45" s="82" t="s">
        <v>80</v>
      </c>
      <c r="D45" s="183" t="s">
        <v>1458</v>
      </c>
      <c r="E45" s="183" t="s">
        <v>68</v>
      </c>
      <c r="F45" s="189">
        <v>110</v>
      </c>
      <c r="G45" s="183" t="s">
        <v>81</v>
      </c>
      <c r="H45" s="183"/>
      <c r="I45" s="51"/>
      <c r="J45" s="51"/>
      <c r="K45" s="51">
        <f t="shared" si="16"/>
        <v>0</v>
      </c>
      <c r="L45" s="51"/>
      <c r="M45" s="51"/>
      <c r="N45" s="51">
        <f t="shared" si="13"/>
        <v>0</v>
      </c>
      <c r="O45" s="51"/>
      <c r="P45" s="179" t="s">
        <v>1408</v>
      </c>
      <c r="Q45" s="179">
        <v>3130</v>
      </c>
      <c r="R45" s="179" t="s">
        <v>2135</v>
      </c>
      <c r="S45" s="55" t="s">
        <v>1402</v>
      </c>
      <c r="T45" s="54"/>
      <c r="U45" s="54"/>
      <c r="AA45">
        <f t="shared" si="1"/>
        <v>110</v>
      </c>
      <c r="AD45" t="str">
        <f t="shared" si="2"/>
        <v>309</v>
      </c>
      <c r="AE45">
        <f t="shared" si="3"/>
        <v>0</v>
      </c>
      <c r="AG45" s="50" t="str">
        <f t="shared" si="4"/>
        <v>Cours et cadeaux</v>
      </c>
      <c r="AH45" s="244" t="str">
        <f t="shared" si="5"/>
        <v>02200</v>
      </c>
      <c r="AI45" s="219"/>
      <c r="AJ45" s="219"/>
      <c r="AK45" s="219">
        <f t="shared" si="6"/>
        <v>3130</v>
      </c>
      <c r="AL45" s="244" t="str">
        <f t="shared" si="7"/>
        <v>04</v>
      </c>
      <c r="AN45" s="219" t="str">
        <f t="shared" si="8"/>
        <v>Prestations de services tiers - cotisations</v>
      </c>
    </row>
    <row r="46" spans="1:40" ht="15" customHeight="1" x14ac:dyDescent="0.3">
      <c r="A46" s="48"/>
      <c r="B46" s="74" t="s">
        <v>77</v>
      </c>
      <c r="C46" s="67" t="s">
        <v>78</v>
      </c>
      <c r="D46" s="188" t="s">
        <v>1458</v>
      </c>
      <c r="E46" s="183" t="s">
        <v>68</v>
      </c>
      <c r="F46" s="189">
        <v>110</v>
      </c>
      <c r="G46" s="183">
        <v>306</v>
      </c>
      <c r="H46" s="183"/>
      <c r="I46" s="51"/>
      <c r="J46" s="51"/>
      <c r="K46" s="51">
        <f t="shared" si="16"/>
        <v>0</v>
      </c>
      <c r="L46" s="51"/>
      <c r="M46" s="51"/>
      <c r="N46" s="51">
        <f t="shared" si="13"/>
        <v>0</v>
      </c>
      <c r="O46" s="51"/>
      <c r="P46" s="179" t="s">
        <v>1408</v>
      </c>
      <c r="Q46" s="179" t="s">
        <v>1540</v>
      </c>
      <c r="R46" s="179" t="s">
        <v>2131</v>
      </c>
      <c r="S46" s="47" t="s">
        <v>1543</v>
      </c>
      <c r="T46" s="54"/>
      <c r="U46" s="54"/>
      <c r="V46" s="8"/>
      <c r="AA46">
        <f t="shared" si="1"/>
        <v>110</v>
      </c>
      <c r="AD46">
        <f t="shared" si="2"/>
        <v>306</v>
      </c>
      <c r="AE46">
        <f t="shared" si="3"/>
        <v>0</v>
      </c>
      <c r="AG46" s="50" t="str">
        <f t="shared" si="4"/>
        <v>Administration Frais du personnel</v>
      </c>
      <c r="AH46" s="244" t="str">
        <f t="shared" si="5"/>
        <v>02200</v>
      </c>
      <c r="AI46" s="219"/>
      <c r="AJ46" s="219"/>
      <c r="AK46" s="219" t="str">
        <f t="shared" si="6"/>
        <v>3091</v>
      </c>
      <c r="AL46" s="244" t="str">
        <f t="shared" si="7"/>
        <v>00</v>
      </c>
      <c r="AN46" s="219" t="str">
        <f t="shared" si="8"/>
        <v>Recrutement</v>
      </c>
    </row>
    <row r="47" spans="1:40" ht="15" customHeight="1" x14ac:dyDescent="0.3">
      <c r="A47" s="48"/>
      <c r="B47" s="49"/>
      <c r="C47" s="50"/>
      <c r="D47" s="46"/>
      <c r="E47" s="46"/>
      <c r="F47" s="46"/>
      <c r="G47" s="46"/>
      <c r="H47" s="46"/>
      <c r="I47" s="51"/>
      <c r="J47" s="51"/>
      <c r="K47" s="51">
        <f t="shared" si="16"/>
        <v>0</v>
      </c>
      <c r="L47" s="51"/>
      <c r="M47" s="51"/>
      <c r="N47" s="51">
        <f t="shared" si="13"/>
        <v>0</v>
      </c>
      <c r="O47" s="51"/>
      <c r="P47" s="191" t="s">
        <v>1409</v>
      </c>
      <c r="Q47" s="179" t="s">
        <v>1410</v>
      </c>
      <c r="R47" s="179" t="s">
        <v>2131</v>
      </c>
      <c r="S47" s="47" t="s">
        <v>1411</v>
      </c>
      <c r="T47" s="54"/>
      <c r="U47" s="54"/>
      <c r="V47" s="8" t="s">
        <v>1965</v>
      </c>
      <c r="W47" t="s">
        <v>1698</v>
      </c>
      <c r="AA47">
        <f t="shared" si="1"/>
        <v>0</v>
      </c>
      <c r="AD47">
        <f t="shared" si="2"/>
        <v>0</v>
      </c>
      <c r="AE47">
        <f t="shared" si="3"/>
        <v>0</v>
      </c>
      <c r="AG47" s="50">
        <f t="shared" si="4"/>
        <v>0</v>
      </c>
      <c r="AH47" s="244" t="str">
        <f t="shared" si="5"/>
        <v>02201</v>
      </c>
      <c r="AI47" s="219"/>
      <c r="AJ47" s="219"/>
      <c r="AK47" s="219" t="str">
        <f t="shared" si="6"/>
        <v>3010</v>
      </c>
      <c r="AL47" s="244" t="str">
        <f t="shared" si="7"/>
        <v>00</v>
      </c>
      <c r="AN47" s="219" t="str">
        <f t="shared" si="8"/>
        <v>Salaire du personnel administratif</v>
      </c>
    </row>
    <row r="48" spans="1:40" ht="15" customHeight="1" x14ac:dyDescent="0.3">
      <c r="A48" s="48"/>
      <c r="B48" s="49"/>
      <c r="C48" s="50"/>
      <c r="D48" s="46"/>
      <c r="E48" s="46"/>
      <c r="F48" s="46"/>
      <c r="G48" s="46"/>
      <c r="H48" s="46"/>
      <c r="I48" s="51"/>
      <c r="J48" s="51"/>
      <c r="K48" s="51">
        <f t="shared" si="16"/>
        <v>0</v>
      </c>
      <c r="L48" s="51"/>
      <c r="M48" s="51"/>
      <c r="N48" s="51">
        <f t="shared" si="13"/>
        <v>0</v>
      </c>
      <c r="O48" s="51"/>
      <c r="P48" s="191" t="s">
        <v>1409</v>
      </c>
      <c r="Q48" s="179" t="s">
        <v>1410</v>
      </c>
      <c r="R48" s="179" t="s">
        <v>2138</v>
      </c>
      <c r="S48" s="47" t="s">
        <v>1424</v>
      </c>
      <c r="T48" s="54"/>
      <c r="U48" s="54"/>
      <c r="V48" s="8" t="s">
        <v>1965</v>
      </c>
      <c r="W48" t="s">
        <v>1698</v>
      </c>
      <c r="AA48">
        <f t="shared" si="1"/>
        <v>0</v>
      </c>
      <c r="AD48">
        <f t="shared" si="2"/>
        <v>0</v>
      </c>
      <c r="AE48">
        <f t="shared" si="3"/>
        <v>0</v>
      </c>
      <c r="AG48" s="50">
        <f t="shared" si="4"/>
        <v>0</v>
      </c>
      <c r="AH48" s="244" t="str">
        <f t="shared" si="5"/>
        <v>02201</v>
      </c>
      <c r="AI48" s="219"/>
      <c r="AJ48" s="219"/>
      <c r="AK48" s="219" t="str">
        <f t="shared" si="6"/>
        <v>3010</v>
      </c>
      <c r="AL48" s="244" t="str">
        <f t="shared" si="7"/>
        <v>99</v>
      </c>
      <c r="AN48" s="219" t="str">
        <f t="shared" si="8"/>
        <v>Remboursements IJM</v>
      </c>
    </row>
    <row r="49" spans="1:40" ht="15" customHeight="1" x14ac:dyDescent="0.3">
      <c r="A49" s="48"/>
      <c r="B49" s="49"/>
      <c r="C49" s="50"/>
      <c r="D49" s="46"/>
      <c r="E49" s="46"/>
      <c r="F49" s="46"/>
      <c r="G49" s="46"/>
      <c r="H49" s="46"/>
      <c r="I49" s="51"/>
      <c r="J49" s="51"/>
      <c r="K49" s="51">
        <f t="shared" si="16"/>
        <v>0</v>
      </c>
      <c r="L49" s="51"/>
      <c r="M49" s="51"/>
      <c r="N49" s="51">
        <f t="shared" si="13"/>
        <v>0</v>
      </c>
      <c r="O49" s="51"/>
      <c r="P49" s="191" t="s">
        <v>1409</v>
      </c>
      <c r="Q49" s="179" t="s">
        <v>1367</v>
      </c>
      <c r="R49" s="179" t="s">
        <v>2131</v>
      </c>
      <c r="S49" s="47" t="s">
        <v>1378</v>
      </c>
      <c r="T49" s="54"/>
      <c r="U49" s="54"/>
      <c r="V49" s="8" t="s">
        <v>1965</v>
      </c>
      <c r="W49" t="s">
        <v>1698</v>
      </c>
      <c r="AA49">
        <f t="shared" si="1"/>
        <v>0</v>
      </c>
      <c r="AD49">
        <f t="shared" si="2"/>
        <v>0</v>
      </c>
      <c r="AE49">
        <f t="shared" si="3"/>
        <v>0</v>
      </c>
      <c r="AG49" s="50">
        <f t="shared" si="4"/>
        <v>0</v>
      </c>
      <c r="AH49" s="244" t="str">
        <f t="shared" si="5"/>
        <v>02201</v>
      </c>
      <c r="AI49" s="219"/>
      <c r="AJ49" s="219"/>
      <c r="AK49" s="219" t="str">
        <f t="shared" si="6"/>
        <v>3050</v>
      </c>
      <c r="AL49" s="244" t="str">
        <f t="shared" si="7"/>
        <v>00</v>
      </c>
      <c r="AN49" s="219" t="str">
        <f t="shared" si="8"/>
        <v>Cotisations AVS, AI, APG, AC, frais adm</v>
      </c>
    </row>
    <row r="50" spans="1:40" ht="15" customHeight="1" x14ac:dyDescent="0.3">
      <c r="A50" s="48"/>
      <c r="B50" s="49"/>
      <c r="C50" s="50"/>
      <c r="D50" s="46"/>
      <c r="E50" s="46"/>
      <c r="F50" s="46"/>
      <c r="G50" s="46"/>
      <c r="H50" s="46"/>
      <c r="I50" s="51"/>
      <c r="J50" s="51"/>
      <c r="K50" s="51">
        <f t="shared" si="16"/>
        <v>0</v>
      </c>
      <c r="L50" s="51"/>
      <c r="M50" s="51"/>
      <c r="N50" s="51">
        <f t="shared" si="13"/>
        <v>0</v>
      </c>
      <c r="O50" s="51"/>
      <c r="P50" s="191" t="s">
        <v>1409</v>
      </c>
      <c r="Q50" s="179" t="s">
        <v>1413</v>
      </c>
      <c r="R50" s="179" t="s">
        <v>2131</v>
      </c>
      <c r="S50" s="47" t="s">
        <v>1414</v>
      </c>
      <c r="T50" s="54"/>
      <c r="U50" s="54"/>
      <c r="V50" s="8" t="s">
        <v>1965</v>
      </c>
      <c r="W50" t="s">
        <v>1698</v>
      </c>
      <c r="AA50">
        <f t="shared" si="1"/>
        <v>0</v>
      </c>
      <c r="AD50">
        <f t="shared" si="2"/>
        <v>0</v>
      </c>
      <c r="AE50">
        <f t="shared" si="3"/>
        <v>0</v>
      </c>
      <c r="AG50" s="50">
        <f t="shared" si="4"/>
        <v>0</v>
      </c>
      <c r="AH50" s="244" t="str">
        <f t="shared" si="5"/>
        <v>02201</v>
      </c>
      <c r="AI50" s="219"/>
      <c r="AJ50" s="219"/>
      <c r="AK50" s="219" t="str">
        <f t="shared" si="6"/>
        <v>3054</v>
      </c>
      <c r="AL50" s="244" t="str">
        <f t="shared" si="7"/>
        <v>00</v>
      </c>
      <c r="AN50" s="219" t="str">
        <f t="shared" si="8"/>
        <v>Cotisations CAF</v>
      </c>
    </row>
    <row r="51" spans="1:40" ht="15" customHeight="1" x14ac:dyDescent="0.3">
      <c r="A51" s="48"/>
      <c r="B51" s="49"/>
      <c r="C51" s="50"/>
      <c r="D51" s="46"/>
      <c r="E51" s="46"/>
      <c r="F51" s="46"/>
      <c r="G51" s="46"/>
      <c r="H51" s="46"/>
      <c r="I51" s="51"/>
      <c r="J51" s="51"/>
      <c r="K51" s="51">
        <f t="shared" si="16"/>
        <v>0</v>
      </c>
      <c r="L51" s="51"/>
      <c r="M51" s="51"/>
      <c r="N51" s="51">
        <f t="shared" si="13"/>
        <v>0</v>
      </c>
      <c r="O51" s="51"/>
      <c r="P51" s="191" t="s">
        <v>1409</v>
      </c>
      <c r="Q51" s="179" t="s">
        <v>1386</v>
      </c>
      <c r="R51" s="179" t="s">
        <v>2131</v>
      </c>
      <c r="S51" s="47" t="s">
        <v>1387</v>
      </c>
      <c r="T51" s="54"/>
      <c r="U51" s="54"/>
      <c r="V51" s="8" t="s">
        <v>1965</v>
      </c>
      <c r="W51" t="s">
        <v>1698</v>
      </c>
      <c r="AA51">
        <f t="shared" si="1"/>
        <v>0</v>
      </c>
      <c r="AD51">
        <f t="shared" si="2"/>
        <v>0</v>
      </c>
      <c r="AE51">
        <f t="shared" si="3"/>
        <v>0</v>
      </c>
      <c r="AG51" s="50">
        <f t="shared" si="4"/>
        <v>0</v>
      </c>
      <c r="AH51" s="244" t="str">
        <f t="shared" si="5"/>
        <v>02201</v>
      </c>
      <c r="AI51" s="219"/>
      <c r="AJ51" s="219"/>
      <c r="AK51" s="219" t="str">
        <f t="shared" si="6"/>
        <v>3052</v>
      </c>
      <c r="AL51" s="244" t="str">
        <f t="shared" si="7"/>
        <v>00</v>
      </c>
      <c r="AN51" s="219" t="str">
        <f t="shared" si="8"/>
        <v>Cotisations patronales aux caisses de pensions</v>
      </c>
    </row>
    <row r="52" spans="1:40" ht="15" customHeight="1" x14ac:dyDescent="0.3">
      <c r="A52" s="48"/>
      <c r="B52" s="49"/>
      <c r="C52" s="50"/>
      <c r="D52" s="46"/>
      <c r="E52" s="46"/>
      <c r="F52" s="46"/>
      <c r="G52" s="46"/>
      <c r="H52" s="46"/>
      <c r="I52" s="51"/>
      <c r="J52" s="51"/>
      <c r="K52" s="51">
        <f t="shared" si="16"/>
        <v>0</v>
      </c>
      <c r="L52" s="51"/>
      <c r="M52" s="51"/>
      <c r="N52" s="51">
        <f t="shared" si="13"/>
        <v>0</v>
      </c>
      <c r="O52" s="51"/>
      <c r="P52" s="191" t="s">
        <v>1409</v>
      </c>
      <c r="Q52" s="179" t="s">
        <v>1375</v>
      </c>
      <c r="R52" s="179" t="s">
        <v>2131</v>
      </c>
      <c r="S52" s="47" t="s">
        <v>1379</v>
      </c>
      <c r="T52" s="54"/>
      <c r="U52" s="54"/>
      <c r="V52" s="8" t="s">
        <v>1965</v>
      </c>
      <c r="W52" t="s">
        <v>1698</v>
      </c>
      <c r="AA52">
        <f t="shared" si="1"/>
        <v>0</v>
      </c>
      <c r="AD52">
        <f t="shared" si="2"/>
        <v>0</v>
      </c>
      <c r="AE52">
        <f t="shared" si="3"/>
        <v>0</v>
      </c>
      <c r="AG52" s="50">
        <f t="shared" si="4"/>
        <v>0</v>
      </c>
      <c r="AH52" s="244" t="str">
        <f t="shared" si="5"/>
        <v>02201</v>
      </c>
      <c r="AI52" s="219"/>
      <c r="AJ52" s="219"/>
      <c r="AK52" s="219" t="str">
        <f t="shared" si="6"/>
        <v>3053</v>
      </c>
      <c r="AL52" s="244" t="str">
        <f t="shared" si="7"/>
        <v>00</v>
      </c>
      <c r="AN52" s="219" t="str">
        <f t="shared" si="8"/>
        <v>Cotisations patronales aux assurance-accidents</v>
      </c>
    </row>
    <row r="53" spans="1:40" ht="15" customHeight="1" x14ac:dyDescent="0.3">
      <c r="A53" s="48"/>
      <c r="B53" s="49"/>
      <c r="C53" s="50"/>
      <c r="D53" s="46"/>
      <c r="E53" s="46"/>
      <c r="F53" s="46"/>
      <c r="G53" s="46"/>
      <c r="H53" s="46"/>
      <c r="I53" s="51"/>
      <c r="J53" s="51"/>
      <c r="K53" s="51">
        <f t="shared" si="16"/>
        <v>0</v>
      </c>
      <c r="L53" s="51"/>
      <c r="M53" s="51"/>
      <c r="N53" s="51">
        <f t="shared" si="13"/>
        <v>0</v>
      </c>
      <c r="O53" s="51"/>
      <c r="P53" s="191" t="s">
        <v>1409</v>
      </c>
      <c r="Q53" s="179" t="s">
        <v>1382</v>
      </c>
      <c r="R53" s="179" t="s">
        <v>2131</v>
      </c>
      <c r="S53" s="47" t="s">
        <v>1383</v>
      </c>
      <c r="T53" s="54"/>
      <c r="U53" s="54"/>
      <c r="V53" s="8" t="s">
        <v>1965</v>
      </c>
      <c r="W53" t="s">
        <v>1698</v>
      </c>
      <c r="AA53">
        <f t="shared" si="1"/>
        <v>0</v>
      </c>
      <c r="AD53">
        <f t="shared" si="2"/>
        <v>0</v>
      </c>
      <c r="AE53">
        <f t="shared" si="3"/>
        <v>0</v>
      </c>
      <c r="AG53" s="50">
        <f t="shared" si="4"/>
        <v>0</v>
      </c>
      <c r="AH53" s="244" t="str">
        <f t="shared" si="5"/>
        <v>02201</v>
      </c>
      <c r="AI53" s="219"/>
      <c r="AJ53" s="219"/>
      <c r="AK53" s="219" t="str">
        <f t="shared" si="6"/>
        <v>3049</v>
      </c>
      <c r="AL53" s="244" t="str">
        <f t="shared" si="7"/>
        <v>00</v>
      </c>
      <c r="AN53" s="219" t="str">
        <f t="shared" si="8"/>
        <v>Autres indemnités forfaitaires - natels</v>
      </c>
    </row>
    <row r="54" spans="1:40" ht="15" customHeight="1" x14ac:dyDescent="0.3">
      <c r="A54" s="48"/>
      <c r="B54" s="49"/>
      <c r="C54" s="50"/>
      <c r="D54" s="46"/>
      <c r="E54" s="46"/>
      <c r="F54" s="46"/>
      <c r="G54" s="46"/>
      <c r="H54" s="46"/>
      <c r="I54" s="51"/>
      <c r="J54" s="51"/>
      <c r="K54" s="51">
        <f t="shared" si="16"/>
        <v>0</v>
      </c>
      <c r="L54" s="51"/>
      <c r="M54" s="51"/>
      <c r="N54" s="51">
        <f t="shared" si="13"/>
        <v>0</v>
      </c>
      <c r="O54" s="51"/>
      <c r="P54" s="191" t="s">
        <v>1409</v>
      </c>
      <c r="Q54" s="179" t="s">
        <v>1393</v>
      </c>
      <c r="R54" s="179" t="s">
        <v>2131</v>
      </c>
      <c r="S54" s="47" t="s">
        <v>2073</v>
      </c>
      <c r="T54" s="54"/>
      <c r="U54" s="54"/>
      <c r="V54" s="8" t="s">
        <v>1965</v>
      </c>
      <c r="W54" t="s">
        <v>1698</v>
      </c>
      <c r="AA54">
        <f t="shared" si="1"/>
        <v>0</v>
      </c>
      <c r="AD54">
        <f t="shared" si="2"/>
        <v>0</v>
      </c>
      <c r="AE54">
        <f t="shared" si="3"/>
        <v>0</v>
      </c>
      <c r="AG54" s="50">
        <f t="shared" si="4"/>
        <v>0</v>
      </c>
      <c r="AH54" s="244" t="str">
        <f t="shared" si="5"/>
        <v>02201</v>
      </c>
      <c r="AI54" s="219"/>
      <c r="AJ54" s="219"/>
      <c r="AK54" s="219" t="str">
        <f t="shared" si="6"/>
        <v>3170</v>
      </c>
      <c r="AL54" s="244" t="str">
        <f t="shared" si="7"/>
        <v>00</v>
      </c>
      <c r="AN54" s="219" t="str">
        <f t="shared" si="8"/>
        <v>Remboursements de frais effectifs km</v>
      </c>
    </row>
    <row r="55" spans="1:40" ht="15" customHeight="1" x14ac:dyDescent="0.3">
      <c r="A55" s="48"/>
      <c r="B55" s="49"/>
      <c r="C55" s="50"/>
      <c r="D55" s="46"/>
      <c r="E55" s="46"/>
      <c r="F55" s="46"/>
      <c r="G55" s="46"/>
      <c r="H55" s="46"/>
      <c r="I55" s="51"/>
      <c r="J55" s="51"/>
      <c r="K55" s="51">
        <f t="shared" si="16"/>
        <v>0</v>
      </c>
      <c r="L55" s="51"/>
      <c r="M55" s="51"/>
      <c r="N55" s="51">
        <f t="shared" si="13"/>
        <v>0</v>
      </c>
      <c r="O55" s="51"/>
      <c r="P55" s="192" t="s">
        <v>1409</v>
      </c>
      <c r="Q55" s="192" t="s">
        <v>1697</v>
      </c>
      <c r="R55" s="179" t="s">
        <v>2131</v>
      </c>
      <c r="S55" s="186" t="s">
        <v>66</v>
      </c>
      <c r="T55" s="54"/>
      <c r="U55" s="54"/>
      <c r="V55" s="8" t="s">
        <v>1965</v>
      </c>
      <c r="W55" t="s">
        <v>1887</v>
      </c>
      <c r="AA55">
        <f t="shared" si="1"/>
        <v>0</v>
      </c>
      <c r="AD55">
        <f t="shared" si="2"/>
        <v>0</v>
      </c>
      <c r="AE55">
        <f t="shared" si="3"/>
        <v>0</v>
      </c>
      <c r="AG55" s="50">
        <f t="shared" si="4"/>
        <v>0</v>
      </c>
      <c r="AH55" s="244" t="str">
        <f t="shared" si="5"/>
        <v>02201</v>
      </c>
      <c r="AI55" s="219"/>
      <c r="AJ55" s="219"/>
      <c r="AK55" s="219" t="str">
        <f t="shared" si="6"/>
        <v>4910</v>
      </c>
      <c r="AL55" s="244" t="str">
        <f t="shared" si="7"/>
        <v>00</v>
      </c>
      <c r="AN55" s="219" t="str">
        <f t="shared" si="8"/>
        <v>Imputations internes</v>
      </c>
    </row>
    <row r="56" spans="1:40" ht="15" customHeight="1" x14ac:dyDescent="0.3">
      <c r="A56" s="48"/>
      <c r="B56" s="49"/>
      <c r="C56" s="50"/>
      <c r="D56" s="46"/>
      <c r="E56" s="46"/>
      <c r="F56" s="46"/>
      <c r="G56" s="46"/>
      <c r="H56" s="46"/>
      <c r="I56" s="51"/>
      <c r="J56" s="51"/>
      <c r="K56" s="51">
        <f t="shared" si="16"/>
        <v>0</v>
      </c>
      <c r="L56" s="51"/>
      <c r="M56" s="51"/>
      <c r="N56" s="51">
        <f t="shared" si="13"/>
        <v>0</v>
      </c>
      <c r="O56" s="51"/>
      <c r="P56" s="192" t="s">
        <v>1693</v>
      </c>
      <c r="Q56" s="192" t="s">
        <v>1696</v>
      </c>
      <c r="R56" s="179" t="s">
        <v>2131</v>
      </c>
      <c r="S56" s="186" t="s">
        <v>1980</v>
      </c>
      <c r="T56" s="54"/>
      <c r="U56" s="54"/>
      <c r="W56" t="s">
        <v>1699</v>
      </c>
      <c r="AA56">
        <f t="shared" si="1"/>
        <v>0</v>
      </c>
      <c r="AD56">
        <f t="shared" si="2"/>
        <v>0</v>
      </c>
      <c r="AE56">
        <f t="shared" si="3"/>
        <v>0</v>
      </c>
      <c r="AG56" s="50">
        <f t="shared" si="4"/>
        <v>0</v>
      </c>
      <c r="AH56" s="244" t="str">
        <f t="shared" si="5"/>
        <v>02100</v>
      </c>
      <c r="AI56" s="219"/>
      <c r="AJ56" s="219"/>
      <c r="AK56" s="219" t="str">
        <f t="shared" si="6"/>
        <v>3910</v>
      </c>
      <c r="AL56" s="244" t="str">
        <f t="shared" si="7"/>
        <v>00</v>
      </c>
      <c r="AN56" s="219" t="str">
        <f t="shared" si="8"/>
        <v>Imputations internes - Bourse</v>
      </c>
    </row>
    <row r="57" spans="1:40" ht="15" customHeight="1" x14ac:dyDescent="0.3">
      <c r="A57" s="48"/>
      <c r="B57" s="49"/>
      <c r="C57" s="50"/>
      <c r="D57" s="46"/>
      <c r="E57" s="46"/>
      <c r="F57" s="46"/>
      <c r="G57" s="46"/>
      <c r="H57" s="46"/>
      <c r="I57" s="51"/>
      <c r="J57" s="51"/>
      <c r="K57" s="51">
        <f t="shared" si="16"/>
        <v>0</v>
      </c>
      <c r="L57" s="51"/>
      <c r="M57" s="51"/>
      <c r="N57" s="51">
        <f t="shared" si="13"/>
        <v>0</v>
      </c>
      <c r="O57" s="51"/>
      <c r="P57" s="192" t="s">
        <v>1539</v>
      </c>
      <c r="Q57" s="192" t="s">
        <v>1696</v>
      </c>
      <c r="R57" s="179" t="s">
        <v>2131</v>
      </c>
      <c r="S57" s="186" t="s">
        <v>1981</v>
      </c>
      <c r="T57" s="54"/>
      <c r="U57" s="54"/>
      <c r="W57" t="s">
        <v>1700</v>
      </c>
      <c r="AA57">
        <f t="shared" si="1"/>
        <v>0</v>
      </c>
      <c r="AD57">
        <f t="shared" si="2"/>
        <v>0</v>
      </c>
      <c r="AE57">
        <f t="shared" si="3"/>
        <v>0</v>
      </c>
      <c r="AG57" s="50">
        <f t="shared" si="4"/>
        <v>0</v>
      </c>
      <c r="AH57" s="244" t="str">
        <f t="shared" si="5"/>
        <v>02210</v>
      </c>
      <c r="AI57" s="219"/>
      <c r="AJ57" s="219"/>
      <c r="AK57" s="219" t="str">
        <f t="shared" si="6"/>
        <v>3910</v>
      </c>
      <c r="AL57" s="244" t="str">
        <f t="shared" si="7"/>
        <v>00</v>
      </c>
      <c r="AN57" s="219" t="str">
        <f t="shared" si="8"/>
        <v>Imputations internes  - Contrôle des habitants</v>
      </c>
    </row>
    <row r="58" spans="1:40" ht="15" customHeight="1" x14ac:dyDescent="0.3">
      <c r="A58" s="48"/>
      <c r="B58" s="49"/>
      <c r="C58" s="50"/>
      <c r="D58" s="46"/>
      <c r="E58" s="46"/>
      <c r="F58" s="46"/>
      <c r="G58" s="46"/>
      <c r="H58" s="46"/>
      <c r="I58" s="51"/>
      <c r="J58" s="51"/>
      <c r="K58" s="51">
        <f t="shared" si="16"/>
        <v>0</v>
      </c>
      <c r="L58" s="51"/>
      <c r="M58" s="51"/>
      <c r="N58" s="51">
        <f t="shared" si="13"/>
        <v>0</v>
      </c>
      <c r="O58" s="51"/>
      <c r="P58" s="192" t="s">
        <v>1408</v>
      </c>
      <c r="Q58" s="192" t="s">
        <v>1696</v>
      </c>
      <c r="R58" s="179" t="s">
        <v>2131</v>
      </c>
      <c r="S58" s="186" t="s">
        <v>1982</v>
      </c>
      <c r="T58" s="54"/>
      <c r="U58" s="54"/>
      <c r="W58" t="s">
        <v>1701</v>
      </c>
      <c r="AA58">
        <f t="shared" si="1"/>
        <v>0</v>
      </c>
      <c r="AD58">
        <f t="shared" si="2"/>
        <v>0</v>
      </c>
      <c r="AE58">
        <f t="shared" si="3"/>
        <v>0</v>
      </c>
      <c r="AG58" s="50">
        <f t="shared" si="4"/>
        <v>0</v>
      </c>
      <c r="AH58" s="244" t="str">
        <f t="shared" si="5"/>
        <v>02200</v>
      </c>
      <c r="AI58" s="219"/>
      <c r="AJ58" s="219"/>
      <c r="AK58" s="219" t="str">
        <f t="shared" si="6"/>
        <v>3910</v>
      </c>
      <c r="AL58" s="244" t="str">
        <f t="shared" si="7"/>
        <v>00</v>
      </c>
      <c r="AN58" s="219" t="str">
        <f t="shared" si="8"/>
        <v>Imputations internes - Greffe</v>
      </c>
    </row>
    <row r="59" spans="1:40" ht="15" customHeight="1" x14ac:dyDescent="0.3">
      <c r="A59" s="48"/>
      <c r="B59" s="49"/>
      <c r="C59" s="50"/>
      <c r="D59" s="46"/>
      <c r="E59" s="46"/>
      <c r="F59" s="46"/>
      <c r="G59" s="46"/>
      <c r="H59" s="46"/>
      <c r="I59" s="51"/>
      <c r="J59" s="51"/>
      <c r="K59" s="51"/>
      <c r="L59" s="51"/>
      <c r="M59" s="51"/>
      <c r="N59" s="51"/>
      <c r="O59" s="51"/>
      <c r="P59" s="245" t="s">
        <v>1581</v>
      </c>
      <c r="Q59" s="192" t="s">
        <v>1696</v>
      </c>
      <c r="R59" s="179" t="s">
        <v>2131</v>
      </c>
      <c r="S59" s="186" t="s">
        <v>2022</v>
      </c>
      <c r="T59" s="54"/>
      <c r="U59" s="54"/>
      <c r="W59" t="s">
        <v>2023</v>
      </c>
      <c r="AA59">
        <f t="shared" si="1"/>
        <v>0</v>
      </c>
      <c r="AD59">
        <f t="shared" si="2"/>
        <v>0</v>
      </c>
      <c r="AE59">
        <f t="shared" si="3"/>
        <v>0</v>
      </c>
      <c r="AG59" s="50">
        <f t="shared" si="4"/>
        <v>0</v>
      </c>
      <c r="AH59" s="244" t="str">
        <f t="shared" si="5"/>
        <v>79010</v>
      </c>
      <c r="AI59" s="219"/>
      <c r="AJ59" s="219"/>
      <c r="AK59" s="219" t="str">
        <f t="shared" si="6"/>
        <v>3910</v>
      </c>
      <c r="AL59" s="244" t="str">
        <f t="shared" si="7"/>
        <v>00</v>
      </c>
      <c r="AN59" s="219" t="str">
        <f t="shared" si="8"/>
        <v>Imputations internes - Service technique</v>
      </c>
    </row>
    <row r="60" spans="1:40" ht="15" customHeight="1" x14ac:dyDescent="0.3">
      <c r="A60" s="48">
        <v>0</v>
      </c>
      <c r="B60" s="49" t="s">
        <v>82</v>
      </c>
      <c r="C60" s="50" t="s">
        <v>83</v>
      </c>
      <c r="D60" s="46" t="s">
        <v>1458</v>
      </c>
      <c r="E60" s="46" t="s">
        <v>68</v>
      </c>
      <c r="F60" s="46">
        <v>110</v>
      </c>
      <c r="G60" s="46" t="s">
        <v>84</v>
      </c>
      <c r="H60" s="46"/>
      <c r="I60" s="51">
        <v>0</v>
      </c>
      <c r="J60" s="51">
        <v>0</v>
      </c>
      <c r="K60" s="51">
        <f t="shared" ref="K60:K68" si="17">+I60+J60</f>
        <v>0</v>
      </c>
      <c r="L60" s="51">
        <v>0</v>
      </c>
      <c r="M60" s="51">
        <v>0</v>
      </c>
      <c r="N60" s="51">
        <f t="shared" ref="N60:N68" si="18">+L60+M60</f>
        <v>0</v>
      </c>
      <c r="O60" s="51">
        <v>0</v>
      </c>
      <c r="P60" s="179" t="s">
        <v>1489</v>
      </c>
      <c r="Q60" s="179" t="s">
        <v>1489</v>
      </c>
      <c r="R60" s="179" t="s">
        <v>1489</v>
      </c>
      <c r="S60" s="47" t="s">
        <v>1489</v>
      </c>
      <c r="T60" s="54">
        <f>+I60</f>
        <v>0</v>
      </c>
      <c r="U60" s="54">
        <f t="shared" ref="U60:U66" si="19">+T60</f>
        <v>0</v>
      </c>
      <c r="AA60">
        <f t="shared" si="1"/>
        <v>110</v>
      </c>
      <c r="AD60" t="str">
        <f t="shared" si="2"/>
        <v>310</v>
      </c>
      <c r="AE60">
        <f t="shared" si="3"/>
        <v>0</v>
      </c>
      <c r="AG60" s="50" t="str">
        <f t="shared" si="4"/>
        <v>Achats Livres : NatuRando / B-d-Chêne</v>
      </c>
      <c r="AH60" s="244" t="str">
        <f t="shared" si="5"/>
        <v>-</v>
      </c>
      <c r="AI60" s="219"/>
      <c r="AJ60" s="219"/>
      <c r="AK60" s="219" t="str">
        <f t="shared" si="6"/>
        <v>-</v>
      </c>
      <c r="AL60" s="244" t="str">
        <f t="shared" si="7"/>
        <v>-</v>
      </c>
      <c r="AN60" s="219" t="str">
        <f t="shared" si="8"/>
        <v>-</v>
      </c>
    </row>
    <row r="61" spans="1:40" ht="15" customHeight="1" x14ac:dyDescent="0.3">
      <c r="A61" s="48">
        <v>0</v>
      </c>
      <c r="B61" s="81" t="s">
        <v>85</v>
      </c>
      <c r="C61" s="82" t="s">
        <v>86</v>
      </c>
      <c r="D61" s="183" t="s">
        <v>1458</v>
      </c>
      <c r="E61" s="183" t="s">
        <v>68</v>
      </c>
      <c r="F61" s="46">
        <v>110</v>
      </c>
      <c r="G61" s="183" t="s">
        <v>48</v>
      </c>
      <c r="H61" s="183"/>
      <c r="I61" s="51">
        <v>11733.78</v>
      </c>
      <c r="J61" s="51">
        <v>0</v>
      </c>
      <c r="K61" s="51">
        <f t="shared" si="17"/>
        <v>11733.78</v>
      </c>
      <c r="L61" s="51">
        <v>15000</v>
      </c>
      <c r="M61" s="51">
        <v>0</v>
      </c>
      <c r="N61" s="51">
        <f t="shared" si="18"/>
        <v>15000</v>
      </c>
      <c r="O61" s="51">
        <v>7116.9</v>
      </c>
      <c r="P61" s="179" t="s">
        <v>1409</v>
      </c>
      <c r="Q61" s="179">
        <v>3130</v>
      </c>
      <c r="R61" s="179" t="s">
        <v>2132</v>
      </c>
      <c r="S61" s="47" t="s">
        <v>1406</v>
      </c>
      <c r="T61" s="54">
        <f>+I61</f>
        <v>11733.78</v>
      </c>
      <c r="U61" s="54">
        <f t="shared" si="19"/>
        <v>11733.78</v>
      </c>
      <c r="V61" s="8" t="s">
        <v>1965</v>
      </c>
      <c r="AA61">
        <f t="shared" si="1"/>
        <v>110</v>
      </c>
      <c r="AD61" t="str">
        <f t="shared" si="2"/>
        <v>318</v>
      </c>
      <c r="AE61">
        <f t="shared" si="3"/>
        <v>0</v>
      </c>
      <c r="AG61" s="50" t="str">
        <f t="shared" si="4"/>
        <v>Frais de Ports, frais Postfinance et Twint</v>
      </c>
      <c r="AH61" s="244" t="str">
        <f t="shared" si="5"/>
        <v>02201</v>
      </c>
      <c r="AI61" s="219"/>
      <c r="AJ61" s="219"/>
      <c r="AK61" s="219">
        <f t="shared" si="6"/>
        <v>3130</v>
      </c>
      <c r="AL61" s="244" t="str">
        <f t="shared" si="7"/>
        <v>01</v>
      </c>
      <c r="AN61" s="219" t="str">
        <f t="shared" si="8"/>
        <v>Prestations de services tiers - frais de port</v>
      </c>
    </row>
    <row r="62" spans="1:40" ht="15" customHeight="1" x14ac:dyDescent="0.3">
      <c r="A62" s="48"/>
      <c r="B62" s="81" t="s">
        <v>85</v>
      </c>
      <c r="C62" s="82" t="s">
        <v>86</v>
      </c>
      <c r="D62" s="183" t="s">
        <v>1458</v>
      </c>
      <c r="E62" s="183" t="s">
        <v>68</v>
      </c>
      <c r="F62" s="46">
        <v>110</v>
      </c>
      <c r="G62" s="183" t="s">
        <v>48</v>
      </c>
      <c r="H62" s="183"/>
      <c r="I62" s="51"/>
      <c r="J62" s="51"/>
      <c r="K62" s="51">
        <f t="shared" si="17"/>
        <v>0</v>
      </c>
      <c r="L62" s="51"/>
      <c r="M62" s="51"/>
      <c r="N62" s="51">
        <f t="shared" si="18"/>
        <v>0</v>
      </c>
      <c r="O62" s="51"/>
      <c r="P62" s="179" t="s">
        <v>1415</v>
      </c>
      <c r="Q62" s="179" t="s">
        <v>1434</v>
      </c>
      <c r="R62" s="179" t="s">
        <v>2131</v>
      </c>
      <c r="S62" s="47" t="s">
        <v>2075</v>
      </c>
      <c r="T62" s="54">
        <f>+I62</f>
        <v>0</v>
      </c>
      <c r="U62" s="54">
        <f t="shared" si="19"/>
        <v>0</v>
      </c>
      <c r="AA62">
        <f t="shared" si="1"/>
        <v>110</v>
      </c>
      <c r="AD62" t="str">
        <f t="shared" si="2"/>
        <v>318</v>
      </c>
      <c r="AE62">
        <f t="shared" si="3"/>
        <v>0</v>
      </c>
      <c r="AG62" s="50" t="str">
        <f t="shared" si="4"/>
        <v>Frais de Ports, frais Postfinance et Twint</v>
      </c>
      <c r="AH62" s="244" t="str">
        <f t="shared" si="5"/>
        <v>96900</v>
      </c>
      <c r="AI62" s="219"/>
      <c r="AJ62" s="219"/>
      <c r="AK62" s="219" t="str">
        <f t="shared" si="6"/>
        <v>3420</v>
      </c>
      <c r="AL62" s="244" t="str">
        <f t="shared" si="7"/>
        <v>00</v>
      </c>
      <c r="AN62" s="219" t="str">
        <f t="shared" si="8"/>
        <v>Frais bancaires et Twint</v>
      </c>
    </row>
    <row r="63" spans="1:40" ht="15" customHeight="1" x14ac:dyDescent="0.3">
      <c r="A63" s="48">
        <v>0</v>
      </c>
      <c r="B63" s="77" t="s">
        <v>87</v>
      </c>
      <c r="C63" s="78" t="s">
        <v>88</v>
      </c>
      <c r="D63" s="182" t="s">
        <v>1458</v>
      </c>
      <c r="E63" s="182" t="s">
        <v>68</v>
      </c>
      <c r="F63" s="46">
        <v>110</v>
      </c>
      <c r="G63" s="182" t="s">
        <v>48</v>
      </c>
      <c r="H63" s="182">
        <v>1</v>
      </c>
      <c r="I63" s="51">
        <v>11975.9</v>
      </c>
      <c r="J63" s="51">
        <v>0</v>
      </c>
      <c r="K63" s="51">
        <f t="shared" si="17"/>
        <v>11975.9</v>
      </c>
      <c r="L63" s="51">
        <v>12500</v>
      </c>
      <c r="M63" s="51">
        <v>0</v>
      </c>
      <c r="N63" s="51">
        <f t="shared" si="18"/>
        <v>12500</v>
      </c>
      <c r="O63" s="51">
        <v>5248.6</v>
      </c>
      <c r="P63" s="179" t="s">
        <v>1409</v>
      </c>
      <c r="Q63" s="179" t="s">
        <v>1390</v>
      </c>
      <c r="R63" s="179" t="s">
        <v>2133</v>
      </c>
      <c r="S63" s="47" t="s">
        <v>2066</v>
      </c>
      <c r="T63" s="54">
        <f>+I63</f>
        <v>11975.9</v>
      </c>
      <c r="U63" s="54">
        <f t="shared" si="19"/>
        <v>11975.9</v>
      </c>
      <c r="V63" s="8" t="s">
        <v>1965</v>
      </c>
      <c r="W63" t="s">
        <v>1417</v>
      </c>
      <c r="AA63">
        <f t="shared" si="1"/>
        <v>110</v>
      </c>
      <c r="AD63" t="str">
        <f t="shared" si="2"/>
        <v>318</v>
      </c>
      <c r="AE63">
        <f t="shared" si="3"/>
        <v>1</v>
      </c>
      <c r="AG63" s="50" t="str">
        <f t="shared" si="4"/>
        <v>Téléphones</v>
      </c>
      <c r="AH63" s="244" t="str">
        <f t="shared" si="5"/>
        <v>02201</v>
      </c>
      <c r="AI63" s="219"/>
      <c r="AJ63" s="219"/>
      <c r="AK63" s="219" t="str">
        <f t="shared" si="6"/>
        <v>3130</v>
      </c>
      <c r="AL63" s="244" t="str">
        <f t="shared" si="7"/>
        <v>02</v>
      </c>
      <c r="AN63" s="219" t="str">
        <f t="shared" si="8"/>
        <v>Prestations de services tiers - télécommunications</v>
      </c>
    </row>
    <row r="64" spans="1:40" ht="15" customHeight="1" x14ac:dyDescent="0.3">
      <c r="A64" s="48"/>
      <c r="B64" s="77" t="s">
        <v>87</v>
      </c>
      <c r="C64" s="78" t="s">
        <v>88</v>
      </c>
      <c r="D64" s="182" t="s">
        <v>1458</v>
      </c>
      <c r="E64" s="182" t="s">
        <v>68</v>
      </c>
      <c r="F64" s="46">
        <v>110</v>
      </c>
      <c r="G64" s="182" t="s">
        <v>48</v>
      </c>
      <c r="H64" s="182">
        <v>1</v>
      </c>
      <c r="I64" s="51"/>
      <c r="J64" s="51"/>
      <c r="K64" s="51">
        <f t="shared" si="17"/>
        <v>0</v>
      </c>
      <c r="L64" s="51"/>
      <c r="M64" s="51"/>
      <c r="N64" s="51">
        <f t="shared" si="18"/>
        <v>0</v>
      </c>
      <c r="O64" s="51"/>
      <c r="P64" s="179" t="s">
        <v>1533</v>
      </c>
      <c r="Q64" s="179" t="s">
        <v>1390</v>
      </c>
      <c r="R64" s="179" t="s">
        <v>2133</v>
      </c>
      <c r="S64" s="47" t="s">
        <v>2067</v>
      </c>
      <c r="T64" s="54">
        <v>0</v>
      </c>
      <c r="U64" s="54">
        <f t="shared" si="19"/>
        <v>0</v>
      </c>
      <c r="W64" t="s">
        <v>1888</v>
      </c>
      <c r="AA64">
        <f t="shared" si="1"/>
        <v>110</v>
      </c>
      <c r="AD64" t="str">
        <f t="shared" si="2"/>
        <v>318</v>
      </c>
      <c r="AE64">
        <f t="shared" si="3"/>
        <v>1</v>
      </c>
      <c r="AG64" s="50" t="str">
        <f t="shared" si="4"/>
        <v>Téléphones</v>
      </c>
      <c r="AH64" s="244" t="str">
        <f t="shared" si="5"/>
        <v>11100</v>
      </c>
      <c r="AI64" s="219"/>
      <c r="AJ64" s="219"/>
      <c r="AK64" s="219" t="str">
        <f t="shared" si="6"/>
        <v>3130</v>
      </c>
      <c r="AL64" s="244" t="str">
        <f t="shared" si="7"/>
        <v>02</v>
      </c>
      <c r="AN64" s="219" t="str">
        <f t="shared" si="8"/>
        <v>Prestations de services tiers - télécommunications (cameras)</v>
      </c>
    </row>
    <row r="65" spans="1:40" ht="15" customHeight="1" x14ac:dyDescent="0.3">
      <c r="A65" s="48">
        <v>0</v>
      </c>
      <c r="B65" s="49" t="s">
        <v>89</v>
      </c>
      <c r="C65" s="50" t="s">
        <v>90</v>
      </c>
      <c r="D65" s="46" t="s">
        <v>1458</v>
      </c>
      <c r="E65" s="46" t="s">
        <v>68</v>
      </c>
      <c r="F65" s="46">
        <v>110</v>
      </c>
      <c r="G65" s="46" t="s">
        <v>48</v>
      </c>
      <c r="H65" s="46">
        <v>2</v>
      </c>
      <c r="I65" s="51">
        <v>1940.4</v>
      </c>
      <c r="J65" s="51">
        <v>0</v>
      </c>
      <c r="K65" s="51">
        <f t="shared" si="17"/>
        <v>1940.4</v>
      </c>
      <c r="L65" s="51">
        <v>17710</v>
      </c>
      <c r="M65" s="51">
        <v>0</v>
      </c>
      <c r="N65" s="51">
        <f t="shared" si="18"/>
        <v>17710</v>
      </c>
      <c r="O65" s="51">
        <v>1837.9</v>
      </c>
      <c r="P65" s="179" t="s">
        <v>1409</v>
      </c>
      <c r="Q65" s="179" t="s">
        <v>1418</v>
      </c>
      <c r="R65" s="179" t="s">
        <v>2131</v>
      </c>
      <c r="S65" s="47" t="s">
        <v>2090</v>
      </c>
      <c r="T65" s="54">
        <f>+I65</f>
        <v>1940.4</v>
      </c>
      <c r="U65" s="54">
        <f t="shared" si="19"/>
        <v>1940.4</v>
      </c>
      <c r="V65" s="8" t="s">
        <v>1965</v>
      </c>
      <c r="W65" t="s">
        <v>1889</v>
      </c>
      <c r="AA65">
        <f t="shared" si="1"/>
        <v>110</v>
      </c>
      <c r="AD65" t="str">
        <f t="shared" si="2"/>
        <v>318</v>
      </c>
      <c r="AE65">
        <f t="shared" si="3"/>
        <v>2</v>
      </c>
      <c r="AG65" s="50" t="str">
        <f t="shared" si="4"/>
        <v>Ass. RC commune</v>
      </c>
      <c r="AH65" s="244" t="str">
        <f t="shared" si="5"/>
        <v>02201</v>
      </c>
      <c r="AI65" s="219"/>
      <c r="AJ65" s="219"/>
      <c r="AK65" s="219" t="str">
        <f t="shared" si="6"/>
        <v>3134</v>
      </c>
      <c r="AL65" s="244" t="str">
        <f t="shared" si="7"/>
        <v>00</v>
      </c>
      <c r="AN65" s="219" t="str">
        <f t="shared" si="8"/>
        <v>Frais assurances - Inventaire et RC</v>
      </c>
    </row>
    <row r="66" spans="1:40" ht="15" customHeight="1" x14ac:dyDescent="0.3">
      <c r="A66" s="48">
        <v>0</v>
      </c>
      <c r="B66" s="49" t="s">
        <v>91</v>
      </c>
      <c r="C66" s="50" t="s">
        <v>92</v>
      </c>
      <c r="D66" s="46" t="s">
        <v>1458</v>
      </c>
      <c r="E66" s="46" t="s">
        <v>68</v>
      </c>
      <c r="F66" s="46">
        <v>110</v>
      </c>
      <c r="G66" s="46" t="s">
        <v>93</v>
      </c>
      <c r="H66" s="46"/>
      <c r="I66" s="51">
        <v>25338.25</v>
      </c>
      <c r="J66" s="51">
        <v>0</v>
      </c>
      <c r="K66" s="51">
        <f t="shared" si="17"/>
        <v>25338.25</v>
      </c>
      <c r="L66" s="51">
        <v>28000</v>
      </c>
      <c r="M66" s="51">
        <v>0</v>
      </c>
      <c r="N66" s="51">
        <f t="shared" si="18"/>
        <v>28000</v>
      </c>
      <c r="O66" s="51">
        <v>24430.25</v>
      </c>
      <c r="P66" s="179" t="s">
        <v>1409</v>
      </c>
      <c r="Q66" s="179">
        <v>3130</v>
      </c>
      <c r="R66" s="179" t="s">
        <v>2135</v>
      </c>
      <c r="S66" s="47" t="s">
        <v>1402</v>
      </c>
      <c r="T66" s="54">
        <f>+I66</f>
        <v>25338.25</v>
      </c>
      <c r="U66" s="54">
        <f t="shared" si="19"/>
        <v>25338.25</v>
      </c>
      <c r="V66" s="8" t="s">
        <v>1965</v>
      </c>
      <c r="W66" t="s">
        <v>1972</v>
      </c>
      <c r="AA66">
        <f t="shared" si="1"/>
        <v>110</v>
      </c>
      <c r="AD66" t="str">
        <f t="shared" si="2"/>
        <v>319</v>
      </c>
      <c r="AE66">
        <f t="shared" si="3"/>
        <v>0</v>
      </c>
      <c r="AG66" s="50" t="str">
        <f t="shared" si="4"/>
        <v>Cotisations à inst. Privées</v>
      </c>
      <c r="AH66" s="244" t="str">
        <f t="shared" si="5"/>
        <v>02201</v>
      </c>
      <c r="AI66" s="219"/>
      <c r="AJ66" s="219"/>
      <c r="AK66" s="219">
        <f t="shared" si="6"/>
        <v>3130</v>
      </c>
      <c r="AL66" s="244" t="str">
        <f t="shared" si="7"/>
        <v>04</v>
      </c>
      <c r="AN66" s="219" t="str">
        <f t="shared" si="8"/>
        <v>Prestations de services tiers - cotisations</v>
      </c>
    </row>
    <row r="67" spans="1:40" ht="15" customHeight="1" x14ac:dyDescent="0.3">
      <c r="A67" s="48">
        <v>0</v>
      </c>
      <c r="B67" s="49" t="s">
        <v>94</v>
      </c>
      <c r="C67" s="50" t="s">
        <v>95</v>
      </c>
      <c r="D67" s="46" t="s">
        <v>1458</v>
      </c>
      <c r="E67" s="46" t="s">
        <v>68</v>
      </c>
      <c r="F67" s="46">
        <v>110</v>
      </c>
      <c r="G67" s="46" t="s">
        <v>96</v>
      </c>
      <c r="H67" s="46"/>
      <c r="I67" s="51">
        <v>14863.75</v>
      </c>
      <c r="J67" s="51">
        <v>0</v>
      </c>
      <c r="K67" s="51">
        <f t="shared" si="17"/>
        <v>14863.75</v>
      </c>
      <c r="L67" s="51">
        <v>0</v>
      </c>
      <c r="M67" s="51">
        <v>0</v>
      </c>
      <c r="N67" s="51">
        <f t="shared" si="18"/>
        <v>0</v>
      </c>
      <c r="O67" s="51">
        <v>0</v>
      </c>
      <c r="P67" s="45" t="s">
        <v>1408</v>
      </c>
      <c r="Q67" s="179">
        <v>3321</v>
      </c>
      <c r="R67" s="179" t="s">
        <v>2139</v>
      </c>
      <c r="S67" s="47" t="s">
        <v>1608</v>
      </c>
      <c r="T67" s="54">
        <f>+I67</f>
        <v>14863.75</v>
      </c>
      <c r="U67" s="54">
        <v>0</v>
      </c>
      <c r="V67" s="8"/>
      <c r="W67" t="s">
        <v>2161</v>
      </c>
      <c r="AA67">
        <f t="shared" si="1"/>
        <v>110</v>
      </c>
      <c r="AD67" t="str">
        <f t="shared" si="2"/>
        <v>332</v>
      </c>
      <c r="AE67">
        <f t="shared" si="3"/>
        <v>0</v>
      </c>
      <c r="AG67" s="50" t="str">
        <f t="shared" si="4"/>
        <v>Amortissement suppl admin</v>
      </c>
      <c r="AH67" s="244" t="str">
        <f t="shared" si="5"/>
        <v>02200</v>
      </c>
      <c r="AI67" s="219"/>
      <c r="AJ67" s="219"/>
      <c r="AK67" s="219">
        <f t="shared" si="6"/>
        <v>3321</v>
      </c>
      <c r="AL67" s="244" t="str">
        <f t="shared" si="7"/>
        <v>09</v>
      </c>
      <c r="AN67" s="219" t="str">
        <f t="shared" si="8"/>
        <v>Amortissements non planifiés des immobilisations corporelles PA</v>
      </c>
    </row>
    <row r="68" spans="1:40" ht="15" customHeight="1" x14ac:dyDescent="0.3">
      <c r="A68" s="48">
        <v>0</v>
      </c>
      <c r="B68" s="74" t="s">
        <v>97</v>
      </c>
      <c r="C68" s="67" t="s">
        <v>98</v>
      </c>
      <c r="D68" s="188" t="s">
        <v>1458</v>
      </c>
      <c r="E68" s="188" t="s">
        <v>68</v>
      </c>
      <c r="F68" s="46">
        <v>110</v>
      </c>
      <c r="G68" s="188" t="s">
        <v>99</v>
      </c>
      <c r="H68" s="188"/>
      <c r="I68" s="51">
        <v>26540</v>
      </c>
      <c r="J68" s="51">
        <v>0</v>
      </c>
      <c r="K68" s="51">
        <f t="shared" si="17"/>
        <v>26540</v>
      </c>
      <c r="L68" s="51">
        <v>20000</v>
      </c>
      <c r="M68" s="51">
        <v>0</v>
      </c>
      <c r="N68" s="51">
        <f t="shared" si="18"/>
        <v>20000</v>
      </c>
      <c r="O68" s="51">
        <v>13510</v>
      </c>
      <c r="P68" s="179" t="s">
        <v>1420</v>
      </c>
      <c r="Q68" s="179" t="s">
        <v>1421</v>
      </c>
      <c r="R68" s="179" t="s">
        <v>2131</v>
      </c>
      <c r="S68" s="47" t="s">
        <v>1422</v>
      </c>
      <c r="T68" s="54">
        <f>+I68</f>
        <v>26540</v>
      </c>
      <c r="U68" s="54">
        <f>+I68+I71</f>
        <v>59232.25</v>
      </c>
      <c r="V68" s="8" t="s">
        <v>1448</v>
      </c>
      <c r="W68" s="1" t="s">
        <v>1464</v>
      </c>
      <c r="AA68">
        <f t="shared" ref="AA68:AA131" si="20">+F68</f>
        <v>110</v>
      </c>
      <c r="AD68" t="str">
        <f t="shared" ref="AD68:AD131" si="21">+G68</f>
        <v>365</v>
      </c>
      <c r="AE68">
        <f t="shared" ref="AE68:AE131" si="22">+H68</f>
        <v>0</v>
      </c>
      <c r="AG68" s="50" t="str">
        <f t="shared" ref="AG68:AG131" si="23">+C68</f>
        <v>Dons et subventions</v>
      </c>
      <c r="AH68" s="244" t="str">
        <f t="shared" ref="AH68:AH131" si="24">+P68</f>
        <v>59200</v>
      </c>
      <c r="AI68" s="219"/>
      <c r="AJ68" s="219"/>
      <c r="AK68" s="219" t="str">
        <f t="shared" ref="AK68:AK131" si="25">+Q68</f>
        <v>3636</v>
      </c>
      <c r="AL68" s="244" t="str">
        <f t="shared" ref="AL68:AL131" si="26">+R68</f>
        <v>00</v>
      </c>
      <c r="AN68" s="219" t="str">
        <f t="shared" ref="AN68:AN131" si="27">+S68</f>
        <v>Subventions à des tiers - dons</v>
      </c>
    </row>
    <row r="69" spans="1:40" ht="15" customHeight="1" x14ac:dyDescent="0.3">
      <c r="A69" s="48"/>
      <c r="B69" s="74" t="s">
        <v>97</v>
      </c>
      <c r="C69" s="67" t="s">
        <v>98</v>
      </c>
      <c r="D69" s="188" t="s">
        <v>1458</v>
      </c>
      <c r="E69" s="188" t="s">
        <v>68</v>
      </c>
      <c r="F69" s="46">
        <v>110</v>
      </c>
      <c r="G69" s="188" t="s">
        <v>99</v>
      </c>
      <c r="H69" s="188"/>
      <c r="I69" s="51"/>
      <c r="J69" s="51"/>
      <c r="K69" s="51"/>
      <c r="L69" s="51"/>
      <c r="M69" s="51"/>
      <c r="N69" s="51"/>
      <c r="O69" s="51"/>
      <c r="P69" s="179" t="s">
        <v>1420</v>
      </c>
      <c r="Q69" s="179" t="s">
        <v>1552</v>
      </c>
      <c r="R69" s="179" t="s">
        <v>2131</v>
      </c>
      <c r="S69" s="47" t="s">
        <v>2025</v>
      </c>
      <c r="T69" s="54"/>
      <c r="U69" s="54"/>
      <c r="V69" s="8"/>
      <c r="W69" s="1"/>
      <c r="AA69">
        <f t="shared" si="20"/>
        <v>110</v>
      </c>
      <c r="AD69" t="str">
        <f t="shared" si="21"/>
        <v>365</v>
      </c>
      <c r="AE69">
        <f t="shared" si="22"/>
        <v>0</v>
      </c>
      <c r="AG69" s="50" t="str">
        <f t="shared" si="23"/>
        <v>Dons et subventions</v>
      </c>
      <c r="AH69" s="244" t="str">
        <f t="shared" si="24"/>
        <v>59200</v>
      </c>
      <c r="AI69" s="219"/>
      <c r="AJ69" s="219"/>
      <c r="AK69" s="219" t="str">
        <f t="shared" si="25"/>
        <v>3632</v>
      </c>
      <c r="AL69" s="244" t="str">
        <f t="shared" si="26"/>
        <v>00</v>
      </c>
      <c r="AN69" s="219" t="str">
        <f t="shared" si="27"/>
        <v>Subventions accordées aux communes et associations  - dons</v>
      </c>
    </row>
    <row r="70" spans="1:40" ht="15" customHeight="1" x14ac:dyDescent="0.3">
      <c r="A70" s="48"/>
      <c r="B70" s="74" t="s">
        <v>97</v>
      </c>
      <c r="C70" s="67" t="s">
        <v>98</v>
      </c>
      <c r="D70" s="188" t="s">
        <v>1458</v>
      </c>
      <c r="E70" s="188" t="s">
        <v>68</v>
      </c>
      <c r="F70" s="46">
        <v>110</v>
      </c>
      <c r="G70" s="188" t="s">
        <v>99</v>
      </c>
      <c r="H70" s="188"/>
      <c r="I70" s="51"/>
      <c r="J70" s="51"/>
      <c r="K70" s="51"/>
      <c r="L70" s="51"/>
      <c r="M70" s="51"/>
      <c r="N70" s="51"/>
      <c r="O70" s="51"/>
      <c r="P70" s="179" t="s">
        <v>1420</v>
      </c>
      <c r="Q70" s="179" t="s">
        <v>1562</v>
      </c>
      <c r="R70" s="179" t="s">
        <v>2131</v>
      </c>
      <c r="S70" s="47" t="s">
        <v>2026</v>
      </c>
      <c r="T70" s="54"/>
      <c r="U70" s="54"/>
      <c r="V70" s="8"/>
      <c r="W70" s="1"/>
      <c r="AA70">
        <f t="shared" si="20"/>
        <v>110</v>
      </c>
      <c r="AD70" t="str">
        <f t="shared" si="21"/>
        <v>365</v>
      </c>
      <c r="AE70">
        <f t="shared" si="22"/>
        <v>0</v>
      </c>
      <c r="AG70" s="50" t="str">
        <f t="shared" si="23"/>
        <v>Dons et subventions</v>
      </c>
      <c r="AH70" s="244" t="str">
        <f t="shared" si="24"/>
        <v>59200</v>
      </c>
      <c r="AI70" s="219"/>
      <c r="AJ70" s="219"/>
      <c r="AK70" s="219" t="str">
        <f t="shared" si="25"/>
        <v>3637</v>
      </c>
      <c r="AL70" s="244" t="str">
        <f t="shared" si="26"/>
        <v>00</v>
      </c>
      <c r="AN70" s="219" t="str">
        <f t="shared" si="27"/>
        <v>Subventions accordées aux ménages privés - dons</v>
      </c>
    </row>
    <row r="71" spans="1:40" ht="15" customHeight="1" x14ac:dyDescent="0.3">
      <c r="A71" s="48">
        <v>0</v>
      </c>
      <c r="B71" s="77" t="s">
        <v>100</v>
      </c>
      <c r="C71" s="78" t="s">
        <v>101</v>
      </c>
      <c r="D71" s="182" t="s">
        <v>1458</v>
      </c>
      <c r="E71" s="182" t="s">
        <v>68</v>
      </c>
      <c r="F71" s="46">
        <v>110</v>
      </c>
      <c r="G71" s="182" t="s">
        <v>99</v>
      </c>
      <c r="H71" s="182">
        <v>1</v>
      </c>
      <c r="I71" s="51">
        <v>32692.25</v>
      </c>
      <c r="J71" s="51">
        <v>0</v>
      </c>
      <c r="K71" s="51">
        <f>+I71+J71</f>
        <v>32692.25</v>
      </c>
      <c r="L71" s="51">
        <v>32000</v>
      </c>
      <c r="M71" s="51">
        <v>0</v>
      </c>
      <c r="N71" s="51">
        <f>+L71+M71</f>
        <v>32000</v>
      </c>
      <c r="O71" s="51">
        <v>21274.5</v>
      </c>
      <c r="P71" s="179" t="s">
        <v>1420</v>
      </c>
      <c r="Q71" s="179" t="s">
        <v>1421</v>
      </c>
      <c r="R71" s="179" t="s">
        <v>2131</v>
      </c>
      <c r="S71" s="47" t="s">
        <v>1422</v>
      </c>
      <c r="T71" s="54">
        <f>+I71</f>
        <v>32692.25</v>
      </c>
      <c r="U71" s="54">
        <v>0</v>
      </c>
      <c r="V71" s="8" t="s">
        <v>1448</v>
      </c>
      <c r="W71" t="s">
        <v>1465</v>
      </c>
      <c r="AA71">
        <f t="shared" si="20"/>
        <v>110</v>
      </c>
      <c r="AD71" t="str">
        <f t="shared" si="21"/>
        <v>365</v>
      </c>
      <c r="AE71">
        <f t="shared" si="22"/>
        <v>1</v>
      </c>
      <c r="AG71" s="50" t="str">
        <f t="shared" si="23"/>
        <v>Aides culture et loisirs</v>
      </c>
      <c r="AH71" s="244" t="str">
        <f t="shared" si="24"/>
        <v>59200</v>
      </c>
      <c r="AI71" s="219"/>
      <c r="AJ71" s="219"/>
      <c r="AK71" s="219" t="str">
        <f t="shared" si="25"/>
        <v>3636</v>
      </c>
      <c r="AL71" s="244" t="str">
        <f t="shared" si="26"/>
        <v>00</v>
      </c>
      <c r="AN71" s="219" t="str">
        <f t="shared" si="27"/>
        <v>Subventions à des tiers - dons</v>
      </c>
    </row>
    <row r="72" spans="1:40" ht="15" customHeight="1" x14ac:dyDescent="0.3">
      <c r="A72" s="48"/>
      <c r="B72" s="77" t="s">
        <v>100</v>
      </c>
      <c r="C72" s="78" t="s">
        <v>101</v>
      </c>
      <c r="D72" s="182" t="s">
        <v>1458</v>
      </c>
      <c r="E72" s="182" t="s">
        <v>68</v>
      </c>
      <c r="F72" s="46">
        <v>110</v>
      </c>
      <c r="G72" s="182" t="s">
        <v>99</v>
      </c>
      <c r="H72" s="182">
        <v>1</v>
      </c>
      <c r="I72" s="51"/>
      <c r="J72" s="51"/>
      <c r="K72" s="51"/>
      <c r="L72" s="51"/>
      <c r="M72" s="51"/>
      <c r="N72" s="51"/>
      <c r="O72" s="51"/>
      <c r="P72" s="179" t="s">
        <v>1420</v>
      </c>
      <c r="Q72" s="179" t="s">
        <v>1552</v>
      </c>
      <c r="R72" s="179" t="s">
        <v>2131</v>
      </c>
      <c r="S72" s="47" t="s">
        <v>2025</v>
      </c>
      <c r="T72" s="54"/>
      <c r="U72" s="54"/>
      <c r="AA72">
        <f t="shared" si="20"/>
        <v>110</v>
      </c>
      <c r="AD72" t="str">
        <f t="shared" si="21"/>
        <v>365</v>
      </c>
      <c r="AE72">
        <f t="shared" si="22"/>
        <v>1</v>
      </c>
      <c r="AG72" s="50" t="str">
        <f t="shared" si="23"/>
        <v>Aides culture et loisirs</v>
      </c>
      <c r="AH72" s="244" t="str">
        <f t="shared" si="24"/>
        <v>59200</v>
      </c>
      <c r="AI72" s="219"/>
      <c r="AJ72" s="219"/>
      <c r="AK72" s="219" t="str">
        <f t="shared" si="25"/>
        <v>3632</v>
      </c>
      <c r="AL72" s="244" t="str">
        <f t="shared" si="26"/>
        <v>00</v>
      </c>
      <c r="AN72" s="219" t="str">
        <f t="shared" si="27"/>
        <v>Subventions accordées aux communes et associations  - dons</v>
      </c>
    </row>
    <row r="73" spans="1:40" ht="15" customHeight="1" x14ac:dyDescent="0.3">
      <c r="A73" s="48"/>
      <c r="B73" s="77" t="s">
        <v>100</v>
      </c>
      <c r="C73" s="78" t="s">
        <v>101</v>
      </c>
      <c r="D73" s="182" t="s">
        <v>1458</v>
      </c>
      <c r="E73" s="182" t="s">
        <v>68</v>
      </c>
      <c r="F73" s="46">
        <v>110</v>
      </c>
      <c r="G73" s="182" t="s">
        <v>99</v>
      </c>
      <c r="H73" s="182">
        <v>1</v>
      </c>
      <c r="I73" s="51"/>
      <c r="J73" s="51"/>
      <c r="K73" s="51"/>
      <c r="L73" s="51"/>
      <c r="M73" s="51"/>
      <c r="N73" s="51"/>
      <c r="O73" s="51"/>
      <c r="P73" s="179" t="s">
        <v>1420</v>
      </c>
      <c r="Q73" s="179" t="s">
        <v>1562</v>
      </c>
      <c r="R73" s="179" t="s">
        <v>2131</v>
      </c>
      <c r="S73" s="47" t="s">
        <v>2026</v>
      </c>
      <c r="T73" s="54"/>
      <c r="U73" s="54"/>
      <c r="W73" t="s">
        <v>2024</v>
      </c>
      <c r="AA73">
        <f t="shared" si="20"/>
        <v>110</v>
      </c>
      <c r="AD73" t="str">
        <f t="shared" si="21"/>
        <v>365</v>
      </c>
      <c r="AE73">
        <f t="shared" si="22"/>
        <v>1</v>
      </c>
      <c r="AG73" s="50" t="str">
        <f t="shared" si="23"/>
        <v>Aides culture et loisirs</v>
      </c>
      <c r="AH73" s="244" t="str">
        <f t="shared" si="24"/>
        <v>59200</v>
      </c>
      <c r="AI73" s="219"/>
      <c r="AJ73" s="219"/>
      <c r="AK73" s="219" t="str">
        <f t="shared" si="25"/>
        <v>3637</v>
      </c>
      <c r="AL73" s="244" t="str">
        <f t="shared" si="26"/>
        <v>00</v>
      </c>
      <c r="AN73" s="219" t="str">
        <f t="shared" si="27"/>
        <v>Subventions accordées aux ménages privés - dons</v>
      </c>
    </row>
    <row r="74" spans="1:40" ht="15" customHeight="1" x14ac:dyDescent="0.3">
      <c r="A74" s="48">
        <v>0</v>
      </c>
      <c r="B74" s="49" t="s">
        <v>102</v>
      </c>
      <c r="C74" s="50" t="s">
        <v>103</v>
      </c>
      <c r="D74" s="46" t="s">
        <v>1458</v>
      </c>
      <c r="E74" s="46" t="s">
        <v>68</v>
      </c>
      <c r="F74" s="46">
        <v>110</v>
      </c>
      <c r="G74" s="46" t="s">
        <v>6</v>
      </c>
      <c r="H74" s="46"/>
      <c r="I74" s="51">
        <v>0</v>
      </c>
      <c r="J74" s="51">
        <v>0</v>
      </c>
      <c r="K74" s="51">
        <f t="shared" ref="K74:K88" si="28">+I74+J74</f>
        <v>0</v>
      </c>
      <c r="L74" s="51">
        <v>0</v>
      </c>
      <c r="M74" s="51">
        <v>0</v>
      </c>
      <c r="N74" s="51">
        <f t="shared" ref="N74:N117" si="29">+L74+M74</f>
        <v>0</v>
      </c>
      <c r="O74" s="51">
        <v>0</v>
      </c>
      <c r="P74" s="179" t="s">
        <v>1489</v>
      </c>
      <c r="Q74" s="179" t="s">
        <v>1489</v>
      </c>
      <c r="R74" s="179" t="s">
        <v>1489</v>
      </c>
      <c r="S74" s="47"/>
      <c r="T74" s="54"/>
      <c r="U74" s="54"/>
      <c r="AA74">
        <f t="shared" si="20"/>
        <v>110</v>
      </c>
      <c r="AD74" t="str">
        <f t="shared" si="21"/>
        <v>380</v>
      </c>
      <c r="AE74">
        <f t="shared" si="22"/>
        <v>0</v>
      </c>
      <c r="AG74" s="50" t="str">
        <f t="shared" si="23"/>
        <v>Attribution au fonds culture (9282.7)</v>
      </c>
      <c r="AH74" s="244" t="str">
        <f t="shared" si="24"/>
        <v>-</v>
      </c>
      <c r="AI74" s="219"/>
      <c r="AJ74" s="219"/>
      <c r="AK74" s="219" t="str">
        <f t="shared" si="25"/>
        <v>-</v>
      </c>
      <c r="AL74" s="244" t="str">
        <f t="shared" si="26"/>
        <v>-</v>
      </c>
      <c r="AN74" s="219">
        <f t="shared" si="27"/>
        <v>0</v>
      </c>
    </row>
    <row r="75" spans="1:40" ht="15" customHeight="1" x14ac:dyDescent="0.3">
      <c r="A75" s="48">
        <v>0</v>
      </c>
      <c r="B75" s="49" t="s">
        <v>104</v>
      </c>
      <c r="C75" s="50" t="s">
        <v>105</v>
      </c>
      <c r="D75" s="46" t="s">
        <v>1458</v>
      </c>
      <c r="E75" s="46" t="s">
        <v>68</v>
      </c>
      <c r="F75" s="46">
        <v>110</v>
      </c>
      <c r="G75" s="46" t="s">
        <v>28</v>
      </c>
      <c r="H75" s="46">
        <v>1</v>
      </c>
      <c r="I75" s="51">
        <v>0</v>
      </c>
      <c r="J75" s="51">
        <v>0</v>
      </c>
      <c r="K75" s="51">
        <f t="shared" si="28"/>
        <v>0</v>
      </c>
      <c r="L75" s="51">
        <v>0</v>
      </c>
      <c r="M75" s="51">
        <v>0</v>
      </c>
      <c r="N75" s="51">
        <f t="shared" si="29"/>
        <v>0</v>
      </c>
      <c r="O75" s="51">
        <v>0</v>
      </c>
      <c r="P75" s="179" t="s">
        <v>1489</v>
      </c>
      <c r="Q75" s="179" t="s">
        <v>1489</v>
      </c>
      <c r="R75" s="179" t="s">
        <v>1489</v>
      </c>
      <c r="S75" s="47"/>
      <c r="T75" s="54"/>
      <c r="U75" s="54"/>
      <c r="AA75">
        <f t="shared" si="20"/>
        <v>110</v>
      </c>
      <c r="AD75" t="str">
        <f t="shared" si="21"/>
        <v>390</v>
      </c>
      <c r="AE75">
        <f t="shared" si="22"/>
        <v>1</v>
      </c>
      <c r="AG75" s="50" t="str">
        <f t="shared" si="23"/>
        <v>Imputations internes salaires admin.</v>
      </c>
      <c r="AH75" s="244" t="str">
        <f t="shared" si="24"/>
        <v>-</v>
      </c>
      <c r="AI75" s="219"/>
      <c r="AJ75" s="219"/>
      <c r="AK75" s="219" t="str">
        <f t="shared" si="25"/>
        <v>-</v>
      </c>
      <c r="AL75" s="244" t="str">
        <f t="shared" si="26"/>
        <v>-</v>
      </c>
      <c r="AN75" s="219">
        <f t="shared" si="27"/>
        <v>0</v>
      </c>
    </row>
    <row r="76" spans="1:40" ht="15" customHeight="1" x14ac:dyDescent="0.3">
      <c r="A76" s="48">
        <v>0</v>
      </c>
      <c r="B76" s="49" t="s">
        <v>106</v>
      </c>
      <c r="C76" s="50" t="s">
        <v>107</v>
      </c>
      <c r="D76" s="46" t="s">
        <v>1458</v>
      </c>
      <c r="E76" s="46" t="s">
        <v>68</v>
      </c>
      <c r="F76" s="46">
        <v>110</v>
      </c>
      <c r="G76" s="46" t="s">
        <v>108</v>
      </c>
      <c r="H76" s="46"/>
      <c r="I76" s="51">
        <v>0</v>
      </c>
      <c r="J76" s="51">
        <v>-3055</v>
      </c>
      <c r="K76" s="51">
        <f t="shared" si="28"/>
        <v>-3055</v>
      </c>
      <c r="L76" s="51">
        <v>0</v>
      </c>
      <c r="M76" s="51">
        <v>-4000</v>
      </c>
      <c r="N76" s="51">
        <f t="shared" si="29"/>
        <v>-4000</v>
      </c>
      <c r="O76" s="51">
        <v>-500</v>
      </c>
      <c r="P76" s="179" t="s">
        <v>1581</v>
      </c>
      <c r="Q76" s="179" t="s">
        <v>1423</v>
      </c>
      <c r="R76" s="179" t="s">
        <v>2131</v>
      </c>
      <c r="S76" s="47" t="s">
        <v>1547</v>
      </c>
      <c r="T76" s="54">
        <f>+J76</f>
        <v>-3055</v>
      </c>
      <c r="U76" s="54">
        <f>+T76</f>
        <v>-3055</v>
      </c>
      <c r="W76" t="s">
        <v>1466</v>
      </c>
      <c r="AA76">
        <f t="shared" si="20"/>
        <v>110</v>
      </c>
      <c r="AD76" t="str">
        <f t="shared" si="21"/>
        <v>431</v>
      </c>
      <c r="AE76">
        <f t="shared" si="22"/>
        <v>0</v>
      </c>
      <c r="AG76" s="50" t="str">
        <f t="shared" si="23"/>
        <v>Autorisations, permis temporaires</v>
      </c>
      <c r="AH76" s="244" t="str">
        <f t="shared" si="24"/>
        <v>79010</v>
      </c>
      <c r="AI76" s="219"/>
      <c r="AJ76" s="219"/>
      <c r="AK76" s="219" t="str">
        <f t="shared" si="25"/>
        <v>4210</v>
      </c>
      <c r="AL76" s="244" t="str">
        <f t="shared" si="26"/>
        <v>00</v>
      </c>
      <c r="AN76" s="219" t="str">
        <f t="shared" si="27"/>
        <v>Emoluments pour actes administratifs - permis et autres attestations CDH</v>
      </c>
    </row>
    <row r="77" spans="1:40" ht="15" customHeight="1" x14ac:dyDescent="0.3">
      <c r="A77" s="48">
        <v>0</v>
      </c>
      <c r="B77" s="49" t="s">
        <v>109</v>
      </c>
      <c r="C77" s="50" t="s">
        <v>110</v>
      </c>
      <c r="D77" s="46" t="s">
        <v>1458</v>
      </c>
      <c r="E77" s="46" t="s">
        <v>68</v>
      </c>
      <c r="F77" s="46">
        <v>110</v>
      </c>
      <c r="G77" s="46" t="s">
        <v>58</v>
      </c>
      <c r="H77" s="46"/>
      <c r="I77" s="51">
        <v>0</v>
      </c>
      <c r="J77" s="51">
        <v>-32</v>
      </c>
      <c r="K77" s="51">
        <f t="shared" si="28"/>
        <v>-32</v>
      </c>
      <c r="L77" s="51">
        <v>0</v>
      </c>
      <c r="M77" s="51">
        <v>-50</v>
      </c>
      <c r="N77" s="51">
        <f t="shared" si="29"/>
        <v>-50</v>
      </c>
      <c r="O77" s="51">
        <v>-43</v>
      </c>
      <c r="P77" s="179" t="s">
        <v>1409</v>
      </c>
      <c r="Q77" s="179" t="s">
        <v>1702</v>
      </c>
      <c r="R77" s="179" t="s">
        <v>2131</v>
      </c>
      <c r="S77" s="47" t="s">
        <v>1703</v>
      </c>
      <c r="T77" s="54">
        <f>+J77</f>
        <v>-32</v>
      </c>
      <c r="U77" s="54">
        <v>0</v>
      </c>
      <c r="V77" s="8" t="s">
        <v>1965</v>
      </c>
      <c r="W77" t="s">
        <v>1966</v>
      </c>
      <c r="AA77">
        <f t="shared" si="20"/>
        <v>110</v>
      </c>
      <c r="AD77" t="str">
        <f t="shared" si="21"/>
        <v>435</v>
      </c>
      <c r="AE77">
        <f t="shared" si="22"/>
        <v>0</v>
      </c>
      <c r="AG77" s="50" t="str">
        <f t="shared" si="23"/>
        <v>Ventes plans et livres Genolier</v>
      </c>
      <c r="AH77" s="244" t="str">
        <f t="shared" si="24"/>
        <v>02201</v>
      </c>
      <c r="AI77" s="219"/>
      <c r="AJ77" s="219"/>
      <c r="AK77" s="219" t="str">
        <f t="shared" si="25"/>
        <v>4250</v>
      </c>
      <c r="AL77" s="244" t="str">
        <f t="shared" si="26"/>
        <v>00</v>
      </c>
      <c r="AN77" s="219" t="str">
        <f t="shared" si="27"/>
        <v>Recettes sur ventes</v>
      </c>
    </row>
    <row r="78" spans="1:40" ht="15" customHeight="1" x14ac:dyDescent="0.3">
      <c r="A78" s="48">
        <v>0</v>
      </c>
      <c r="B78" s="74" t="s">
        <v>111</v>
      </c>
      <c r="C78" s="67" t="s">
        <v>112</v>
      </c>
      <c r="D78" s="188" t="s">
        <v>1458</v>
      </c>
      <c r="E78" s="188" t="s">
        <v>68</v>
      </c>
      <c r="F78" s="46">
        <v>110</v>
      </c>
      <c r="G78" s="188" t="s">
        <v>61</v>
      </c>
      <c r="H78" s="188"/>
      <c r="I78" s="51">
        <v>0</v>
      </c>
      <c r="J78" s="51">
        <v>-39671.300000000003</v>
      </c>
      <c r="K78" s="51">
        <f t="shared" si="28"/>
        <v>-39671.300000000003</v>
      </c>
      <c r="L78" s="51">
        <v>0</v>
      </c>
      <c r="M78" s="51">
        <v>0</v>
      </c>
      <c r="N78" s="51">
        <f t="shared" si="29"/>
        <v>0</v>
      </c>
      <c r="O78" s="51">
        <v>-4249.93</v>
      </c>
      <c r="P78" s="179" t="s">
        <v>1409</v>
      </c>
      <c r="Q78" s="179" t="s">
        <v>1410</v>
      </c>
      <c r="R78" s="179" t="s">
        <v>2138</v>
      </c>
      <c r="S78" s="47" t="s">
        <v>1424</v>
      </c>
      <c r="T78" s="54">
        <f>+J78</f>
        <v>-39671.300000000003</v>
      </c>
      <c r="U78" s="54">
        <v>0</v>
      </c>
      <c r="V78" s="8" t="s">
        <v>1965</v>
      </c>
      <c r="W78" t="s">
        <v>1967</v>
      </c>
      <c r="AA78">
        <f t="shared" si="20"/>
        <v>110</v>
      </c>
      <c r="AD78" t="str">
        <f t="shared" si="21"/>
        <v>436</v>
      </c>
      <c r="AE78">
        <f t="shared" si="22"/>
        <v>0</v>
      </c>
      <c r="AG78" s="50" t="str">
        <f t="shared" si="23"/>
        <v>Remboursements de tiers admin.</v>
      </c>
      <c r="AH78" s="244" t="str">
        <f t="shared" si="24"/>
        <v>02201</v>
      </c>
      <c r="AI78" s="219"/>
      <c r="AJ78" s="219"/>
      <c r="AK78" s="219" t="str">
        <f t="shared" si="25"/>
        <v>3010</v>
      </c>
      <c r="AL78" s="244" t="str">
        <f t="shared" si="26"/>
        <v>99</v>
      </c>
      <c r="AN78" s="219" t="str">
        <f t="shared" si="27"/>
        <v>Remboursements IJM</v>
      </c>
    </row>
    <row r="79" spans="1:40" ht="15" customHeight="1" x14ac:dyDescent="0.3">
      <c r="A79" s="48"/>
      <c r="B79" s="74" t="s">
        <v>111</v>
      </c>
      <c r="C79" s="67" t="s">
        <v>112</v>
      </c>
      <c r="D79" s="188" t="s">
        <v>1458</v>
      </c>
      <c r="E79" s="188" t="s">
        <v>68</v>
      </c>
      <c r="F79" s="46">
        <v>110</v>
      </c>
      <c r="G79" s="188" t="s">
        <v>61</v>
      </c>
      <c r="H79" s="188"/>
      <c r="I79" s="51"/>
      <c r="J79" s="51"/>
      <c r="K79" s="51">
        <f t="shared" si="28"/>
        <v>0</v>
      </c>
      <c r="L79" s="51"/>
      <c r="M79" s="51"/>
      <c r="N79" s="51">
        <f t="shared" si="29"/>
        <v>0</v>
      </c>
      <c r="O79" s="51"/>
      <c r="P79" s="179" t="s">
        <v>1598</v>
      </c>
      <c r="Q79" s="179" t="s">
        <v>1705</v>
      </c>
      <c r="R79" s="179" t="s">
        <v>2131</v>
      </c>
      <c r="S79" s="47" t="s">
        <v>2079</v>
      </c>
      <c r="T79" s="54"/>
      <c r="U79" s="54"/>
      <c r="W79" t="s">
        <v>1704</v>
      </c>
      <c r="AA79">
        <f t="shared" si="20"/>
        <v>110</v>
      </c>
      <c r="AD79" t="str">
        <f t="shared" si="21"/>
        <v>436</v>
      </c>
      <c r="AE79">
        <f t="shared" si="22"/>
        <v>0</v>
      </c>
      <c r="AG79" s="50" t="str">
        <f t="shared" si="23"/>
        <v>Remboursements de tiers admin.</v>
      </c>
      <c r="AH79" s="244" t="str">
        <f t="shared" si="24"/>
        <v>82000</v>
      </c>
      <c r="AI79" s="219"/>
      <c r="AJ79" s="219"/>
      <c r="AK79" s="219" t="str">
        <f t="shared" si="25"/>
        <v>4611</v>
      </c>
      <c r="AL79" s="244" t="str">
        <f t="shared" si="26"/>
        <v>00</v>
      </c>
      <c r="AN79" s="219" t="str">
        <f t="shared" si="27"/>
        <v>Subvention des canton</v>
      </c>
    </row>
    <row r="80" spans="1:40" ht="15" customHeight="1" x14ac:dyDescent="0.3">
      <c r="A80" s="48">
        <v>0</v>
      </c>
      <c r="B80" s="49" t="s">
        <v>113</v>
      </c>
      <c r="C80" s="50" t="s">
        <v>114</v>
      </c>
      <c r="D80" s="46" t="s">
        <v>1458</v>
      </c>
      <c r="E80" s="46" t="s">
        <v>68</v>
      </c>
      <c r="F80" s="46">
        <v>110</v>
      </c>
      <c r="G80" s="46" t="s">
        <v>64</v>
      </c>
      <c r="H80" s="46"/>
      <c r="I80" s="51">
        <v>0</v>
      </c>
      <c r="J80" s="51">
        <v>-14863.75</v>
      </c>
      <c r="K80" s="51">
        <f t="shared" si="28"/>
        <v>-14863.75</v>
      </c>
      <c r="L80" s="51">
        <v>0</v>
      </c>
      <c r="M80" s="51">
        <v>0</v>
      </c>
      <c r="N80" s="51">
        <f t="shared" si="29"/>
        <v>0</v>
      </c>
      <c r="O80" s="51">
        <v>0</v>
      </c>
      <c r="P80" s="179" t="s">
        <v>1710</v>
      </c>
      <c r="Q80" s="179" t="s">
        <v>1711</v>
      </c>
      <c r="R80" s="179" t="s">
        <v>2131</v>
      </c>
      <c r="S80" s="47" t="s">
        <v>1712</v>
      </c>
      <c r="T80" s="54">
        <f>+J80</f>
        <v>-14863.75</v>
      </c>
      <c r="U80" s="54">
        <v>0</v>
      </c>
      <c r="AA80">
        <f t="shared" si="20"/>
        <v>110</v>
      </c>
      <c r="AD80" t="str">
        <f t="shared" si="21"/>
        <v>480</v>
      </c>
      <c r="AE80">
        <f t="shared" si="22"/>
        <v>0</v>
      </c>
      <c r="AG80" s="50" t="str">
        <f t="shared" si="23"/>
        <v>Prélèvement au fonds de réserve</v>
      </c>
      <c r="AH80" s="244" t="str">
        <f t="shared" si="24"/>
        <v>99000</v>
      </c>
      <c r="AI80" s="219"/>
      <c r="AJ80" s="219"/>
      <c r="AK80" s="219" t="str">
        <f t="shared" si="25"/>
        <v>4894</v>
      </c>
      <c r="AL80" s="244" t="str">
        <f t="shared" si="26"/>
        <v>00</v>
      </c>
      <c r="AN80" s="219" t="str">
        <f t="shared" si="27"/>
        <v>Prélèvement sur la réserve de politique budgétaire</v>
      </c>
    </row>
    <row r="81" spans="1:40" ht="15" customHeight="1" x14ac:dyDescent="0.3">
      <c r="A81" s="48">
        <v>0</v>
      </c>
      <c r="B81" s="49" t="s">
        <v>115</v>
      </c>
      <c r="C81" s="50" t="s">
        <v>116</v>
      </c>
      <c r="D81" s="46" t="s">
        <v>1458</v>
      </c>
      <c r="E81" s="46" t="s">
        <v>68</v>
      </c>
      <c r="F81" s="46">
        <v>110</v>
      </c>
      <c r="G81" s="46" t="s">
        <v>67</v>
      </c>
      <c r="H81" s="46"/>
      <c r="I81" s="51">
        <v>0</v>
      </c>
      <c r="J81" s="51">
        <v>0</v>
      </c>
      <c r="K81" s="51">
        <f t="shared" si="28"/>
        <v>0</v>
      </c>
      <c r="L81" s="51">
        <v>0</v>
      </c>
      <c r="M81" s="51">
        <v>0</v>
      </c>
      <c r="N81" s="51">
        <f t="shared" si="29"/>
        <v>0</v>
      </c>
      <c r="O81" s="51">
        <v>0</v>
      </c>
      <c r="P81" s="179" t="s">
        <v>1489</v>
      </c>
      <c r="Q81" s="179" t="s">
        <v>1489</v>
      </c>
      <c r="R81" s="179" t="s">
        <v>1489</v>
      </c>
      <c r="S81" s="47"/>
      <c r="T81" s="54"/>
      <c r="U81" s="54"/>
      <c r="AA81">
        <f t="shared" si="20"/>
        <v>110</v>
      </c>
      <c r="AD81" t="str">
        <f t="shared" si="21"/>
        <v>490</v>
      </c>
      <c r="AE81">
        <f t="shared" si="22"/>
        <v>0</v>
      </c>
      <c r="AG81" s="50" t="str">
        <f t="shared" si="23"/>
        <v>Imputations internes admin.</v>
      </c>
      <c r="AH81" s="244" t="str">
        <f t="shared" si="24"/>
        <v>-</v>
      </c>
      <c r="AI81" s="219"/>
      <c r="AJ81" s="219"/>
      <c r="AK81" s="219" t="str">
        <f t="shared" si="25"/>
        <v>-</v>
      </c>
      <c r="AL81" s="244" t="str">
        <f t="shared" si="26"/>
        <v>-</v>
      </c>
      <c r="AN81" s="219">
        <f t="shared" si="27"/>
        <v>0</v>
      </c>
    </row>
    <row r="82" spans="1:40" ht="15" customHeight="1" x14ac:dyDescent="0.3">
      <c r="A82" s="48">
        <v>0</v>
      </c>
      <c r="B82" s="194">
        <v>120.31</v>
      </c>
      <c r="C82" s="195" t="s">
        <v>1435</v>
      </c>
      <c r="D82" s="188" t="s">
        <v>1458</v>
      </c>
      <c r="E82" s="188" t="s">
        <v>117</v>
      </c>
      <c r="F82" s="188">
        <v>120</v>
      </c>
      <c r="G82" s="188" t="s">
        <v>84</v>
      </c>
      <c r="H82" s="188"/>
      <c r="I82" s="51">
        <v>35774.25</v>
      </c>
      <c r="J82" s="51">
        <v>0</v>
      </c>
      <c r="K82" s="51">
        <f t="shared" si="28"/>
        <v>35774.25</v>
      </c>
      <c r="L82" s="51">
        <v>31000</v>
      </c>
      <c r="M82" s="51">
        <v>0</v>
      </c>
      <c r="N82" s="51">
        <f t="shared" si="29"/>
        <v>31000</v>
      </c>
      <c r="O82" s="51">
        <v>7648.95</v>
      </c>
      <c r="P82" s="179" t="s">
        <v>1409</v>
      </c>
      <c r="Q82" s="179" t="s">
        <v>1426</v>
      </c>
      <c r="R82" s="179" t="s">
        <v>2131</v>
      </c>
      <c r="S82" s="55" t="s">
        <v>1830</v>
      </c>
      <c r="T82" s="54">
        <f>+I82</f>
        <v>35774.25</v>
      </c>
      <c r="U82" s="54">
        <v>36000</v>
      </c>
      <c r="V82" s="8" t="s">
        <v>1965</v>
      </c>
      <c r="W82" t="s">
        <v>1430</v>
      </c>
      <c r="AA82">
        <f t="shared" si="20"/>
        <v>120</v>
      </c>
      <c r="AD82" t="str">
        <f t="shared" si="21"/>
        <v>310</v>
      </c>
      <c r="AE82">
        <f t="shared" si="22"/>
        <v>0</v>
      </c>
      <c r="AG82" s="50" t="str">
        <f t="shared" si="23"/>
        <v>Fournitures de bureau, abonnements et parutions (incl. Archivistes)</v>
      </c>
      <c r="AH82" s="244" t="str">
        <f t="shared" si="24"/>
        <v>02201</v>
      </c>
      <c r="AI82" s="219"/>
      <c r="AJ82" s="219"/>
      <c r="AK82" s="219" t="str">
        <f t="shared" si="25"/>
        <v>3101</v>
      </c>
      <c r="AL82" s="244" t="str">
        <f t="shared" si="26"/>
        <v>00</v>
      </c>
      <c r="AN82" s="219" t="str">
        <f t="shared" si="27"/>
        <v>Matériel d'exploitation, petites fournitures</v>
      </c>
    </row>
    <row r="83" spans="1:40" ht="15" customHeight="1" x14ac:dyDescent="0.3">
      <c r="A83" s="48"/>
      <c r="B83" s="194">
        <v>120.31</v>
      </c>
      <c r="C83" s="195" t="s">
        <v>1435</v>
      </c>
      <c r="D83" s="188" t="s">
        <v>1458</v>
      </c>
      <c r="E83" s="188" t="s">
        <v>117</v>
      </c>
      <c r="F83" s="188">
        <v>120</v>
      </c>
      <c r="G83" s="188" t="s">
        <v>84</v>
      </c>
      <c r="H83" s="188"/>
      <c r="I83" s="51"/>
      <c r="J83" s="51"/>
      <c r="K83" s="51">
        <f t="shared" si="28"/>
        <v>0</v>
      </c>
      <c r="L83" s="51"/>
      <c r="M83" s="51"/>
      <c r="N83" s="51">
        <f t="shared" si="29"/>
        <v>0</v>
      </c>
      <c r="O83" s="51"/>
      <c r="P83" s="179" t="s">
        <v>1409</v>
      </c>
      <c r="Q83" s="179" t="s">
        <v>1390</v>
      </c>
      <c r="R83" s="179" t="s">
        <v>2136</v>
      </c>
      <c r="S83" s="47" t="s">
        <v>1432</v>
      </c>
      <c r="T83" s="54"/>
      <c r="U83" s="54"/>
      <c r="V83" s="8" t="s">
        <v>1965</v>
      </c>
      <c r="W83" s="8"/>
      <c r="AA83">
        <f t="shared" si="20"/>
        <v>120</v>
      </c>
      <c r="AD83" t="str">
        <f t="shared" si="21"/>
        <v>310</v>
      </c>
      <c r="AE83">
        <f t="shared" si="22"/>
        <v>0</v>
      </c>
      <c r="AG83" s="50" t="str">
        <f t="shared" si="23"/>
        <v>Fournitures de bureau, abonnements et parutions (incl. Archivistes)</v>
      </c>
      <c r="AH83" s="244" t="str">
        <f t="shared" si="24"/>
        <v>02201</v>
      </c>
      <c r="AI83" s="219"/>
      <c r="AJ83" s="219"/>
      <c r="AK83" s="219" t="str">
        <f t="shared" si="25"/>
        <v>3130</v>
      </c>
      <c r="AL83" s="244" t="str">
        <f t="shared" si="26"/>
        <v>05</v>
      </c>
      <c r="AN83" s="219" t="str">
        <f t="shared" si="27"/>
        <v>Prestations de services tiers - autres</v>
      </c>
    </row>
    <row r="84" spans="1:40" ht="15" customHeight="1" x14ac:dyDescent="0.3">
      <c r="A84" s="48"/>
      <c r="B84" s="194">
        <v>120.31</v>
      </c>
      <c r="C84" s="195" t="s">
        <v>1435</v>
      </c>
      <c r="D84" s="188" t="s">
        <v>1458</v>
      </c>
      <c r="E84" s="188" t="s">
        <v>117</v>
      </c>
      <c r="F84" s="188">
        <v>120</v>
      </c>
      <c r="G84" s="188" t="s">
        <v>84</v>
      </c>
      <c r="H84" s="188"/>
      <c r="I84" s="51"/>
      <c r="J84" s="51"/>
      <c r="K84" s="51">
        <f t="shared" si="28"/>
        <v>0</v>
      </c>
      <c r="L84" s="51"/>
      <c r="M84" s="51"/>
      <c r="N84" s="51">
        <f t="shared" si="29"/>
        <v>0</v>
      </c>
      <c r="O84" s="51"/>
      <c r="P84" s="179" t="s">
        <v>1385</v>
      </c>
      <c r="Q84" s="179" t="s">
        <v>1429</v>
      </c>
      <c r="R84" s="179" t="s">
        <v>2131</v>
      </c>
      <c r="S84" s="47" t="s">
        <v>1436</v>
      </c>
      <c r="T84" s="54"/>
      <c r="U84" s="54"/>
      <c r="W84" t="s">
        <v>1428</v>
      </c>
      <c r="AA84">
        <f t="shared" si="20"/>
        <v>120</v>
      </c>
      <c r="AD84" t="str">
        <f t="shared" si="21"/>
        <v>310</v>
      </c>
      <c r="AE84">
        <f t="shared" si="22"/>
        <v>0</v>
      </c>
      <c r="AG84" s="50" t="str">
        <f t="shared" si="23"/>
        <v>Fournitures de bureau, abonnements et parutions (incl. Archivistes)</v>
      </c>
      <c r="AH84" s="244" t="str">
        <f t="shared" si="24"/>
        <v>01200</v>
      </c>
      <c r="AI84" s="219"/>
      <c r="AJ84" s="219"/>
      <c r="AK84" s="219" t="str">
        <f t="shared" si="25"/>
        <v>3102</v>
      </c>
      <c r="AL84" s="244" t="str">
        <f t="shared" si="26"/>
        <v>00</v>
      </c>
      <c r="AN84" s="219" t="str">
        <f t="shared" si="27"/>
        <v>Imprimés, publications</v>
      </c>
    </row>
    <row r="85" spans="1:40" ht="15" customHeight="1" x14ac:dyDescent="0.3">
      <c r="A85" s="48"/>
      <c r="B85" s="194">
        <v>120.31</v>
      </c>
      <c r="C85" s="195" t="s">
        <v>1435</v>
      </c>
      <c r="D85" s="188" t="s">
        <v>1458</v>
      </c>
      <c r="E85" s="188" t="s">
        <v>117</v>
      </c>
      <c r="F85" s="188">
        <v>120</v>
      </c>
      <c r="G85" s="188" t="s">
        <v>84</v>
      </c>
      <c r="H85" s="188"/>
      <c r="I85" s="51"/>
      <c r="J85" s="51"/>
      <c r="K85" s="51">
        <f t="shared" si="28"/>
        <v>0</v>
      </c>
      <c r="L85" s="51"/>
      <c r="M85" s="51"/>
      <c r="N85" s="51">
        <f t="shared" si="29"/>
        <v>0</v>
      </c>
      <c r="O85" s="51"/>
      <c r="P85" s="179" t="s">
        <v>1409</v>
      </c>
      <c r="Q85" s="179" t="s">
        <v>1397</v>
      </c>
      <c r="R85" s="179" t="s">
        <v>2131</v>
      </c>
      <c r="S85" s="47" t="s">
        <v>1400</v>
      </c>
      <c r="T85" s="54"/>
      <c r="U85" s="54"/>
      <c r="V85" s="8" t="s">
        <v>1965</v>
      </c>
      <c r="AA85">
        <f t="shared" si="20"/>
        <v>120</v>
      </c>
      <c r="AD85" t="str">
        <f t="shared" si="21"/>
        <v>310</v>
      </c>
      <c r="AE85">
        <f t="shared" si="22"/>
        <v>0</v>
      </c>
      <c r="AG85" s="50" t="str">
        <f t="shared" si="23"/>
        <v>Fournitures de bureau, abonnements et parutions (incl. Archivistes)</v>
      </c>
      <c r="AH85" s="244" t="str">
        <f t="shared" si="24"/>
        <v>02201</v>
      </c>
      <c r="AI85" s="219"/>
      <c r="AJ85" s="219"/>
      <c r="AK85" s="219" t="str">
        <f t="shared" si="25"/>
        <v>3132</v>
      </c>
      <c r="AL85" s="244" t="str">
        <f t="shared" si="26"/>
        <v>00</v>
      </c>
      <c r="AN85" s="219" t="str">
        <f t="shared" si="27"/>
        <v>Honoraires conseils externes, spécialistes (avocats, archivistes, …)</v>
      </c>
    </row>
    <row r="86" spans="1:40" ht="15" customHeight="1" x14ac:dyDescent="0.3">
      <c r="A86" s="48"/>
      <c r="B86" s="194">
        <v>120.31</v>
      </c>
      <c r="C86" s="195" t="s">
        <v>1435</v>
      </c>
      <c r="D86" s="188" t="s">
        <v>1458</v>
      </c>
      <c r="E86" s="188" t="s">
        <v>117</v>
      </c>
      <c r="F86" s="188">
        <v>120</v>
      </c>
      <c r="G86" s="188" t="s">
        <v>84</v>
      </c>
      <c r="H86" s="188"/>
      <c r="I86" s="51"/>
      <c r="J86" s="51"/>
      <c r="K86" s="51">
        <f t="shared" si="28"/>
        <v>0</v>
      </c>
      <c r="L86" s="51"/>
      <c r="M86" s="51"/>
      <c r="N86" s="51">
        <f t="shared" si="29"/>
        <v>0</v>
      </c>
      <c r="O86" s="51"/>
      <c r="P86" s="179" t="s">
        <v>1408</v>
      </c>
      <c r="Q86" s="179" t="s">
        <v>1429</v>
      </c>
      <c r="R86" s="179" t="s">
        <v>2131</v>
      </c>
      <c r="S86" s="47" t="s">
        <v>1436</v>
      </c>
      <c r="T86" s="54"/>
      <c r="U86" s="54"/>
      <c r="W86" t="s">
        <v>1584</v>
      </c>
      <c r="AA86">
        <f t="shared" si="20"/>
        <v>120</v>
      </c>
      <c r="AD86" t="str">
        <f t="shared" si="21"/>
        <v>310</v>
      </c>
      <c r="AE86">
        <f t="shared" si="22"/>
        <v>0</v>
      </c>
      <c r="AG86" s="50" t="str">
        <f t="shared" si="23"/>
        <v>Fournitures de bureau, abonnements et parutions (incl. Archivistes)</v>
      </c>
      <c r="AH86" s="244" t="str">
        <f t="shared" si="24"/>
        <v>02200</v>
      </c>
      <c r="AI86" s="219"/>
      <c r="AJ86" s="219"/>
      <c r="AK86" s="219" t="str">
        <f t="shared" si="25"/>
        <v>3102</v>
      </c>
      <c r="AL86" s="244" t="str">
        <f t="shared" si="26"/>
        <v>00</v>
      </c>
      <c r="AN86" s="219" t="str">
        <f t="shared" si="27"/>
        <v>Imprimés, publications</v>
      </c>
    </row>
    <row r="87" spans="1:40" ht="15" customHeight="1" x14ac:dyDescent="0.3">
      <c r="A87" s="48">
        <v>0</v>
      </c>
      <c r="B87" s="49" t="s">
        <v>119</v>
      </c>
      <c r="C87" s="50" t="s">
        <v>120</v>
      </c>
      <c r="D87" s="46" t="s">
        <v>1458</v>
      </c>
      <c r="E87" s="46" t="s">
        <v>117</v>
      </c>
      <c r="F87" s="188">
        <v>120</v>
      </c>
      <c r="G87" s="46" t="s">
        <v>25</v>
      </c>
      <c r="H87" s="46"/>
      <c r="I87" s="51">
        <v>14651.9</v>
      </c>
      <c r="J87" s="51">
        <v>0</v>
      </c>
      <c r="K87" s="51">
        <f t="shared" si="28"/>
        <v>14651.9</v>
      </c>
      <c r="L87" s="51">
        <v>10000</v>
      </c>
      <c r="M87" s="51">
        <v>0</v>
      </c>
      <c r="N87" s="51">
        <f t="shared" si="29"/>
        <v>10000</v>
      </c>
      <c r="O87" s="51">
        <v>3428.35</v>
      </c>
      <c r="P87" s="179" t="s">
        <v>1409</v>
      </c>
      <c r="Q87" s="179" t="s">
        <v>1438</v>
      </c>
      <c r="R87" s="179" t="s">
        <v>2131</v>
      </c>
      <c r="S87" s="47" t="s">
        <v>1439</v>
      </c>
      <c r="T87" s="54">
        <f>+I87</f>
        <v>14651.9</v>
      </c>
      <c r="U87" s="54">
        <f>+I87+I88</f>
        <v>16173.85</v>
      </c>
      <c r="V87" s="8" t="s">
        <v>1965</v>
      </c>
      <c r="W87" t="s">
        <v>1437</v>
      </c>
      <c r="AA87">
        <f t="shared" si="20"/>
        <v>120</v>
      </c>
      <c r="AD87" t="str">
        <f t="shared" si="21"/>
        <v>311</v>
      </c>
      <c r="AE87">
        <f t="shared" si="22"/>
        <v>0</v>
      </c>
      <c r="AG87" s="50" t="str">
        <f t="shared" si="23"/>
        <v>Achats Mobilier et machines de bureau</v>
      </c>
      <c r="AH87" s="244" t="str">
        <f t="shared" si="24"/>
        <v>02201</v>
      </c>
      <c r="AI87" s="219"/>
      <c r="AJ87" s="219"/>
      <c r="AK87" s="219" t="str">
        <f t="shared" si="25"/>
        <v>3162</v>
      </c>
      <c r="AL87" s="244" t="str">
        <f t="shared" si="26"/>
        <v>00</v>
      </c>
      <c r="AN87" s="219" t="str">
        <f t="shared" si="27"/>
        <v>Primes de leasing opérationnel - sharp</v>
      </c>
    </row>
    <row r="88" spans="1:40" ht="15" customHeight="1" x14ac:dyDescent="0.3">
      <c r="A88" s="48">
        <v>0</v>
      </c>
      <c r="B88" s="81" t="s">
        <v>121</v>
      </c>
      <c r="C88" s="82" t="s">
        <v>122</v>
      </c>
      <c r="D88" s="183" t="s">
        <v>1458</v>
      </c>
      <c r="E88" s="183" t="s">
        <v>117</v>
      </c>
      <c r="F88" s="188">
        <v>120</v>
      </c>
      <c r="G88" s="183" t="s">
        <v>123</v>
      </c>
      <c r="H88" s="183"/>
      <c r="I88" s="51">
        <v>1521.95</v>
      </c>
      <c r="J88" s="51">
        <v>0</v>
      </c>
      <c r="K88" s="51">
        <f t="shared" si="28"/>
        <v>1521.95</v>
      </c>
      <c r="L88" s="51">
        <v>1700</v>
      </c>
      <c r="M88" s="51">
        <v>0</v>
      </c>
      <c r="N88" s="51">
        <f t="shared" si="29"/>
        <v>1700</v>
      </c>
      <c r="O88" s="51">
        <v>998.85</v>
      </c>
      <c r="P88" s="179" t="s">
        <v>1409</v>
      </c>
      <c r="Q88" s="179" t="s">
        <v>1440</v>
      </c>
      <c r="R88" s="179" t="s">
        <v>2131</v>
      </c>
      <c r="S88" s="47" t="s">
        <v>1441</v>
      </c>
      <c r="T88" s="54">
        <f>+I88</f>
        <v>1521.95</v>
      </c>
      <c r="U88" s="54"/>
      <c r="V88" s="8" t="s">
        <v>1965</v>
      </c>
      <c r="AA88">
        <f t="shared" si="20"/>
        <v>120</v>
      </c>
      <c r="AD88" t="str">
        <f t="shared" si="21"/>
        <v>315</v>
      </c>
      <c r="AE88">
        <f t="shared" si="22"/>
        <v>0</v>
      </c>
      <c r="AG88" s="50" t="str">
        <f t="shared" si="23"/>
        <v>Entretien mobilier et machines de bureau</v>
      </c>
      <c r="AH88" s="244" t="str">
        <f t="shared" si="24"/>
        <v>02201</v>
      </c>
      <c r="AI88" s="219"/>
      <c r="AJ88" s="219"/>
      <c r="AK88" s="219" t="str">
        <f t="shared" si="25"/>
        <v>3150</v>
      </c>
      <c r="AL88" s="244" t="str">
        <f t="shared" si="26"/>
        <v>00</v>
      </c>
      <c r="AN88" s="219" t="str">
        <f t="shared" si="27"/>
        <v>Entretien de meubles et appareils de bureau</v>
      </c>
    </row>
    <row r="89" spans="1:40" ht="15" customHeight="1" x14ac:dyDescent="0.3">
      <c r="A89" s="48"/>
      <c r="B89" s="81" t="s">
        <v>121</v>
      </c>
      <c r="C89" s="82" t="s">
        <v>122</v>
      </c>
      <c r="D89" s="183" t="s">
        <v>1458</v>
      </c>
      <c r="E89" s="183" t="s">
        <v>117</v>
      </c>
      <c r="F89" s="188">
        <v>120</v>
      </c>
      <c r="G89" s="183" t="s">
        <v>123</v>
      </c>
      <c r="H89" s="183"/>
      <c r="I89" s="51"/>
      <c r="J89" s="51"/>
      <c r="K89" s="51"/>
      <c r="L89" s="51"/>
      <c r="M89" s="51"/>
      <c r="N89" s="51">
        <f t="shared" si="29"/>
        <v>0</v>
      </c>
      <c r="O89" s="51"/>
      <c r="P89" s="179" t="s">
        <v>1409</v>
      </c>
      <c r="Q89" s="179" t="s">
        <v>1968</v>
      </c>
      <c r="R89" s="179" t="s">
        <v>2131</v>
      </c>
      <c r="S89" s="175" t="s">
        <v>1969</v>
      </c>
      <c r="T89" s="54"/>
      <c r="U89" s="54"/>
      <c r="V89" s="8" t="s">
        <v>1965</v>
      </c>
      <c r="W89" t="s">
        <v>1971</v>
      </c>
      <c r="AA89">
        <f t="shared" si="20"/>
        <v>120</v>
      </c>
      <c r="AD89" t="str">
        <f t="shared" si="21"/>
        <v>315</v>
      </c>
      <c r="AE89">
        <f t="shared" si="22"/>
        <v>0</v>
      </c>
      <c r="AG89" s="50" t="str">
        <f t="shared" si="23"/>
        <v>Entretien mobilier et machines de bureau</v>
      </c>
      <c r="AH89" s="244" t="str">
        <f t="shared" si="24"/>
        <v>02201</v>
      </c>
      <c r="AI89" s="219"/>
      <c r="AJ89" s="219"/>
      <c r="AK89" s="219" t="str">
        <f t="shared" si="25"/>
        <v>3169</v>
      </c>
      <c r="AL89" s="244" t="str">
        <f t="shared" si="26"/>
        <v>00</v>
      </c>
      <c r="AN89" s="219" t="str">
        <f t="shared" si="27"/>
        <v>Autres loyers et frais d'utilisation - location timbreuse</v>
      </c>
    </row>
    <row r="90" spans="1:40" ht="15" customHeight="1" x14ac:dyDescent="0.3">
      <c r="A90" s="48">
        <v>0</v>
      </c>
      <c r="B90" s="49" t="s">
        <v>124</v>
      </c>
      <c r="C90" s="50" t="s">
        <v>125</v>
      </c>
      <c r="D90" s="46" t="s">
        <v>1458</v>
      </c>
      <c r="E90" s="46" t="s">
        <v>117</v>
      </c>
      <c r="F90" s="188">
        <v>120</v>
      </c>
      <c r="G90" s="46" t="s">
        <v>6</v>
      </c>
      <c r="H90" s="46"/>
      <c r="I90" s="51">
        <v>0</v>
      </c>
      <c r="J90" s="51">
        <v>0</v>
      </c>
      <c r="K90" s="51">
        <f t="shared" ref="K90:K100" si="30">+I90+J90</f>
        <v>0</v>
      </c>
      <c r="L90" s="51">
        <v>0</v>
      </c>
      <c r="M90" s="51">
        <v>0</v>
      </c>
      <c r="N90" s="51">
        <f t="shared" si="29"/>
        <v>0</v>
      </c>
      <c r="O90" s="51">
        <v>0</v>
      </c>
      <c r="P90" s="179" t="s">
        <v>1489</v>
      </c>
      <c r="Q90" s="179" t="s">
        <v>1489</v>
      </c>
      <c r="R90" s="179" t="s">
        <v>1489</v>
      </c>
      <c r="S90" s="47"/>
      <c r="T90" s="54"/>
      <c r="U90" s="54"/>
      <c r="AA90">
        <f t="shared" si="20"/>
        <v>120</v>
      </c>
      <c r="AD90" t="str">
        <f t="shared" si="21"/>
        <v>380</v>
      </c>
      <c r="AE90">
        <f t="shared" si="22"/>
        <v>0</v>
      </c>
      <c r="AG90" s="50" t="str">
        <f t="shared" si="23"/>
        <v>Attribution au fonds renouvellement (9281.1)</v>
      </c>
      <c r="AH90" s="244" t="str">
        <f t="shared" si="24"/>
        <v>-</v>
      </c>
      <c r="AI90" s="219"/>
      <c r="AJ90" s="219"/>
      <c r="AK90" s="219" t="str">
        <f t="shared" si="25"/>
        <v>-</v>
      </c>
      <c r="AL90" s="244" t="str">
        <f t="shared" si="26"/>
        <v>-</v>
      </c>
      <c r="AN90" s="219">
        <f t="shared" si="27"/>
        <v>0</v>
      </c>
    </row>
    <row r="91" spans="1:40" ht="15" customHeight="1" x14ac:dyDescent="0.3">
      <c r="A91" s="48">
        <v>0</v>
      </c>
      <c r="B91" s="49" t="s">
        <v>126</v>
      </c>
      <c r="C91" s="50" t="s">
        <v>127</v>
      </c>
      <c r="D91" s="46" t="s">
        <v>1458</v>
      </c>
      <c r="E91" s="46" t="s">
        <v>117</v>
      </c>
      <c r="F91" s="188">
        <v>120</v>
      </c>
      <c r="G91" s="46" t="s">
        <v>64</v>
      </c>
      <c r="H91" s="46"/>
      <c r="I91" s="51">
        <v>0</v>
      </c>
      <c r="J91" s="51">
        <v>0</v>
      </c>
      <c r="K91" s="51">
        <f t="shared" si="30"/>
        <v>0</v>
      </c>
      <c r="L91" s="51">
        <v>0</v>
      </c>
      <c r="M91" s="51">
        <v>0</v>
      </c>
      <c r="N91" s="51">
        <f t="shared" si="29"/>
        <v>0</v>
      </c>
      <c r="O91" s="51">
        <v>0</v>
      </c>
      <c r="P91" s="179" t="s">
        <v>1489</v>
      </c>
      <c r="Q91" s="179" t="s">
        <v>1489</v>
      </c>
      <c r="R91" s="179" t="s">
        <v>1489</v>
      </c>
      <c r="S91" s="47"/>
      <c r="T91" s="54"/>
      <c r="U91" s="54"/>
      <c r="W91" t="s">
        <v>1486</v>
      </c>
      <c r="AA91">
        <f t="shared" si="20"/>
        <v>120</v>
      </c>
      <c r="AD91" t="str">
        <f t="shared" si="21"/>
        <v>480</v>
      </c>
      <c r="AE91">
        <f t="shared" si="22"/>
        <v>0</v>
      </c>
      <c r="AG91" s="50" t="str">
        <f t="shared" si="23"/>
        <v>Prélèvement au fonds renouvellement (9281.1)</v>
      </c>
      <c r="AH91" s="244" t="str">
        <f t="shared" si="24"/>
        <v>-</v>
      </c>
      <c r="AI91" s="219"/>
      <c r="AJ91" s="219"/>
      <c r="AK91" s="219" t="str">
        <f t="shared" si="25"/>
        <v>-</v>
      </c>
      <c r="AL91" s="244" t="str">
        <f t="shared" si="26"/>
        <v>-</v>
      </c>
      <c r="AN91" s="219">
        <f t="shared" si="27"/>
        <v>0</v>
      </c>
    </row>
    <row r="92" spans="1:40" ht="15" customHeight="1" x14ac:dyDescent="0.3">
      <c r="A92" s="48">
        <v>0</v>
      </c>
      <c r="B92" s="49" t="s">
        <v>129</v>
      </c>
      <c r="C92" s="50" t="s">
        <v>130</v>
      </c>
      <c r="D92" s="46" t="s">
        <v>1459</v>
      </c>
      <c r="E92" s="46" t="s">
        <v>128</v>
      </c>
      <c r="F92" s="46">
        <v>160</v>
      </c>
      <c r="G92" s="46" t="s">
        <v>131</v>
      </c>
      <c r="H92" s="46"/>
      <c r="I92" s="51">
        <v>0</v>
      </c>
      <c r="J92" s="51">
        <v>0</v>
      </c>
      <c r="K92" s="51">
        <f t="shared" si="30"/>
        <v>0</v>
      </c>
      <c r="L92" s="51">
        <v>0</v>
      </c>
      <c r="M92" s="51">
        <v>0</v>
      </c>
      <c r="N92" s="51">
        <f t="shared" si="29"/>
        <v>0</v>
      </c>
      <c r="O92" s="51">
        <v>0</v>
      </c>
      <c r="P92" s="179" t="s">
        <v>1489</v>
      </c>
      <c r="Q92" s="179" t="s">
        <v>1489</v>
      </c>
      <c r="R92" s="179" t="s">
        <v>1489</v>
      </c>
      <c r="S92" s="47"/>
      <c r="T92" s="54"/>
      <c r="U92" s="54"/>
      <c r="AA92">
        <f t="shared" si="20"/>
        <v>160</v>
      </c>
      <c r="AD92" t="str">
        <f t="shared" si="21"/>
        <v>314</v>
      </c>
      <c r="AE92">
        <f t="shared" si="22"/>
        <v>0</v>
      </c>
      <c r="AG92" s="50" t="str">
        <f t="shared" si="23"/>
        <v>Tourisme entretien</v>
      </c>
      <c r="AH92" s="244" t="str">
        <f t="shared" si="24"/>
        <v>-</v>
      </c>
      <c r="AI92" s="219"/>
      <c r="AJ92" s="219"/>
      <c r="AK92" s="219" t="str">
        <f t="shared" si="25"/>
        <v>-</v>
      </c>
      <c r="AL92" s="244" t="str">
        <f t="shared" si="26"/>
        <v>-</v>
      </c>
      <c r="AN92" s="219">
        <f t="shared" si="27"/>
        <v>0</v>
      </c>
    </row>
    <row r="93" spans="1:40" ht="15" customHeight="1" x14ac:dyDescent="0.3">
      <c r="A93" s="48">
        <v>0</v>
      </c>
      <c r="B93" s="74" t="s">
        <v>132</v>
      </c>
      <c r="C93" s="67" t="s">
        <v>133</v>
      </c>
      <c r="D93" s="188" t="s">
        <v>1459</v>
      </c>
      <c r="E93" s="188" t="s">
        <v>128</v>
      </c>
      <c r="F93" s="46">
        <v>160</v>
      </c>
      <c r="G93" s="188" t="s">
        <v>5</v>
      </c>
      <c r="H93" s="188"/>
      <c r="I93" s="51">
        <v>18057.849999999999</v>
      </c>
      <c r="J93" s="51">
        <v>0</v>
      </c>
      <c r="K93" s="51">
        <f t="shared" si="30"/>
        <v>18057.849999999999</v>
      </c>
      <c r="L93" s="51">
        <v>25000</v>
      </c>
      <c r="M93" s="51">
        <v>0</v>
      </c>
      <c r="N93" s="51">
        <f t="shared" si="29"/>
        <v>25000</v>
      </c>
      <c r="O93" s="51">
        <v>0</v>
      </c>
      <c r="P93" s="179" t="s">
        <v>1442</v>
      </c>
      <c r="Q93" s="179" t="s">
        <v>1398</v>
      </c>
      <c r="R93" s="179" t="s">
        <v>2131</v>
      </c>
      <c r="S93" s="47" t="s">
        <v>2034</v>
      </c>
      <c r="T93" s="54">
        <f>+I93</f>
        <v>18057.849999999999</v>
      </c>
      <c r="U93" s="54">
        <f>-U97*85%</f>
        <v>21250</v>
      </c>
      <c r="V93" s="29"/>
      <c r="W93" s="22" t="s">
        <v>1467</v>
      </c>
      <c r="AA93">
        <f t="shared" si="20"/>
        <v>160</v>
      </c>
      <c r="AD93" t="str">
        <f t="shared" si="21"/>
        <v>352</v>
      </c>
      <c r="AE93">
        <f t="shared" si="22"/>
        <v>0</v>
      </c>
      <c r="AG93" s="50" t="str">
        <f t="shared" si="23"/>
        <v>Taxes de séjours Région Nyon</v>
      </c>
      <c r="AH93" s="244" t="str">
        <f t="shared" si="24"/>
        <v>84000</v>
      </c>
      <c r="AI93" s="219"/>
      <c r="AJ93" s="219"/>
      <c r="AK93" s="219" t="str">
        <f t="shared" si="25"/>
        <v>3612</v>
      </c>
      <c r="AL93" s="244" t="str">
        <f t="shared" si="26"/>
        <v>00</v>
      </c>
      <c r="AN93" s="219" t="str">
        <f t="shared" si="27"/>
        <v>Parts aux communes et assoc intercomm - taxes de séjour</v>
      </c>
    </row>
    <row r="94" spans="1:40" ht="15" customHeight="1" x14ac:dyDescent="0.3">
      <c r="A94" s="48"/>
      <c r="B94" s="74" t="s">
        <v>132</v>
      </c>
      <c r="C94" s="67" t="s">
        <v>133</v>
      </c>
      <c r="D94" s="188" t="s">
        <v>1459</v>
      </c>
      <c r="E94" s="188" t="s">
        <v>128</v>
      </c>
      <c r="F94" s="46">
        <v>160</v>
      </c>
      <c r="G94" s="188" t="s">
        <v>5</v>
      </c>
      <c r="H94" s="188"/>
      <c r="I94" s="51"/>
      <c r="J94" s="51"/>
      <c r="K94" s="51">
        <f t="shared" si="30"/>
        <v>0</v>
      </c>
      <c r="L94" s="51"/>
      <c r="M94" s="51"/>
      <c r="N94" s="51">
        <f t="shared" si="29"/>
        <v>0</v>
      </c>
      <c r="O94" s="51"/>
      <c r="P94" s="179" t="s">
        <v>1442</v>
      </c>
      <c r="Q94" s="179" t="s">
        <v>1443</v>
      </c>
      <c r="R94" s="179" t="s">
        <v>2131</v>
      </c>
      <c r="S94" s="47" t="s">
        <v>2030</v>
      </c>
      <c r="T94" s="54"/>
      <c r="U94" s="54"/>
      <c r="W94" t="s">
        <v>1468</v>
      </c>
      <c r="AA94">
        <f t="shared" si="20"/>
        <v>160</v>
      </c>
      <c r="AD94" t="str">
        <f t="shared" si="21"/>
        <v>352</v>
      </c>
      <c r="AE94">
        <f t="shared" si="22"/>
        <v>0</v>
      </c>
      <c r="AG94" s="50" t="str">
        <f t="shared" si="23"/>
        <v>Taxes de séjours Région Nyon</v>
      </c>
      <c r="AH94" s="244" t="str">
        <f t="shared" si="24"/>
        <v>84000</v>
      </c>
      <c r="AI94" s="219"/>
      <c r="AJ94" s="219"/>
      <c r="AK94" s="219" t="str">
        <f t="shared" si="25"/>
        <v>4612</v>
      </c>
      <c r="AL94" s="244" t="str">
        <f t="shared" si="26"/>
        <v>00</v>
      </c>
      <c r="AN94" s="219" t="str">
        <f t="shared" si="27"/>
        <v>Dédommagement des communes et associations intercommunales  - taxes de séjour</v>
      </c>
    </row>
    <row r="95" spans="1:40" ht="15" customHeight="1" x14ac:dyDescent="0.3">
      <c r="A95" s="48">
        <v>0</v>
      </c>
      <c r="B95" s="49" t="s">
        <v>134</v>
      </c>
      <c r="C95" s="50" t="s">
        <v>135</v>
      </c>
      <c r="D95" s="46" t="s">
        <v>1459</v>
      </c>
      <c r="E95" s="46" t="s">
        <v>128</v>
      </c>
      <c r="F95" s="46">
        <v>160</v>
      </c>
      <c r="G95" s="46" t="s">
        <v>6</v>
      </c>
      <c r="H95" s="46"/>
      <c r="I95" s="51">
        <v>0</v>
      </c>
      <c r="J95" s="51">
        <v>0</v>
      </c>
      <c r="K95" s="51">
        <f t="shared" si="30"/>
        <v>0</v>
      </c>
      <c r="L95" s="51">
        <v>0</v>
      </c>
      <c r="M95" s="51">
        <v>0</v>
      </c>
      <c r="N95" s="51">
        <f t="shared" si="29"/>
        <v>0</v>
      </c>
      <c r="O95" s="51">
        <v>0</v>
      </c>
      <c r="P95" s="179" t="s">
        <v>1489</v>
      </c>
      <c r="Q95" s="179" t="s">
        <v>1489</v>
      </c>
      <c r="R95" s="179" t="s">
        <v>1489</v>
      </c>
      <c r="S95" s="47"/>
      <c r="T95" s="54"/>
      <c r="U95" s="54"/>
      <c r="AA95">
        <f t="shared" si="20"/>
        <v>160</v>
      </c>
      <c r="AD95" t="str">
        <f t="shared" si="21"/>
        <v>380</v>
      </c>
      <c r="AE95">
        <f t="shared" si="22"/>
        <v>0</v>
      </c>
      <c r="AG95" s="50" t="str">
        <f t="shared" si="23"/>
        <v>Attribution au fonds de réserve (9280.6)</v>
      </c>
      <c r="AH95" s="244" t="str">
        <f t="shared" si="24"/>
        <v>-</v>
      </c>
      <c r="AI95" s="219"/>
      <c r="AJ95" s="219"/>
      <c r="AK95" s="219" t="str">
        <f t="shared" si="25"/>
        <v>-</v>
      </c>
      <c r="AL95" s="244" t="str">
        <f t="shared" si="26"/>
        <v>-</v>
      </c>
      <c r="AN95" s="219">
        <f t="shared" si="27"/>
        <v>0</v>
      </c>
    </row>
    <row r="96" spans="1:40" ht="15" customHeight="1" x14ac:dyDescent="0.3">
      <c r="A96" s="48">
        <v>0</v>
      </c>
      <c r="B96" s="49" t="s">
        <v>136</v>
      </c>
      <c r="C96" s="50" t="s">
        <v>137</v>
      </c>
      <c r="D96" s="46" t="s">
        <v>1459</v>
      </c>
      <c r="E96" s="46" t="s">
        <v>128</v>
      </c>
      <c r="F96" s="46">
        <v>160</v>
      </c>
      <c r="G96" s="46" t="s">
        <v>138</v>
      </c>
      <c r="H96" s="46"/>
      <c r="I96" s="51">
        <v>6283.65</v>
      </c>
      <c r="J96" s="51">
        <v>0</v>
      </c>
      <c r="K96" s="51">
        <f t="shared" si="30"/>
        <v>6283.65</v>
      </c>
      <c r="L96" s="51">
        <v>4000</v>
      </c>
      <c r="M96" s="51">
        <v>0</v>
      </c>
      <c r="N96" s="51">
        <f t="shared" si="29"/>
        <v>4000</v>
      </c>
      <c r="O96" s="51">
        <v>0</v>
      </c>
      <c r="P96" s="179" t="s">
        <v>1442</v>
      </c>
      <c r="Q96" s="179" t="s">
        <v>798</v>
      </c>
      <c r="R96" s="179" t="s">
        <v>2131</v>
      </c>
      <c r="S96" s="47" t="s">
        <v>1993</v>
      </c>
      <c r="T96" s="54">
        <f>+I96</f>
        <v>6283.65</v>
      </c>
      <c r="U96" s="54">
        <f>-U97*15%</f>
        <v>3750</v>
      </c>
      <c r="V96" s="29"/>
      <c r="AA96">
        <f t="shared" si="20"/>
        <v>160</v>
      </c>
      <c r="AD96" t="str">
        <f t="shared" si="21"/>
        <v>381</v>
      </c>
      <c r="AE96">
        <f t="shared" si="22"/>
        <v>0</v>
      </c>
      <c r="AG96" s="50" t="str">
        <f t="shared" si="23"/>
        <v>Attribution au fonds affecté tourisme (9280.6)</v>
      </c>
      <c r="AH96" s="244" t="str">
        <f t="shared" si="24"/>
        <v>84000</v>
      </c>
      <c r="AI96" s="219"/>
      <c r="AJ96" s="219"/>
      <c r="AK96" s="219" t="str">
        <f t="shared" si="25"/>
        <v>3511</v>
      </c>
      <c r="AL96" s="244" t="str">
        <f t="shared" si="26"/>
        <v>00</v>
      </c>
      <c r="AN96" s="219" t="str">
        <f t="shared" si="27"/>
        <v>Attributions aux fonds affectés</v>
      </c>
    </row>
    <row r="97" spans="1:40" ht="15" customHeight="1" x14ac:dyDescent="0.3">
      <c r="A97" s="48">
        <v>0</v>
      </c>
      <c r="B97" s="49" t="s">
        <v>139</v>
      </c>
      <c r="C97" s="50" t="s">
        <v>140</v>
      </c>
      <c r="D97" s="46" t="s">
        <v>1459</v>
      </c>
      <c r="E97" s="46" t="s">
        <v>128</v>
      </c>
      <c r="F97" s="46">
        <v>160</v>
      </c>
      <c r="G97" s="46" t="s">
        <v>141</v>
      </c>
      <c r="H97" s="46"/>
      <c r="I97" s="51">
        <v>0</v>
      </c>
      <c r="J97" s="51">
        <v>-24341.5</v>
      </c>
      <c r="K97" s="51">
        <f t="shared" si="30"/>
        <v>-24341.5</v>
      </c>
      <c r="L97" s="51">
        <v>0</v>
      </c>
      <c r="M97" s="51">
        <v>-29000</v>
      </c>
      <c r="N97" s="51">
        <f t="shared" si="29"/>
        <v>-29000</v>
      </c>
      <c r="O97" s="51">
        <v>-3844.04</v>
      </c>
      <c r="P97" s="179" t="s">
        <v>1442</v>
      </c>
      <c r="Q97" s="179" t="s">
        <v>1487</v>
      </c>
      <c r="R97" s="179" t="s">
        <v>2131</v>
      </c>
      <c r="S97" s="47" t="s">
        <v>1496</v>
      </c>
      <c r="T97" s="54">
        <f>+J97</f>
        <v>-24341.5</v>
      </c>
      <c r="U97" s="54">
        <v>-25000</v>
      </c>
      <c r="W97" t="s">
        <v>1488</v>
      </c>
      <c r="AA97">
        <f t="shared" si="20"/>
        <v>160</v>
      </c>
      <c r="AD97" t="str">
        <f t="shared" si="21"/>
        <v>406</v>
      </c>
      <c r="AE97">
        <f t="shared" si="22"/>
        <v>0</v>
      </c>
      <c r="AG97" s="50" t="str">
        <f t="shared" si="23"/>
        <v>Taxes communales de séjour</v>
      </c>
      <c r="AH97" s="244" t="str">
        <f t="shared" si="24"/>
        <v>84000</v>
      </c>
      <c r="AI97" s="219"/>
      <c r="AJ97" s="219"/>
      <c r="AK97" s="219" t="str">
        <f t="shared" si="25"/>
        <v>4240</v>
      </c>
      <c r="AL97" s="244" t="str">
        <f t="shared" si="26"/>
        <v>00</v>
      </c>
      <c r="AN97" s="219" t="str">
        <f t="shared" si="27"/>
        <v>Taxes d'utilisation et prestations de service</v>
      </c>
    </row>
    <row r="98" spans="1:40" ht="15" customHeight="1" x14ac:dyDescent="0.3">
      <c r="A98" s="48">
        <v>0</v>
      </c>
      <c r="B98" s="49" t="s">
        <v>142</v>
      </c>
      <c r="C98" s="50" t="s">
        <v>143</v>
      </c>
      <c r="D98" s="46" t="s">
        <v>1459</v>
      </c>
      <c r="E98" s="46" t="s">
        <v>128</v>
      </c>
      <c r="F98" s="46">
        <v>160</v>
      </c>
      <c r="G98" s="46" t="s">
        <v>144</v>
      </c>
      <c r="H98" s="46"/>
      <c r="I98" s="51">
        <v>0</v>
      </c>
      <c r="J98" s="51">
        <v>0</v>
      </c>
      <c r="K98" s="51">
        <f t="shared" si="30"/>
        <v>0</v>
      </c>
      <c r="L98" s="51">
        <v>0</v>
      </c>
      <c r="M98" s="51">
        <v>0</v>
      </c>
      <c r="N98" s="51">
        <f t="shared" si="29"/>
        <v>0</v>
      </c>
      <c r="O98" s="51">
        <v>0</v>
      </c>
      <c r="P98" s="179" t="s">
        <v>1489</v>
      </c>
      <c r="Q98" s="179" t="s">
        <v>1489</v>
      </c>
      <c r="R98" s="179" t="s">
        <v>1489</v>
      </c>
      <c r="S98" s="47"/>
      <c r="T98" s="54"/>
      <c r="U98" s="54"/>
      <c r="AA98">
        <f t="shared" si="20"/>
        <v>160</v>
      </c>
      <c r="AD98" t="str">
        <f t="shared" si="21"/>
        <v>481</v>
      </c>
      <c r="AE98">
        <f t="shared" si="22"/>
        <v>0</v>
      </c>
      <c r="AG98" s="50" t="str">
        <f t="shared" si="23"/>
        <v>Prél. Au fonds affecté tourisme (9280.6)</v>
      </c>
      <c r="AH98" s="244" t="str">
        <f t="shared" si="24"/>
        <v>-</v>
      </c>
      <c r="AI98" s="219"/>
      <c r="AJ98" s="219"/>
      <c r="AK98" s="219" t="str">
        <f t="shared" si="25"/>
        <v>-</v>
      </c>
      <c r="AL98" s="244" t="str">
        <f t="shared" si="26"/>
        <v>-</v>
      </c>
      <c r="AN98" s="219">
        <f t="shared" si="27"/>
        <v>0</v>
      </c>
    </row>
    <row r="99" spans="1:40" ht="15" customHeight="1" x14ac:dyDescent="0.3">
      <c r="A99" s="48">
        <v>0</v>
      </c>
      <c r="B99" s="49" t="s">
        <v>146</v>
      </c>
      <c r="C99" s="50" t="s">
        <v>147</v>
      </c>
      <c r="D99" s="46" t="s">
        <v>1462</v>
      </c>
      <c r="E99" s="46" t="s">
        <v>145</v>
      </c>
      <c r="F99" s="46">
        <v>170</v>
      </c>
      <c r="G99" s="46" t="s">
        <v>3</v>
      </c>
      <c r="H99" s="46"/>
      <c r="I99" s="51">
        <v>20850.099999999999</v>
      </c>
      <c r="J99" s="51">
        <v>0</v>
      </c>
      <c r="K99" s="51">
        <f t="shared" si="30"/>
        <v>20850.099999999999</v>
      </c>
      <c r="L99" s="51">
        <v>19000</v>
      </c>
      <c r="M99" s="51">
        <v>0</v>
      </c>
      <c r="N99" s="51">
        <f t="shared" si="29"/>
        <v>19000</v>
      </c>
      <c r="O99" s="51">
        <v>12169.5</v>
      </c>
      <c r="P99" s="185" t="s">
        <v>1587</v>
      </c>
      <c r="Q99" s="179" t="s">
        <v>1410</v>
      </c>
      <c r="R99" s="179" t="s">
        <v>2131</v>
      </c>
      <c r="S99" s="52" t="s">
        <v>1411</v>
      </c>
      <c r="T99" s="54">
        <f>+I99</f>
        <v>20850.099999999999</v>
      </c>
      <c r="U99" s="54">
        <v>0</v>
      </c>
      <c r="V99" s="7" t="s">
        <v>2021</v>
      </c>
      <c r="AA99">
        <f t="shared" si="20"/>
        <v>170</v>
      </c>
      <c r="AD99" t="str">
        <f t="shared" si="21"/>
        <v>301</v>
      </c>
      <c r="AE99">
        <f t="shared" si="22"/>
        <v>0</v>
      </c>
      <c r="AG99" s="50" t="str">
        <f t="shared" si="23"/>
        <v>Salaires sports</v>
      </c>
      <c r="AH99" s="244" t="str">
        <f t="shared" si="24"/>
        <v>61500</v>
      </c>
      <c r="AI99" s="219"/>
      <c r="AJ99" s="219"/>
      <c r="AK99" s="219" t="str">
        <f t="shared" si="25"/>
        <v>3010</v>
      </c>
      <c r="AL99" s="244" t="str">
        <f t="shared" si="26"/>
        <v>00</v>
      </c>
      <c r="AN99" s="219" t="str">
        <f t="shared" si="27"/>
        <v>Salaire du personnel administratif</v>
      </c>
    </row>
    <row r="100" spans="1:40" ht="15" customHeight="1" x14ac:dyDescent="0.3">
      <c r="A100" s="48">
        <v>0</v>
      </c>
      <c r="B100" s="74" t="s">
        <v>148</v>
      </c>
      <c r="C100" s="67" t="s">
        <v>35</v>
      </c>
      <c r="D100" s="188" t="s">
        <v>1462</v>
      </c>
      <c r="E100" s="188" t="s">
        <v>145</v>
      </c>
      <c r="F100" s="46">
        <v>170</v>
      </c>
      <c r="G100" s="188" t="s">
        <v>16</v>
      </c>
      <c r="H100" s="188"/>
      <c r="I100" s="51">
        <v>1981.1</v>
      </c>
      <c r="J100" s="51">
        <v>0</v>
      </c>
      <c r="K100" s="51">
        <f t="shared" si="30"/>
        <v>1981.1</v>
      </c>
      <c r="L100" s="51">
        <v>1800</v>
      </c>
      <c r="M100" s="51">
        <v>0</v>
      </c>
      <c r="N100" s="51">
        <f t="shared" si="29"/>
        <v>1800</v>
      </c>
      <c r="O100" s="51">
        <v>1162.3</v>
      </c>
      <c r="P100" s="185" t="s">
        <v>1587</v>
      </c>
      <c r="Q100" s="179" t="s">
        <v>1367</v>
      </c>
      <c r="R100" s="179" t="s">
        <v>2131</v>
      </c>
      <c r="S100" s="52" t="s">
        <v>1378</v>
      </c>
      <c r="T100" s="54">
        <f>+I100</f>
        <v>1981.1</v>
      </c>
      <c r="U100" s="54"/>
      <c r="AA100">
        <f t="shared" si="20"/>
        <v>170</v>
      </c>
      <c r="AD100" t="str">
        <f t="shared" si="21"/>
        <v>303</v>
      </c>
      <c r="AE100">
        <f t="shared" si="22"/>
        <v>0</v>
      </c>
      <c r="AG100" s="50" t="str">
        <f t="shared" si="23"/>
        <v>Cotisations AVS/AC/AF</v>
      </c>
      <c r="AH100" s="244" t="str">
        <f t="shared" si="24"/>
        <v>61500</v>
      </c>
      <c r="AI100" s="219"/>
      <c r="AJ100" s="219"/>
      <c r="AK100" s="219" t="str">
        <f t="shared" si="25"/>
        <v>3050</v>
      </c>
      <c r="AL100" s="244" t="str">
        <f t="shared" si="26"/>
        <v>00</v>
      </c>
      <c r="AN100" s="219" t="str">
        <f t="shared" si="27"/>
        <v>Cotisations AVS, AI, APG, AC, frais adm</v>
      </c>
    </row>
    <row r="101" spans="1:40" ht="15" customHeight="1" x14ac:dyDescent="0.3">
      <c r="A101" s="48"/>
      <c r="B101" s="74" t="s">
        <v>148</v>
      </c>
      <c r="C101" s="67" t="s">
        <v>35</v>
      </c>
      <c r="D101" s="188" t="s">
        <v>1462</v>
      </c>
      <c r="E101" s="188" t="s">
        <v>145</v>
      </c>
      <c r="F101" s="46">
        <v>170</v>
      </c>
      <c r="G101" s="188" t="s">
        <v>16</v>
      </c>
      <c r="H101" s="188"/>
      <c r="I101" s="51"/>
      <c r="J101" s="51"/>
      <c r="K101" s="51"/>
      <c r="L101" s="51"/>
      <c r="M101" s="51"/>
      <c r="N101" s="51">
        <f t="shared" si="29"/>
        <v>0</v>
      </c>
      <c r="O101" s="51"/>
      <c r="P101" s="185" t="s">
        <v>1587</v>
      </c>
      <c r="Q101" s="179" t="s">
        <v>1413</v>
      </c>
      <c r="R101" s="179" t="s">
        <v>2131</v>
      </c>
      <c r="S101" s="52" t="s">
        <v>1414</v>
      </c>
      <c r="T101" s="54"/>
      <c r="U101" s="54"/>
      <c r="AA101">
        <f t="shared" si="20"/>
        <v>170</v>
      </c>
      <c r="AD101" t="str">
        <f t="shared" si="21"/>
        <v>303</v>
      </c>
      <c r="AE101">
        <f t="shared" si="22"/>
        <v>0</v>
      </c>
      <c r="AG101" s="50" t="str">
        <f t="shared" si="23"/>
        <v>Cotisations AVS/AC/AF</v>
      </c>
      <c r="AH101" s="244" t="str">
        <f t="shared" si="24"/>
        <v>61500</v>
      </c>
      <c r="AI101" s="219"/>
      <c r="AJ101" s="219"/>
      <c r="AK101" s="219" t="str">
        <f t="shared" si="25"/>
        <v>3054</v>
      </c>
      <c r="AL101" s="244" t="str">
        <f t="shared" si="26"/>
        <v>00</v>
      </c>
      <c r="AN101" s="219" t="str">
        <f t="shared" si="27"/>
        <v>Cotisations CAF</v>
      </c>
    </row>
    <row r="102" spans="1:40" ht="15" customHeight="1" x14ac:dyDescent="0.3">
      <c r="A102" s="48">
        <v>0</v>
      </c>
      <c r="B102" s="49" t="s">
        <v>149</v>
      </c>
      <c r="C102" s="50" t="s">
        <v>150</v>
      </c>
      <c r="D102" s="46" t="s">
        <v>1462</v>
      </c>
      <c r="E102" s="46" t="s">
        <v>145</v>
      </c>
      <c r="F102" s="46">
        <v>170</v>
      </c>
      <c r="G102" s="46" t="s">
        <v>38</v>
      </c>
      <c r="H102" s="46"/>
      <c r="I102" s="51">
        <v>1037.25</v>
      </c>
      <c r="J102" s="51">
        <v>0</v>
      </c>
      <c r="K102" s="51">
        <f>+I102+J102</f>
        <v>1037.25</v>
      </c>
      <c r="L102" s="51">
        <v>1000</v>
      </c>
      <c r="M102" s="51">
        <v>0</v>
      </c>
      <c r="N102" s="51">
        <f t="shared" si="29"/>
        <v>1000</v>
      </c>
      <c r="O102" s="51">
        <v>1147.7</v>
      </c>
      <c r="P102" s="185" t="s">
        <v>1587</v>
      </c>
      <c r="Q102" s="179" t="s">
        <v>1386</v>
      </c>
      <c r="R102" s="179" t="s">
        <v>2131</v>
      </c>
      <c r="S102" s="52" t="s">
        <v>1387</v>
      </c>
      <c r="T102" s="54">
        <f>+I102</f>
        <v>1037.25</v>
      </c>
      <c r="U102" s="54"/>
      <c r="AA102">
        <f t="shared" si="20"/>
        <v>170</v>
      </c>
      <c r="AD102" t="str">
        <f t="shared" si="21"/>
        <v>304</v>
      </c>
      <c r="AE102">
        <f t="shared" si="22"/>
        <v>0</v>
      </c>
      <c r="AG102" s="50" t="str">
        <f t="shared" si="23"/>
        <v>Caisse de prévoyance LPP</v>
      </c>
      <c r="AH102" s="244" t="str">
        <f t="shared" si="24"/>
        <v>61500</v>
      </c>
      <c r="AI102" s="219"/>
      <c r="AJ102" s="219"/>
      <c r="AK102" s="219" t="str">
        <f t="shared" si="25"/>
        <v>3052</v>
      </c>
      <c r="AL102" s="244" t="str">
        <f t="shared" si="26"/>
        <v>00</v>
      </c>
      <c r="AN102" s="219" t="str">
        <f t="shared" si="27"/>
        <v>Cotisations patronales aux caisses de pensions</v>
      </c>
    </row>
    <row r="103" spans="1:40" ht="15" customHeight="1" x14ac:dyDescent="0.3">
      <c r="A103" s="48">
        <v>0</v>
      </c>
      <c r="B103" s="49" t="s">
        <v>151</v>
      </c>
      <c r="C103" s="50" t="s">
        <v>152</v>
      </c>
      <c r="D103" s="46" t="s">
        <v>1462</v>
      </c>
      <c r="E103" s="46" t="s">
        <v>145</v>
      </c>
      <c r="F103" s="46">
        <v>170</v>
      </c>
      <c r="G103" s="46" t="s">
        <v>19</v>
      </c>
      <c r="H103" s="46"/>
      <c r="I103" s="51">
        <v>555.25</v>
      </c>
      <c r="J103" s="51">
        <v>0</v>
      </c>
      <c r="K103" s="51">
        <f>+I103+J103</f>
        <v>555.25</v>
      </c>
      <c r="L103" s="51">
        <v>500</v>
      </c>
      <c r="M103" s="51">
        <v>0</v>
      </c>
      <c r="N103" s="51">
        <f t="shared" si="29"/>
        <v>500</v>
      </c>
      <c r="O103" s="51">
        <v>330.6</v>
      </c>
      <c r="P103" s="185" t="s">
        <v>1587</v>
      </c>
      <c r="Q103" s="179" t="s">
        <v>1375</v>
      </c>
      <c r="R103" s="179" t="s">
        <v>2131</v>
      </c>
      <c r="S103" s="52" t="s">
        <v>1379</v>
      </c>
      <c r="T103" s="54">
        <f>+I103</f>
        <v>555.25</v>
      </c>
      <c r="U103" s="54"/>
      <c r="AA103">
        <f t="shared" si="20"/>
        <v>170</v>
      </c>
      <c r="AD103" t="str">
        <f t="shared" si="21"/>
        <v>305</v>
      </c>
      <c r="AE103">
        <f t="shared" si="22"/>
        <v>0</v>
      </c>
      <c r="AG103" s="50" t="str">
        <f t="shared" si="23"/>
        <v>Ass. Accidents/maladie</v>
      </c>
      <c r="AH103" s="244" t="str">
        <f t="shared" si="24"/>
        <v>61500</v>
      </c>
      <c r="AI103" s="219"/>
      <c r="AJ103" s="219"/>
      <c r="AK103" s="219" t="str">
        <f t="shared" si="25"/>
        <v>3053</v>
      </c>
      <c r="AL103" s="244" t="str">
        <f t="shared" si="26"/>
        <v>00</v>
      </c>
      <c r="AN103" s="219" t="str">
        <f t="shared" si="27"/>
        <v>Cotisations patronales aux assurance-accidents</v>
      </c>
    </row>
    <row r="104" spans="1:40" ht="15" customHeight="1" x14ac:dyDescent="0.3">
      <c r="A104" s="48">
        <v>0</v>
      </c>
      <c r="B104" s="74" t="s">
        <v>153</v>
      </c>
      <c r="C104" s="67" t="s">
        <v>154</v>
      </c>
      <c r="D104" s="188" t="s">
        <v>1462</v>
      </c>
      <c r="E104" s="188" t="s">
        <v>145</v>
      </c>
      <c r="F104" s="46">
        <v>170</v>
      </c>
      <c r="G104" s="188" t="s">
        <v>22</v>
      </c>
      <c r="H104" s="188"/>
      <c r="I104" s="51">
        <v>0</v>
      </c>
      <c r="J104" s="51">
        <v>0</v>
      </c>
      <c r="K104" s="51">
        <f>+I104+J104</f>
        <v>0</v>
      </c>
      <c r="L104" s="51">
        <v>0</v>
      </c>
      <c r="M104" s="51">
        <v>0</v>
      </c>
      <c r="N104" s="51">
        <f t="shared" si="29"/>
        <v>0</v>
      </c>
      <c r="O104" s="51">
        <v>5</v>
      </c>
      <c r="P104" s="185" t="s">
        <v>1587</v>
      </c>
      <c r="Q104" s="179" t="s">
        <v>1380</v>
      </c>
      <c r="R104" s="179" t="s">
        <v>2131</v>
      </c>
      <c r="S104" s="52" t="s">
        <v>1381</v>
      </c>
      <c r="T104" s="54">
        <f>+I104</f>
        <v>0</v>
      </c>
      <c r="U104" s="54"/>
      <c r="W104" t="s">
        <v>1492</v>
      </c>
      <c r="AA104">
        <f t="shared" si="20"/>
        <v>170</v>
      </c>
      <c r="AD104" t="str">
        <f t="shared" si="21"/>
        <v>306</v>
      </c>
      <c r="AE104">
        <f t="shared" si="22"/>
        <v>0</v>
      </c>
      <c r="AG104" s="50" t="str">
        <f t="shared" si="23"/>
        <v>Frais du personnel</v>
      </c>
      <c r="AH104" s="244" t="str">
        <f t="shared" si="24"/>
        <v>61500</v>
      </c>
      <c r="AI104" s="219"/>
      <c r="AJ104" s="219"/>
      <c r="AK104" s="219" t="str">
        <f t="shared" si="25"/>
        <v>3099</v>
      </c>
      <c r="AL104" s="244" t="str">
        <f t="shared" si="26"/>
        <v>00</v>
      </c>
      <c r="AN104" s="219" t="str">
        <f t="shared" si="27"/>
        <v>Autres charges du personnel</v>
      </c>
    </row>
    <row r="105" spans="1:40" ht="15" customHeight="1" x14ac:dyDescent="0.3">
      <c r="A105" s="48"/>
      <c r="B105" s="74" t="s">
        <v>153</v>
      </c>
      <c r="C105" s="67" t="s">
        <v>154</v>
      </c>
      <c r="D105" s="188" t="s">
        <v>1462</v>
      </c>
      <c r="E105" s="188" t="s">
        <v>145</v>
      </c>
      <c r="F105" s="46">
        <v>170</v>
      </c>
      <c r="G105" s="188" t="s">
        <v>22</v>
      </c>
      <c r="H105" s="188"/>
      <c r="I105" s="51"/>
      <c r="J105" s="51"/>
      <c r="K105" s="51"/>
      <c r="L105" s="51"/>
      <c r="M105" s="51"/>
      <c r="N105" s="51">
        <f t="shared" si="29"/>
        <v>0</v>
      </c>
      <c r="O105" s="51"/>
      <c r="P105" s="185" t="s">
        <v>1587</v>
      </c>
      <c r="Q105" s="179" t="s">
        <v>1382</v>
      </c>
      <c r="R105" s="179" t="s">
        <v>2131</v>
      </c>
      <c r="S105" s="52" t="s">
        <v>1383</v>
      </c>
      <c r="T105" s="54"/>
      <c r="U105" s="54"/>
      <c r="AA105">
        <f t="shared" si="20"/>
        <v>170</v>
      </c>
      <c r="AD105" t="str">
        <f t="shared" si="21"/>
        <v>306</v>
      </c>
      <c r="AE105">
        <f t="shared" si="22"/>
        <v>0</v>
      </c>
      <c r="AG105" s="50" t="str">
        <f t="shared" si="23"/>
        <v>Frais du personnel</v>
      </c>
      <c r="AH105" s="244" t="str">
        <f t="shared" si="24"/>
        <v>61500</v>
      </c>
      <c r="AI105" s="219"/>
      <c r="AJ105" s="219"/>
      <c r="AK105" s="219" t="str">
        <f t="shared" si="25"/>
        <v>3049</v>
      </c>
      <c r="AL105" s="244" t="str">
        <f t="shared" si="26"/>
        <v>00</v>
      </c>
      <c r="AN105" s="219" t="str">
        <f t="shared" si="27"/>
        <v>Autres indemnités forfaitaires - natels</v>
      </c>
    </row>
    <row r="106" spans="1:40" ht="15" customHeight="1" x14ac:dyDescent="0.3">
      <c r="A106" s="48"/>
      <c r="B106" s="74" t="s">
        <v>153</v>
      </c>
      <c r="C106" s="67" t="s">
        <v>154</v>
      </c>
      <c r="D106" s="188" t="s">
        <v>1462</v>
      </c>
      <c r="E106" s="188" t="s">
        <v>145</v>
      </c>
      <c r="F106" s="46">
        <v>170</v>
      </c>
      <c r="G106" s="188" t="s">
        <v>22</v>
      </c>
      <c r="H106" s="188"/>
      <c r="I106" s="51"/>
      <c r="J106" s="51"/>
      <c r="K106" s="51"/>
      <c r="L106" s="51"/>
      <c r="M106" s="51"/>
      <c r="N106" s="51">
        <f t="shared" si="29"/>
        <v>0</v>
      </c>
      <c r="O106" s="51"/>
      <c r="P106" s="185" t="s">
        <v>1587</v>
      </c>
      <c r="Q106" s="179" t="s">
        <v>1393</v>
      </c>
      <c r="R106" s="179" t="s">
        <v>2131</v>
      </c>
      <c r="S106" s="52" t="s">
        <v>2073</v>
      </c>
      <c r="T106" s="54"/>
      <c r="U106" s="54"/>
      <c r="AA106">
        <f t="shared" si="20"/>
        <v>170</v>
      </c>
      <c r="AD106" t="str">
        <f t="shared" si="21"/>
        <v>306</v>
      </c>
      <c r="AE106">
        <f t="shared" si="22"/>
        <v>0</v>
      </c>
      <c r="AG106" s="50" t="str">
        <f t="shared" si="23"/>
        <v>Frais du personnel</v>
      </c>
      <c r="AH106" s="244" t="str">
        <f t="shared" si="24"/>
        <v>61500</v>
      </c>
      <c r="AI106" s="219"/>
      <c r="AJ106" s="219"/>
      <c r="AK106" s="219" t="str">
        <f t="shared" si="25"/>
        <v>3170</v>
      </c>
      <c r="AL106" s="244" t="str">
        <f t="shared" si="26"/>
        <v>00</v>
      </c>
      <c r="AN106" s="219" t="str">
        <f t="shared" si="27"/>
        <v>Remboursements de frais effectifs km</v>
      </c>
    </row>
    <row r="107" spans="1:40" ht="15" customHeight="1" x14ac:dyDescent="0.3">
      <c r="A107" s="48"/>
      <c r="B107" s="74" t="s">
        <v>153</v>
      </c>
      <c r="C107" s="67" t="s">
        <v>154</v>
      </c>
      <c r="D107" s="188" t="s">
        <v>1462</v>
      </c>
      <c r="E107" s="188" t="s">
        <v>145</v>
      </c>
      <c r="F107" s="46">
        <v>170</v>
      </c>
      <c r="G107" s="188" t="s">
        <v>22</v>
      </c>
      <c r="H107" s="188"/>
      <c r="I107" s="51"/>
      <c r="J107" s="51"/>
      <c r="K107" s="51"/>
      <c r="L107" s="51"/>
      <c r="M107" s="51"/>
      <c r="N107" s="51">
        <f t="shared" si="29"/>
        <v>0</v>
      </c>
      <c r="O107" s="51"/>
      <c r="P107" s="185" t="s">
        <v>1587</v>
      </c>
      <c r="Q107" s="179" t="s">
        <v>1368</v>
      </c>
      <c r="R107" s="179" t="s">
        <v>2131</v>
      </c>
      <c r="S107" s="47" t="s">
        <v>1392</v>
      </c>
      <c r="T107" s="54"/>
      <c r="U107" s="54"/>
      <c r="AA107">
        <f t="shared" si="20"/>
        <v>170</v>
      </c>
      <c r="AD107" t="str">
        <f t="shared" si="21"/>
        <v>306</v>
      </c>
      <c r="AE107">
        <f t="shared" si="22"/>
        <v>0</v>
      </c>
      <c r="AG107" s="50" t="str">
        <f t="shared" si="23"/>
        <v>Frais du personnel</v>
      </c>
      <c r="AH107" s="244" t="str">
        <f t="shared" si="24"/>
        <v>61500</v>
      </c>
      <c r="AI107" s="219"/>
      <c r="AJ107" s="219"/>
      <c r="AK107" s="219" t="str">
        <f t="shared" si="25"/>
        <v>3090</v>
      </c>
      <c r="AL107" s="244" t="str">
        <f t="shared" si="26"/>
        <v>00</v>
      </c>
      <c r="AN107" s="219" t="str">
        <f t="shared" si="27"/>
        <v>Formation et perfectionnement</v>
      </c>
    </row>
    <row r="108" spans="1:40" ht="15" customHeight="1" x14ac:dyDescent="0.3">
      <c r="A108" s="48"/>
      <c r="B108" s="74" t="s">
        <v>153</v>
      </c>
      <c r="C108" s="67" t="s">
        <v>154</v>
      </c>
      <c r="D108" s="188" t="s">
        <v>1462</v>
      </c>
      <c r="E108" s="188" t="s">
        <v>145</v>
      </c>
      <c r="F108" s="46">
        <v>170</v>
      </c>
      <c r="G108" s="188" t="s">
        <v>22</v>
      </c>
      <c r="H108" s="188"/>
      <c r="I108" s="51"/>
      <c r="J108" s="51"/>
      <c r="K108" s="51"/>
      <c r="L108" s="51"/>
      <c r="M108" s="51"/>
      <c r="N108" s="51">
        <f t="shared" si="29"/>
        <v>0</v>
      </c>
      <c r="O108" s="51"/>
      <c r="P108" s="185" t="s">
        <v>1587</v>
      </c>
      <c r="Q108" s="179" t="s">
        <v>1540</v>
      </c>
      <c r="R108" s="179" t="s">
        <v>2131</v>
      </c>
      <c r="S108" s="52" t="s">
        <v>1543</v>
      </c>
      <c r="T108" s="54"/>
      <c r="U108" s="54"/>
      <c r="AA108">
        <f t="shared" si="20"/>
        <v>170</v>
      </c>
      <c r="AD108" t="str">
        <f t="shared" si="21"/>
        <v>306</v>
      </c>
      <c r="AE108">
        <f t="shared" si="22"/>
        <v>0</v>
      </c>
      <c r="AG108" s="50" t="str">
        <f t="shared" si="23"/>
        <v>Frais du personnel</v>
      </c>
      <c r="AH108" s="244" t="str">
        <f t="shared" si="24"/>
        <v>61500</v>
      </c>
      <c r="AI108" s="219"/>
      <c r="AJ108" s="219"/>
      <c r="AK108" s="219" t="str">
        <f t="shared" si="25"/>
        <v>3091</v>
      </c>
      <c r="AL108" s="244" t="str">
        <f t="shared" si="26"/>
        <v>00</v>
      </c>
      <c r="AN108" s="219" t="str">
        <f t="shared" si="27"/>
        <v>Recrutement</v>
      </c>
    </row>
    <row r="109" spans="1:40" ht="15" customHeight="1" x14ac:dyDescent="0.3">
      <c r="A109" s="48"/>
      <c r="B109" s="74" t="s">
        <v>153</v>
      </c>
      <c r="C109" s="67" t="s">
        <v>154</v>
      </c>
      <c r="D109" s="188" t="s">
        <v>1462</v>
      </c>
      <c r="E109" s="188" t="s">
        <v>145</v>
      </c>
      <c r="F109" s="46">
        <v>170</v>
      </c>
      <c r="G109" s="188" t="s">
        <v>22</v>
      </c>
      <c r="H109" s="188"/>
      <c r="I109" s="51"/>
      <c r="J109" s="51"/>
      <c r="K109" s="51"/>
      <c r="L109" s="51"/>
      <c r="M109" s="51"/>
      <c r="N109" s="51">
        <f t="shared" si="29"/>
        <v>0</v>
      </c>
      <c r="O109" s="51"/>
      <c r="P109" s="185" t="s">
        <v>1587</v>
      </c>
      <c r="Q109" s="179" t="s">
        <v>1380</v>
      </c>
      <c r="R109" s="179" t="s">
        <v>2131</v>
      </c>
      <c r="S109" s="52" t="s">
        <v>1381</v>
      </c>
      <c r="T109" s="54"/>
      <c r="U109" s="54"/>
      <c r="AA109">
        <f t="shared" si="20"/>
        <v>170</v>
      </c>
      <c r="AD109" t="str">
        <f t="shared" si="21"/>
        <v>306</v>
      </c>
      <c r="AE109">
        <f t="shared" si="22"/>
        <v>0</v>
      </c>
      <c r="AG109" s="50" t="str">
        <f t="shared" si="23"/>
        <v>Frais du personnel</v>
      </c>
      <c r="AH109" s="244" t="str">
        <f t="shared" si="24"/>
        <v>61500</v>
      </c>
      <c r="AI109" s="219"/>
      <c r="AJ109" s="219"/>
      <c r="AK109" s="219" t="str">
        <f t="shared" si="25"/>
        <v>3099</v>
      </c>
      <c r="AL109" s="244" t="str">
        <f t="shared" si="26"/>
        <v>00</v>
      </c>
      <c r="AN109" s="219" t="str">
        <f t="shared" si="27"/>
        <v>Autres charges du personnel</v>
      </c>
    </row>
    <row r="110" spans="1:40" ht="15" customHeight="1" x14ac:dyDescent="0.3">
      <c r="A110" s="48"/>
      <c r="B110" s="74" t="s">
        <v>153</v>
      </c>
      <c r="C110" s="67" t="s">
        <v>154</v>
      </c>
      <c r="D110" s="188" t="s">
        <v>1462</v>
      </c>
      <c r="E110" s="188" t="s">
        <v>145</v>
      </c>
      <c r="F110" s="46">
        <v>170</v>
      </c>
      <c r="G110" s="188" t="s">
        <v>22</v>
      </c>
      <c r="H110" s="188"/>
      <c r="I110" s="51"/>
      <c r="J110" s="51"/>
      <c r="K110" s="51"/>
      <c r="L110" s="51"/>
      <c r="M110" s="51"/>
      <c r="N110" s="51">
        <f t="shared" si="29"/>
        <v>0</v>
      </c>
      <c r="O110" s="51"/>
      <c r="P110" s="185" t="s">
        <v>1587</v>
      </c>
      <c r="Q110" s="179" t="s">
        <v>1410</v>
      </c>
      <c r="R110" s="179" t="s">
        <v>2138</v>
      </c>
      <c r="S110" s="47" t="s">
        <v>1424</v>
      </c>
      <c r="T110" s="54"/>
      <c r="U110" s="54"/>
      <c r="AA110">
        <f t="shared" si="20"/>
        <v>170</v>
      </c>
      <c r="AD110" t="str">
        <f t="shared" si="21"/>
        <v>306</v>
      </c>
      <c r="AE110">
        <f t="shared" si="22"/>
        <v>0</v>
      </c>
      <c r="AG110" s="50" t="str">
        <f t="shared" si="23"/>
        <v>Frais du personnel</v>
      </c>
      <c r="AH110" s="244" t="str">
        <f t="shared" si="24"/>
        <v>61500</v>
      </c>
      <c r="AI110" s="219"/>
      <c r="AJ110" s="219"/>
      <c r="AK110" s="219" t="str">
        <f t="shared" si="25"/>
        <v>3010</v>
      </c>
      <c r="AL110" s="244" t="str">
        <f t="shared" si="26"/>
        <v>99</v>
      </c>
      <c r="AN110" s="219" t="str">
        <f t="shared" si="27"/>
        <v>Remboursements IJM</v>
      </c>
    </row>
    <row r="111" spans="1:40" ht="15" customHeight="1" x14ac:dyDescent="0.3">
      <c r="A111" s="48">
        <v>0</v>
      </c>
      <c r="B111" s="49" t="s">
        <v>155</v>
      </c>
      <c r="C111" s="50" t="s">
        <v>156</v>
      </c>
      <c r="D111" s="46" t="s">
        <v>1462</v>
      </c>
      <c r="E111" s="46" t="s">
        <v>145</v>
      </c>
      <c r="F111" s="46">
        <v>170</v>
      </c>
      <c r="G111" s="46" t="s">
        <v>25</v>
      </c>
      <c r="H111" s="46"/>
      <c r="I111" s="51">
        <v>927.4</v>
      </c>
      <c r="J111" s="51">
        <v>0</v>
      </c>
      <c r="K111" s="51">
        <f t="shared" ref="K111:K117" si="31">+I111+J111</f>
        <v>927.4</v>
      </c>
      <c r="L111" s="51">
        <v>1000</v>
      </c>
      <c r="M111" s="51">
        <v>0</v>
      </c>
      <c r="N111" s="51">
        <f t="shared" si="29"/>
        <v>1000</v>
      </c>
      <c r="O111" s="51">
        <v>0</v>
      </c>
      <c r="P111" s="179" t="s">
        <v>1491</v>
      </c>
      <c r="Q111" s="179" t="s">
        <v>1493</v>
      </c>
      <c r="R111" s="179" t="s">
        <v>2131</v>
      </c>
      <c r="S111" s="47" t="s">
        <v>1494</v>
      </c>
      <c r="T111" s="54">
        <f>+I111</f>
        <v>927.4</v>
      </c>
      <c r="U111" s="54"/>
      <c r="W111" t="s">
        <v>1495</v>
      </c>
      <c r="AA111">
        <f t="shared" si="20"/>
        <v>170</v>
      </c>
      <c r="AD111" t="str">
        <f t="shared" si="21"/>
        <v>311</v>
      </c>
      <c r="AE111">
        <f t="shared" si="22"/>
        <v>0</v>
      </c>
      <c r="AG111" s="50" t="str">
        <f t="shared" si="23"/>
        <v>ACHATS machines et matériel</v>
      </c>
      <c r="AH111" s="244" t="str">
        <f t="shared" si="24"/>
        <v>34101</v>
      </c>
      <c r="AI111" s="219"/>
      <c r="AJ111" s="219"/>
      <c r="AK111" s="219" t="str">
        <f t="shared" si="25"/>
        <v>3111</v>
      </c>
      <c r="AL111" s="244" t="str">
        <f t="shared" si="26"/>
        <v>00</v>
      </c>
      <c r="AN111" s="219" t="str">
        <f t="shared" si="27"/>
        <v>Machines, appareils et véhicules</v>
      </c>
    </row>
    <row r="112" spans="1:40" ht="15" customHeight="1" x14ac:dyDescent="0.3">
      <c r="A112" s="48">
        <v>0</v>
      </c>
      <c r="B112" s="77" t="s">
        <v>157</v>
      </c>
      <c r="C112" s="78" t="s">
        <v>158</v>
      </c>
      <c r="D112" s="182" t="s">
        <v>1462</v>
      </c>
      <c r="E112" s="46" t="s">
        <v>145</v>
      </c>
      <c r="F112" s="46">
        <v>170</v>
      </c>
      <c r="G112" s="46" t="s">
        <v>159</v>
      </c>
      <c r="H112" s="46"/>
      <c r="I112" s="51">
        <v>1189.25</v>
      </c>
      <c r="J112" s="51">
        <v>0</v>
      </c>
      <c r="K112" s="51">
        <f t="shared" si="31"/>
        <v>1189.25</v>
      </c>
      <c r="L112" s="51">
        <v>2000</v>
      </c>
      <c r="M112" s="51">
        <v>0</v>
      </c>
      <c r="N112" s="51">
        <f t="shared" si="29"/>
        <v>2000</v>
      </c>
      <c r="O112" s="51">
        <v>393.15</v>
      </c>
      <c r="P112" s="179" t="s">
        <v>1491</v>
      </c>
      <c r="Q112" s="179" t="s">
        <v>1500</v>
      </c>
      <c r="R112" s="179" t="s">
        <v>2132</v>
      </c>
      <c r="S112" s="55" t="s">
        <v>1507</v>
      </c>
      <c r="T112" s="54">
        <f>+I112</f>
        <v>1189.25</v>
      </c>
      <c r="U112" s="54"/>
      <c r="AA112">
        <f t="shared" si="20"/>
        <v>170</v>
      </c>
      <c r="AD112" t="str">
        <f t="shared" si="21"/>
        <v>312</v>
      </c>
      <c r="AE112">
        <f t="shared" si="22"/>
        <v>0</v>
      </c>
      <c r="AG112" s="50" t="str">
        <f t="shared" si="23"/>
        <v>Eclairage terrains de sport</v>
      </c>
      <c r="AH112" s="244" t="str">
        <f t="shared" si="24"/>
        <v>34101</v>
      </c>
      <c r="AI112" s="219"/>
      <c r="AJ112" s="219"/>
      <c r="AK112" s="219" t="str">
        <f t="shared" si="25"/>
        <v>3120</v>
      </c>
      <c r="AL112" s="244" t="str">
        <f t="shared" si="26"/>
        <v>01</v>
      </c>
      <c r="AN112" s="219" t="str">
        <f t="shared" si="27"/>
        <v>Frais d'électricité - Terrain de sport</v>
      </c>
    </row>
    <row r="113" spans="1:40" ht="15" customHeight="1" x14ac:dyDescent="0.3">
      <c r="A113" s="48"/>
      <c r="B113" s="77" t="s">
        <v>157</v>
      </c>
      <c r="C113" s="78" t="s">
        <v>158</v>
      </c>
      <c r="D113" s="182" t="s">
        <v>1462</v>
      </c>
      <c r="E113" s="46" t="s">
        <v>145</v>
      </c>
      <c r="F113" s="46">
        <v>170</v>
      </c>
      <c r="G113" s="46" t="s">
        <v>159</v>
      </c>
      <c r="H113" s="46"/>
      <c r="I113" s="51">
        <v>0</v>
      </c>
      <c r="J113" s="51">
        <v>0</v>
      </c>
      <c r="K113" s="51">
        <f t="shared" si="31"/>
        <v>0</v>
      </c>
      <c r="L113" s="51">
        <v>0</v>
      </c>
      <c r="M113" s="51">
        <v>0</v>
      </c>
      <c r="N113" s="51">
        <f t="shared" si="29"/>
        <v>0</v>
      </c>
      <c r="O113" s="51"/>
      <c r="P113" s="179" t="s">
        <v>1499</v>
      </c>
      <c r="Q113" s="179" t="s">
        <v>1500</v>
      </c>
      <c r="R113" s="179" t="s">
        <v>2132</v>
      </c>
      <c r="S113" s="55" t="s">
        <v>1506</v>
      </c>
      <c r="T113" s="54"/>
      <c r="U113" s="54"/>
      <c r="AA113">
        <f t="shared" si="20"/>
        <v>170</v>
      </c>
      <c r="AD113" t="str">
        <f t="shared" si="21"/>
        <v>312</v>
      </c>
      <c r="AE113">
        <f t="shared" si="22"/>
        <v>0</v>
      </c>
      <c r="AG113" s="50" t="str">
        <f t="shared" si="23"/>
        <v>Eclairage terrains de sport</v>
      </c>
      <c r="AH113" s="244" t="str">
        <f t="shared" si="24"/>
        <v>34102</v>
      </c>
      <c r="AI113" s="219"/>
      <c r="AJ113" s="219"/>
      <c r="AK113" s="219" t="str">
        <f t="shared" si="25"/>
        <v>3120</v>
      </c>
      <c r="AL113" s="244" t="str">
        <f t="shared" si="26"/>
        <v>01</v>
      </c>
      <c r="AN113" s="219" t="str">
        <f t="shared" si="27"/>
        <v>Frais d'électricité - Pétanque</v>
      </c>
    </row>
    <row r="114" spans="1:40" ht="15" customHeight="1" x14ac:dyDescent="0.3">
      <c r="A114" s="48">
        <v>0</v>
      </c>
      <c r="B114" s="49" t="s">
        <v>160</v>
      </c>
      <c r="C114" s="50" t="s">
        <v>161</v>
      </c>
      <c r="D114" s="46" t="s">
        <v>1462</v>
      </c>
      <c r="E114" s="46" t="s">
        <v>145</v>
      </c>
      <c r="F114" s="46">
        <v>170</v>
      </c>
      <c r="G114" s="46" t="s">
        <v>131</v>
      </c>
      <c r="H114" s="46"/>
      <c r="I114" s="51">
        <v>63864.2</v>
      </c>
      <c r="J114" s="51">
        <v>0</v>
      </c>
      <c r="K114" s="51">
        <f t="shared" si="31"/>
        <v>63864.2</v>
      </c>
      <c r="L114" s="51">
        <v>50000</v>
      </c>
      <c r="M114" s="51">
        <v>0</v>
      </c>
      <c r="N114" s="51">
        <f t="shared" si="29"/>
        <v>50000</v>
      </c>
      <c r="O114" s="51">
        <v>25154.65</v>
      </c>
      <c r="P114" s="179" t="s">
        <v>1491</v>
      </c>
      <c r="Q114" s="179" t="s">
        <v>1497</v>
      </c>
      <c r="R114" s="179" t="s">
        <v>2131</v>
      </c>
      <c r="S114" s="47" t="s">
        <v>1498</v>
      </c>
      <c r="T114" s="54">
        <f>+I114</f>
        <v>63864.2</v>
      </c>
      <c r="U114" s="54"/>
      <c r="W114" s="30" t="s">
        <v>1659</v>
      </c>
      <c r="AA114">
        <f t="shared" si="20"/>
        <v>170</v>
      </c>
      <c r="AD114" t="str">
        <f t="shared" si="21"/>
        <v>314</v>
      </c>
      <c r="AE114">
        <f t="shared" si="22"/>
        <v>0</v>
      </c>
      <c r="AG114" s="50" t="str">
        <f t="shared" si="23"/>
        <v>Entretien des terrains de sport</v>
      </c>
      <c r="AH114" s="244" t="str">
        <f t="shared" si="24"/>
        <v>34101</v>
      </c>
      <c r="AI114" s="219"/>
      <c r="AJ114" s="219"/>
      <c r="AK114" s="219" t="str">
        <f t="shared" si="25"/>
        <v>3140</v>
      </c>
      <c r="AL114" s="244" t="str">
        <f t="shared" si="26"/>
        <v>00</v>
      </c>
      <c r="AN114" s="219" t="str">
        <f t="shared" si="27"/>
        <v>Entretien des terrains</v>
      </c>
    </row>
    <row r="115" spans="1:40" ht="15" customHeight="1" x14ac:dyDescent="0.3">
      <c r="A115" s="48">
        <v>0</v>
      </c>
      <c r="B115" s="49" t="s">
        <v>162</v>
      </c>
      <c r="C115" s="50" t="s">
        <v>163</v>
      </c>
      <c r="D115" s="46" t="s">
        <v>1462</v>
      </c>
      <c r="E115" s="46" t="s">
        <v>145</v>
      </c>
      <c r="F115" s="46">
        <v>170</v>
      </c>
      <c r="G115" s="46" t="s">
        <v>164</v>
      </c>
      <c r="H115" s="46"/>
      <c r="I115" s="51">
        <v>36152.78</v>
      </c>
      <c r="J115" s="51">
        <v>0</v>
      </c>
      <c r="K115" s="51">
        <f t="shared" si="31"/>
        <v>36152.78</v>
      </c>
      <c r="L115" s="51">
        <v>0</v>
      </c>
      <c r="M115" s="51">
        <v>0</v>
      </c>
      <c r="N115" s="51">
        <f t="shared" si="29"/>
        <v>0</v>
      </c>
      <c r="O115" s="51">
        <v>0</v>
      </c>
      <c r="P115" s="179" t="s">
        <v>1491</v>
      </c>
      <c r="Q115" s="179" t="s">
        <v>1508</v>
      </c>
      <c r="R115" s="179" t="s">
        <v>2139</v>
      </c>
      <c r="S115" s="47" t="s">
        <v>1509</v>
      </c>
      <c r="T115" s="233">
        <f>+I115</f>
        <v>36152.78</v>
      </c>
      <c r="U115" s="54">
        <v>0</v>
      </c>
      <c r="W115" t="s">
        <v>1469</v>
      </c>
      <c r="AA115">
        <f t="shared" si="20"/>
        <v>170</v>
      </c>
      <c r="AD115" t="str">
        <f t="shared" si="21"/>
        <v>331</v>
      </c>
      <c r="AE115">
        <f t="shared" si="22"/>
        <v>0</v>
      </c>
      <c r="AG115" s="50" t="str">
        <f t="shared" si="23"/>
        <v>Amortissement obligatoire Patr.Administratif sports</v>
      </c>
      <c r="AH115" s="244" t="str">
        <f t="shared" si="24"/>
        <v>34101</v>
      </c>
      <c r="AI115" s="219"/>
      <c r="AJ115" s="219"/>
      <c r="AK115" s="219" t="str">
        <f t="shared" si="25"/>
        <v>3300</v>
      </c>
      <c r="AL115" s="244" t="str">
        <f t="shared" si="26"/>
        <v>09</v>
      </c>
      <c r="AN115" s="219" t="str">
        <f t="shared" si="27"/>
        <v>Amortissements planifiés des immobilisations corporelles PA</v>
      </c>
    </row>
    <row r="116" spans="1:40" ht="15" customHeight="1" x14ac:dyDescent="0.3">
      <c r="A116" s="48">
        <v>0</v>
      </c>
      <c r="B116" s="49" t="s">
        <v>165</v>
      </c>
      <c r="C116" s="50" t="s">
        <v>166</v>
      </c>
      <c r="D116" s="46" t="s">
        <v>1462</v>
      </c>
      <c r="E116" s="46" t="s">
        <v>145</v>
      </c>
      <c r="F116" s="46">
        <v>170</v>
      </c>
      <c r="G116" s="46" t="s">
        <v>96</v>
      </c>
      <c r="H116" s="46"/>
      <c r="I116" s="51">
        <v>129663.9</v>
      </c>
      <c r="J116" s="51">
        <v>0</v>
      </c>
      <c r="K116" s="51">
        <f t="shared" si="31"/>
        <v>129663.9</v>
      </c>
      <c r="L116" s="51">
        <v>0</v>
      </c>
      <c r="M116" s="51">
        <v>0</v>
      </c>
      <c r="N116" s="51">
        <f t="shared" si="29"/>
        <v>0</v>
      </c>
      <c r="O116" s="51">
        <v>0</v>
      </c>
      <c r="P116" s="179" t="s">
        <v>1491</v>
      </c>
      <c r="Q116" s="179" t="s">
        <v>1607</v>
      </c>
      <c r="R116" s="179" t="s">
        <v>2139</v>
      </c>
      <c r="S116" s="47" t="s">
        <v>1608</v>
      </c>
      <c r="T116" s="54">
        <f>+I116</f>
        <v>129663.9</v>
      </c>
      <c r="U116" s="54">
        <v>0</v>
      </c>
      <c r="W116" t="s">
        <v>2162</v>
      </c>
      <c r="AA116">
        <f t="shared" si="20"/>
        <v>170</v>
      </c>
      <c r="AD116" t="str">
        <f t="shared" si="21"/>
        <v>332</v>
      </c>
      <c r="AE116">
        <f t="shared" si="22"/>
        <v>0</v>
      </c>
      <c r="AG116" s="50" t="str">
        <f t="shared" si="23"/>
        <v>Amortissement suppl Patr.Administratif sports</v>
      </c>
      <c r="AH116" s="244" t="str">
        <f t="shared" si="24"/>
        <v>34101</v>
      </c>
      <c r="AI116" s="219"/>
      <c r="AJ116" s="219"/>
      <c r="AK116" s="219" t="str">
        <f t="shared" si="25"/>
        <v>3301</v>
      </c>
      <c r="AL116" s="244" t="str">
        <f t="shared" si="26"/>
        <v>09</v>
      </c>
      <c r="AN116" s="219" t="str">
        <f t="shared" si="27"/>
        <v>Amortissements non planifiés des immobilisations corporelles PA</v>
      </c>
    </row>
    <row r="117" spans="1:40" ht="15" customHeight="1" x14ac:dyDescent="0.3">
      <c r="A117" s="48">
        <v>0</v>
      </c>
      <c r="B117" s="74" t="s">
        <v>167</v>
      </c>
      <c r="C117" s="67" t="s">
        <v>168</v>
      </c>
      <c r="D117" s="188" t="s">
        <v>1462</v>
      </c>
      <c r="E117" s="188" t="s">
        <v>145</v>
      </c>
      <c r="F117" s="46">
        <v>170</v>
      </c>
      <c r="G117" s="188" t="s">
        <v>99</v>
      </c>
      <c r="H117" s="188"/>
      <c r="I117" s="51">
        <v>5180</v>
      </c>
      <c r="J117" s="51">
        <v>0</v>
      </c>
      <c r="K117" s="51">
        <f t="shared" si="31"/>
        <v>5180</v>
      </c>
      <c r="L117" s="51">
        <v>10000</v>
      </c>
      <c r="M117" s="51">
        <v>0</v>
      </c>
      <c r="N117" s="51">
        <f t="shared" si="29"/>
        <v>10000</v>
      </c>
      <c r="O117" s="51">
        <v>3200</v>
      </c>
      <c r="P117" s="179" t="s">
        <v>1490</v>
      </c>
      <c r="Q117" s="179" t="s">
        <v>1421</v>
      </c>
      <c r="R117" s="179" t="s">
        <v>2131</v>
      </c>
      <c r="S117" s="47" t="s">
        <v>1422</v>
      </c>
      <c r="T117" s="54">
        <f>+I117</f>
        <v>5180</v>
      </c>
      <c r="U117" s="54"/>
      <c r="AA117">
        <f t="shared" si="20"/>
        <v>170</v>
      </c>
      <c r="AD117" t="str">
        <f t="shared" si="21"/>
        <v>365</v>
      </c>
      <c r="AE117">
        <f t="shared" si="22"/>
        <v>0</v>
      </c>
      <c r="AG117" s="50" t="str">
        <f t="shared" si="23"/>
        <v>Aide sports</v>
      </c>
      <c r="AH117" s="244" t="str">
        <f t="shared" si="24"/>
        <v>34100</v>
      </c>
      <c r="AI117" s="219"/>
      <c r="AJ117" s="219"/>
      <c r="AK117" s="219" t="str">
        <f t="shared" si="25"/>
        <v>3636</v>
      </c>
      <c r="AL117" s="244" t="str">
        <f t="shared" si="26"/>
        <v>00</v>
      </c>
      <c r="AN117" s="219" t="str">
        <f t="shared" si="27"/>
        <v>Subventions à des tiers - dons</v>
      </c>
    </row>
    <row r="118" spans="1:40" ht="15" customHeight="1" x14ac:dyDescent="0.3">
      <c r="A118" s="48"/>
      <c r="B118" s="74" t="s">
        <v>167</v>
      </c>
      <c r="C118" s="67" t="s">
        <v>168</v>
      </c>
      <c r="D118" s="188" t="s">
        <v>1462</v>
      </c>
      <c r="E118" s="188" t="s">
        <v>145</v>
      </c>
      <c r="F118" s="46">
        <v>170</v>
      </c>
      <c r="G118" s="188" t="s">
        <v>99</v>
      </c>
      <c r="H118" s="188"/>
      <c r="I118" s="51"/>
      <c r="J118" s="51"/>
      <c r="K118" s="51"/>
      <c r="L118" s="51"/>
      <c r="M118" s="51"/>
      <c r="N118" s="51"/>
      <c r="O118" s="51"/>
      <c r="P118" s="179" t="s">
        <v>1490</v>
      </c>
      <c r="Q118" s="179" t="s">
        <v>1552</v>
      </c>
      <c r="R118" s="179" t="s">
        <v>2131</v>
      </c>
      <c r="S118" s="47" t="s">
        <v>2025</v>
      </c>
      <c r="T118" s="54"/>
      <c r="U118" s="54"/>
      <c r="AA118">
        <f t="shared" si="20"/>
        <v>170</v>
      </c>
      <c r="AD118" t="str">
        <f t="shared" si="21"/>
        <v>365</v>
      </c>
      <c r="AE118">
        <f t="shared" si="22"/>
        <v>0</v>
      </c>
      <c r="AG118" s="50" t="str">
        <f t="shared" si="23"/>
        <v>Aide sports</v>
      </c>
      <c r="AH118" s="244" t="str">
        <f t="shared" si="24"/>
        <v>34100</v>
      </c>
      <c r="AI118" s="219"/>
      <c r="AJ118" s="219"/>
      <c r="AK118" s="219" t="str">
        <f t="shared" si="25"/>
        <v>3632</v>
      </c>
      <c r="AL118" s="244" t="str">
        <f t="shared" si="26"/>
        <v>00</v>
      </c>
      <c r="AN118" s="219" t="str">
        <f t="shared" si="27"/>
        <v>Subventions accordées aux communes et associations  - dons</v>
      </c>
    </row>
    <row r="119" spans="1:40" ht="15" customHeight="1" x14ac:dyDescent="0.3">
      <c r="A119" s="48"/>
      <c r="B119" s="74" t="s">
        <v>167</v>
      </c>
      <c r="C119" s="67" t="s">
        <v>168</v>
      </c>
      <c r="D119" s="188" t="s">
        <v>1462</v>
      </c>
      <c r="E119" s="188" t="s">
        <v>145</v>
      </c>
      <c r="F119" s="46">
        <v>170</v>
      </c>
      <c r="G119" s="188" t="s">
        <v>99</v>
      </c>
      <c r="H119" s="188"/>
      <c r="I119" s="51"/>
      <c r="J119" s="51"/>
      <c r="K119" s="51"/>
      <c r="L119" s="51"/>
      <c r="M119" s="51"/>
      <c r="N119" s="51"/>
      <c r="O119" s="51"/>
      <c r="P119" s="179" t="s">
        <v>1490</v>
      </c>
      <c r="Q119" s="179" t="s">
        <v>1562</v>
      </c>
      <c r="R119" s="179" t="s">
        <v>2131</v>
      </c>
      <c r="S119" s="47" t="s">
        <v>2026</v>
      </c>
      <c r="T119" s="54"/>
      <c r="U119" s="54"/>
      <c r="AA119">
        <f t="shared" si="20"/>
        <v>170</v>
      </c>
      <c r="AD119" t="str">
        <f t="shared" si="21"/>
        <v>365</v>
      </c>
      <c r="AE119">
        <f t="shared" si="22"/>
        <v>0</v>
      </c>
      <c r="AG119" s="50" t="str">
        <f t="shared" si="23"/>
        <v>Aide sports</v>
      </c>
      <c r="AH119" s="244" t="str">
        <f t="shared" si="24"/>
        <v>34100</v>
      </c>
      <c r="AI119" s="219"/>
      <c r="AJ119" s="219"/>
      <c r="AK119" s="219" t="str">
        <f t="shared" si="25"/>
        <v>3637</v>
      </c>
      <c r="AL119" s="244" t="str">
        <f t="shared" si="26"/>
        <v>00</v>
      </c>
      <c r="AN119" s="219" t="str">
        <f t="shared" si="27"/>
        <v>Subventions accordées aux ménages privés - dons</v>
      </c>
    </row>
    <row r="120" spans="1:40" ht="15" customHeight="1" x14ac:dyDescent="0.3">
      <c r="A120" s="48">
        <v>0</v>
      </c>
      <c r="B120" s="49" t="s">
        <v>169</v>
      </c>
      <c r="C120" s="50" t="s">
        <v>170</v>
      </c>
      <c r="D120" s="46" t="s">
        <v>1462</v>
      </c>
      <c r="E120" s="46" t="s">
        <v>145</v>
      </c>
      <c r="F120" s="46">
        <v>170</v>
      </c>
      <c r="G120" s="46" t="s">
        <v>28</v>
      </c>
      <c r="H120" s="46">
        <v>1</v>
      </c>
      <c r="I120" s="51">
        <v>0</v>
      </c>
      <c r="J120" s="51">
        <v>0</v>
      </c>
      <c r="K120" s="51">
        <f t="shared" ref="K120:K129" si="32">+I120+J120</f>
        <v>0</v>
      </c>
      <c r="L120" s="51">
        <v>0</v>
      </c>
      <c r="M120" s="51">
        <v>0</v>
      </c>
      <c r="N120" s="51">
        <f t="shared" ref="N120:N130" si="33">+L120+M120</f>
        <v>0</v>
      </c>
      <c r="O120" s="51">
        <v>0</v>
      </c>
      <c r="P120" s="179" t="s">
        <v>1489</v>
      </c>
      <c r="Q120" s="179" t="s">
        <v>1489</v>
      </c>
      <c r="R120" s="179" t="s">
        <v>1489</v>
      </c>
      <c r="S120" s="47"/>
      <c r="T120" s="54">
        <f>+I120</f>
        <v>0</v>
      </c>
      <c r="U120" s="54"/>
      <c r="AA120">
        <f t="shared" si="20"/>
        <v>170</v>
      </c>
      <c r="AD120" t="str">
        <f t="shared" si="21"/>
        <v>390</v>
      </c>
      <c r="AE120">
        <f t="shared" si="22"/>
        <v>1</v>
      </c>
      <c r="AG120" s="50" t="str">
        <f t="shared" si="23"/>
        <v>Imputations internes sport</v>
      </c>
      <c r="AH120" s="244" t="str">
        <f t="shared" si="24"/>
        <v>-</v>
      </c>
      <c r="AI120" s="219"/>
      <c r="AJ120" s="219"/>
      <c r="AK120" s="219" t="str">
        <f t="shared" si="25"/>
        <v>-</v>
      </c>
      <c r="AL120" s="244" t="str">
        <f t="shared" si="26"/>
        <v>-</v>
      </c>
      <c r="AN120" s="219">
        <f t="shared" si="27"/>
        <v>0</v>
      </c>
    </row>
    <row r="121" spans="1:40" ht="15" customHeight="1" x14ac:dyDescent="0.3">
      <c r="A121" s="48">
        <v>0</v>
      </c>
      <c r="B121" s="49" t="s">
        <v>171</v>
      </c>
      <c r="C121" s="50" t="s">
        <v>172</v>
      </c>
      <c r="D121" s="46" t="s">
        <v>1462</v>
      </c>
      <c r="E121" s="46" t="s">
        <v>145</v>
      </c>
      <c r="F121" s="46">
        <v>170</v>
      </c>
      <c r="G121" s="46" t="s">
        <v>61</v>
      </c>
      <c r="H121" s="46"/>
      <c r="I121" s="51">
        <v>0</v>
      </c>
      <c r="J121" s="51">
        <v>-4500</v>
      </c>
      <c r="K121" s="51">
        <f t="shared" si="32"/>
        <v>-4500</v>
      </c>
      <c r="L121" s="51">
        <v>0</v>
      </c>
      <c r="M121" s="51">
        <v>-4500</v>
      </c>
      <c r="N121" s="51">
        <f t="shared" si="33"/>
        <v>-4500</v>
      </c>
      <c r="O121" s="51">
        <v>0</v>
      </c>
      <c r="P121" s="179" t="s">
        <v>1491</v>
      </c>
      <c r="Q121" s="179" t="s">
        <v>1443</v>
      </c>
      <c r="R121" s="179" t="s">
        <v>2131</v>
      </c>
      <c r="S121" s="131" t="s">
        <v>2076</v>
      </c>
      <c r="T121" s="54">
        <f>+J121</f>
        <v>-4500</v>
      </c>
      <c r="U121" s="212">
        <f>+T121</f>
        <v>-4500</v>
      </c>
      <c r="W121" t="s">
        <v>1470</v>
      </c>
      <c r="AA121">
        <f t="shared" si="20"/>
        <v>170</v>
      </c>
      <c r="AD121" t="str">
        <f t="shared" si="21"/>
        <v>436</v>
      </c>
      <c r="AE121">
        <f t="shared" si="22"/>
        <v>0</v>
      </c>
      <c r="AG121" s="50" t="str">
        <f t="shared" si="23"/>
        <v>Participation de tiers sports</v>
      </c>
      <c r="AH121" s="244" t="str">
        <f t="shared" si="24"/>
        <v>34101</v>
      </c>
      <c r="AI121" s="219"/>
      <c r="AJ121" s="219"/>
      <c r="AK121" s="219" t="str">
        <f t="shared" si="25"/>
        <v>4612</v>
      </c>
      <c r="AL121" s="244" t="str">
        <f t="shared" si="26"/>
        <v>00</v>
      </c>
      <c r="AN121" s="219" t="str">
        <f t="shared" si="27"/>
        <v>Dédommagement des communes et associations intercommunales - AISGE - loyers et entretien terrains de sport</v>
      </c>
    </row>
    <row r="122" spans="1:40" ht="15" customHeight="1" x14ac:dyDescent="0.3">
      <c r="A122" s="48">
        <v>0</v>
      </c>
      <c r="B122" s="49" t="s">
        <v>173</v>
      </c>
      <c r="C122" s="50" t="s">
        <v>174</v>
      </c>
      <c r="D122" s="46" t="s">
        <v>1462</v>
      </c>
      <c r="E122" s="46" t="s">
        <v>145</v>
      </c>
      <c r="F122" s="46">
        <v>170</v>
      </c>
      <c r="G122" s="46" t="s">
        <v>175</v>
      </c>
      <c r="H122" s="46"/>
      <c r="I122" s="51">
        <v>0</v>
      </c>
      <c r="J122" s="51">
        <v>0</v>
      </c>
      <c r="K122" s="51">
        <f t="shared" si="32"/>
        <v>0</v>
      </c>
      <c r="L122" s="51">
        <v>0</v>
      </c>
      <c r="M122" s="51">
        <v>0</v>
      </c>
      <c r="N122" s="51">
        <f t="shared" si="33"/>
        <v>0</v>
      </c>
      <c r="O122" s="51">
        <v>-36000</v>
      </c>
      <c r="P122" s="179" t="s">
        <v>1797</v>
      </c>
      <c r="Q122" s="179" t="s">
        <v>1817</v>
      </c>
      <c r="R122" s="179" t="s">
        <v>2131</v>
      </c>
      <c r="S122" s="47" t="s">
        <v>1818</v>
      </c>
      <c r="T122" s="54"/>
      <c r="U122" s="54"/>
      <c r="W122" t="s">
        <v>2123</v>
      </c>
      <c r="AA122">
        <f t="shared" si="20"/>
        <v>170</v>
      </c>
      <c r="AD122" t="str">
        <f t="shared" si="21"/>
        <v>451</v>
      </c>
      <c r="AE122">
        <f t="shared" si="22"/>
        <v>0</v>
      </c>
      <c r="AG122" s="50" t="str">
        <f t="shared" si="23"/>
        <v>Subventions cantonales</v>
      </c>
      <c r="AH122" s="244" t="str">
        <f t="shared" si="24"/>
        <v>16100</v>
      </c>
      <c r="AI122" s="219"/>
      <c r="AJ122" s="219"/>
      <c r="AK122" s="219" t="str">
        <f t="shared" si="25"/>
        <v>4631</v>
      </c>
      <c r="AL122" s="244" t="str">
        <f t="shared" si="26"/>
        <v>00</v>
      </c>
      <c r="AN122" s="219" t="str">
        <f t="shared" si="27"/>
        <v>Subvention des cantons et concordats</v>
      </c>
    </row>
    <row r="123" spans="1:40" ht="15" customHeight="1" x14ac:dyDescent="0.3">
      <c r="A123" s="48">
        <v>0</v>
      </c>
      <c r="B123" s="49" t="s">
        <v>176</v>
      </c>
      <c r="C123" s="50" t="s">
        <v>177</v>
      </c>
      <c r="D123" s="46" t="s">
        <v>1462</v>
      </c>
      <c r="E123" s="46" t="s">
        <v>145</v>
      </c>
      <c r="F123" s="46">
        <v>170</v>
      </c>
      <c r="G123" s="46" t="s">
        <v>64</v>
      </c>
      <c r="H123" s="46"/>
      <c r="I123" s="51">
        <v>0</v>
      </c>
      <c r="J123" s="51">
        <v>-129663.9</v>
      </c>
      <c r="K123" s="51">
        <f t="shared" si="32"/>
        <v>-129663.9</v>
      </c>
      <c r="L123" s="51">
        <v>0</v>
      </c>
      <c r="M123" s="51">
        <v>0</v>
      </c>
      <c r="N123" s="51">
        <f t="shared" si="33"/>
        <v>0</v>
      </c>
      <c r="O123" s="51">
        <v>0</v>
      </c>
      <c r="P123" s="179" t="s">
        <v>1710</v>
      </c>
      <c r="Q123" s="179" t="s">
        <v>1711</v>
      </c>
      <c r="R123" s="179" t="s">
        <v>2131</v>
      </c>
      <c r="S123" s="47" t="s">
        <v>1712</v>
      </c>
      <c r="T123" s="54">
        <f>+J123</f>
        <v>-129663.9</v>
      </c>
      <c r="U123" s="54">
        <v>0</v>
      </c>
      <c r="AA123">
        <f t="shared" si="20"/>
        <v>170</v>
      </c>
      <c r="AD123" t="str">
        <f t="shared" si="21"/>
        <v>480</v>
      </c>
      <c r="AE123">
        <f t="shared" si="22"/>
        <v>0</v>
      </c>
      <c r="AG123" s="50" t="str">
        <f t="shared" si="23"/>
        <v>Prél. Au fonds renouvellement (9282.1)</v>
      </c>
      <c r="AH123" s="244" t="str">
        <f t="shared" si="24"/>
        <v>99000</v>
      </c>
      <c r="AI123" s="219"/>
      <c r="AJ123" s="219"/>
      <c r="AK123" s="219" t="str">
        <f t="shared" si="25"/>
        <v>4894</v>
      </c>
      <c r="AL123" s="244" t="str">
        <f t="shared" si="26"/>
        <v>00</v>
      </c>
      <c r="AN123" s="219" t="str">
        <f t="shared" si="27"/>
        <v>Prélèvement sur la réserve de politique budgétaire</v>
      </c>
    </row>
    <row r="124" spans="1:40" ht="15" customHeight="1" x14ac:dyDescent="0.3">
      <c r="A124" s="48">
        <v>0</v>
      </c>
      <c r="B124" s="49" t="s">
        <v>179</v>
      </c>
      <c r="C124" s="50" t="s">
        <v>180</v>
      </c>
      <c r="D124" s="46" t="s">
        <v>1459</v>
      </c>
      <c r="E124" s="46" t="s">
        <v>178</v>
      </c>
      <c r="F124" s="46">
        <v>180</v>
      </c>
      <c r="G124" s="46" t="s">
        <v>48</v>
      </c>
      <c r="H124" s="46"/>
      <c r="I124" s="51">
        <v>9784.0499999999993</v>
      </c>
      <c r="J124" s="51">
        <v>0</v>
      </c>
      <c r="K124" s="51">
        <f t="shared" si="32"/>
        <v>9784.0499999999993</v>
      </c>
      <c r="L124" s="51">
        <v>12000</v>
      </c>
      <c r="M124" s="51">
        <v>0</v>
      </c>
      <c r="N124" s="51">
        <f t="shared" si="33"/>
        <v>12000</v>
      </c>
      <c r="O124" s="51">
        <v>4569.5</v>
      </c>
      <c r="P124" s="179" t="s">
        <v>1707</v>
      </c>
      <c r="Q124" s="179">
        <v>3130</v>
      </c>
      <c r="R124" s="179" t="s">
        <v>2131</v>
      </c>
      <c r="S124" s="55" t="s">
        <v>1708</v>
      </c>
      <c r="T124" s="54">
        <f>+I124</f>
        <v>9784.0499999999993</v>
      </c>
      <c r="U124" s="54">
        <v>10000</v>
      </c>
      <c r="W124" t="s">
        <v>1472</v>
      </c>
      <c r="AA124">
        <f t="shared" si="20"/>
        <v>180</v>
      </c>
      <c r="AD124" t="str">
        <f t="shared" si="21"/>
        <v>318</v>
      </c>
      <c r="AE124">
        <f t="shared" si="22"/>
        <v>0</v>
      </c>
      <c r="AG124" s="50" t="str">
        <f t="shared" si="23"/>
        <v>Prestations de service ABT CFF</v>
      </c>
      <c r="AH124" s="244" t="str">
        <f t="shared" si="24"/>
        <v>62990</v>
      </c>
      <c r="AI124" s="219"/>
      <c r="AJ124" s="219"/>
      <c r="AK124" s="219">
        <f t="shared" si="25"/>
        <v>3130</v>
      </c>
      <c r="AL124" s="244" t="str">
        <f t="shared" si="26"/>
        <v>00</v>
      </c>
      <c r="AN124" s="219" t="str">
        <f t="shared" si="27"/>
        <v>Prestations de services tiers - cartes CFF</v>
      </c>
    </row>
    <row r="125" spans="1:40" ht="15" customHeight="1" x14ac:dyDescent="0.3">
      <c r="A125" s="48">
        <v>0</v>
      </c>
      <c r="B125" s="49" t="s">
        <v>181</v>
      </c>
      <c r="C125" s="50" t="s">
        <v>182</v>
      </c>
      <c r="D125" s="46" t="s">
        <v>1459</v>
      </c>
      <c r="E125" s="46" t="s">
        <v>178</v>
      </c>
      <c r="F125" s="46">
        <v>180</v>
      </c>
      <c r="G125" s="46" t="s">
        <v>183</v>
      </c>
      <c r="H125" s="46"/>
      <c r="I125" s="51">
        <v>182582.1</v>
      </c>
      <c r="J125" s="51">
        <v>0</v>
      </c>
      <c r="K125" s="51">
        <f t="shared" si="32"/>
        <v>182582.1</v>
      </c>
      <c r="L125" s="51">
        <v>210000</v>
      </c>
      <c r="M125" s="51">
        <v>0</v>
      </c>
      <c r="N125" s="51">
        <f t="shared" si="33"/>
        <v>210000</v>
      </c>
      <c r="O125" s="51">
        <v>0</v>
      </c>
      <c r="P125" s="179" t="s">
        <v>1707</v>
      </c>
      <c r="Q125" s="179" t="s">
        <v>1531</v>
      </c>
      <c r="R125" s="179" t="s">
        <v>2131</v>
      </c>
      <c r="S125" s="47" t="s">
        <v>2063</v>
      </c>
      <c r="T125" s="54">
        <f>+I125</f>
        <v>182582.1</v>
      </c>
      <c r="U125" s="184">
        <v>222000</v>
      </c>
      <c r="W125" t="s">
        <v>1461</v>
      </c>
      <c r="AA125">
        <f t="shared" si="20"/>
        <v>180</v>
      </c>
      <c r="AD125" t="str">
        <f t="shared" si="21"/>
        <v>351</v>
      </c>
      <c r="AE125">
        <f t="shared" si="22"/>
        <v>0</v>
      </c>
      <c r="AG125" s="50" t="str">
        <f t="shared" si="23"/>
        <v>Participation transports régionaux</v>
      </c>
      <c r="AH125" s="244" t="str">
        <f t="shared" si="24"/>
        <v>62990</v>
      </c>
      <c r="AI125" s="219"/>
      <c r="AJ125" s="219"/>
      <c r="AK125" s="219" t="str">
        <f t="shared" si="25"/>
        <v>3621</v>
      </c>
      <c r="AL125" s="244" t="str">
        <f t="shared" si="26"/>
        <v>00</v>
      </c>
      <c r="AN125" s="219" t="str">
        <f t="shared" si="27"/>
        <v>Péréquations financière  - ligne de trafic régional - DGMR</v>
      </c>
    </row>
    <row r="126" spans="1:40" ht="15" customHeight="1" x14ac:dyDescent="0.3">
      <c r="A126" s="48">
        <v>0</v>
      </c>
      <c r="B126" s="49" t="s">
        <v>184</v>
      </c>
      <c r="C126" s="50" t="s">
        <v>185</v>
      </c>
      <c r="D126" s="46" t="s">
        <v>1459</v>
      </c>
      <c r="E126" s="46" t="s">
        <v>178</v>
      </c>
      <c r="F126" s="46">
        <v>180</v>
      </c>
      <c r="G126" s="46" t="s">
        <v>183</v>
      </c>
      <c r="H126" s="46">
        <v>1</v>
      </c>
      <c r="I126" s="51">
        <v>0</v>
      </c>
      <c r="J126" s="51">
        <v>0</v>
      </c>
      <c r="K126" s="51">
        <f t="shared" si="32"/>
        <v>0</v>
      </c>
      <c r="L126" s="51">
        <v>0</v>
      </c>
      <c r="M126" s="51">
        <v>0</v>
      </c>
      <c r="N126" s="51">
        <f t="shared" si="33"/>
        <v>0</v>
      </c>
      <c r="O126" s="51">
        <v>0</v>
      </c>
      <c r="P126" s="179" t="s">
        <v>1489</v>
      </c>
      <c r="Q126" s="179" t="s">
        <v>1489</v>
      </c>
      <c r="R126" s="179" t="s">
        <v>1489</v>
      </c>
      <c r="S126" s="47"/>
      <c r="T126" s="54"/>
      <c r="U126" s="54"/>
      <c r="AA126">
        <f t="shared" si="20"/>
        <v>180</v>
      </c>
      <c r="AD126" t="str">
        <f t="shared" si="21"/>
        <v>351</v>
      </c>
      <c r="AE126">
        <f t="shared" si="22"/>
        <v>1</v>
      </c>
      <c r="AG126" s="50" t="str">
        <f t="shared" si="23"/>
        <v>Participation Nyon-St-Cergue</v>
      </c>
      <c r="AH126" s="244" t="str">
        <f t="shared" si="24"/>
        <v>-</v>
      </c>
      <c r="AI126" s="219"/>
      <c r="AJ126" s="219"/>
      <c r="AK126" s="219" t="str">
        <f t="shared" si="25"/>
        <v>-</v>
      </c>
      <c r="AL126" s="244" t="str">
        <f t="shared" si="26"/>
        <v>-</v>
      </c>
      <c r="AN126" s="219">
        <f t="shared" si="27"/>
        <v>0</v>
      </c>
    </row>
    <row r="127" spans="1:40" ht="15" customHeight="1" x14ac:dyDescent="0.3">
      <c r="A127" s="48">
        <v>0</v>
      </c>
      <c r="B127" s="49" t="s">
        <v>186</v>
      </c>
      <c r="C127" s="50" t="s">
        <v>187</v>
      </c>
      <c r="D127" s="46" t="s">
        <v>1459</v>
      </c>
      <c r="E127" s="46" t="s">
        <v>178</v>
      </c>
      <c r="F127" s="46">
        <v>180</v>
      </c>
      <c r="G127" s="46" t="s">
        <v>61</v>
      </c>
      <c r="H127" s="46"/>
      <c r="I127" s="51">
        <v>0</v>
      </c>
      <c r="J127" s="51">
        <v>-10829</v>
      </c>
      <c r="K127" s="51">
        <f t="shared" si="32"/>
        <v>-10829</v>
      </c>
      <c r="L127" s="51">
        <v>0</v>
      </c>
      <c r="M127" s="51">
        <v>-13000</v>
      </c>
      <c r="N127" s="51">
        <f t="shared" si="33"/>
        <v>-13000</v>
      </c>
      <c r="O127" s="51">
        <v>-5729</v>
      </c>
      <c r="P127" s="179" t="s">
        <v>1707</v>
      </c>
      <c r="Q127" s="179" t="s">
        <v>1702</v>
      </c>
      <c r="R127" s="179" t="s">
        <v>2131</v>
      </c>
      <c r="S127" s="47" t="s">
        <v>1709</v>
      </c>
      <c r="T127" s="54">
        <f>+J127</f>
        <v>-10829</v>
      </c>
      <c r="U127" s="54">
        <f>-U124-1000</f>
        <v>-11000</v>
      </c>
      <c r="W127" t="s">
        <v>1473</v>
      </c>
      <c r="AA127">
        <f t="shared" si="20"/>
        <v>180</v>
      </c>
      <c r="AD127" t="str">
        <f t="shared" si="21"/>
        <v>436</v>
      </c>
      <c r="AE127">
        <f t="shared" si="22"/>
        <v>0</v>
      </c>
      <c r="AG127" s="50" t="str">
        <f t="shared" si="23"/>
        <v>Participations de tiers cartes CFF</v>
      </c>
      <c r="AH127" s="244" t="str">
        <f t="shared" si="24"/>
        <v>62990</v>
      </c>
      <c r="AI127" s="219"/>
      <c r="AJ127" s="219"/>
      <c r="AK127" s="219" t="str">
        <f t="shared" si="25"/>
        <v>4250</v>
      </c>
      <c r="AL127" s="244" t="str">
        <f t="shared" si="26"/>
        <v>00</v>
      </c>
      <c r="AN127" s="219" t="str">
        <f t="shared" si="27"/>
        <v>Recettes sur ventes - cartes CFF</v>
      </c>
    </row>
    <row r="128" spans="1:40" ht="15" customHeight="1" x14ac:dyDescent="0.3">
      <c r="A128" s="48">
        <v>0</v>
      </c>
      <c r="B128" s="49" t="s">
        <v>189</v>
      </c>
      <c r="C128" s="50" t="s">
        <v>190</v>
      </c>
      <c r="D128" s="46" t="s">
        <v>1416</v>
      </c>
      <c r="E128" s="46" t="s">
        <v>188</v>
      </c>
      <c r="F128" s="46">
        <v>190</v>
      </c>
      <c r="G128" s="46" t="s">
        <v>84</v>
      </c>
      <c r="H128" s="46"/>
      <c r="I128" s="51">
        <v>0</v>
      </c>
      <c r="J128" s="51">
        <v>0</v>
      </c>
      <c r="K128" s="51">
        <f t="shared" si="32"/>
        <v>0</v>
      </c>
      <c r="L128" s="51">
        <v>0</v>
      </c>
      <c r="M128" s="51">
        <v>0</v>
      </c>
      <c r="N128" s="51">
        <f t="shared" si="33"/>
        <v>0</v>
      </c>
      <c r="O128" s="51">
        <v>0</v>
      </c>
      <c r="P128" s="179" t="s">
        <v>1489</v>
      </c>
      <c r="Q128" s="179" t="s">
        <v>1489</v>
      </c>
      <c r="R128" s="179" t="s">
        <v>1489</v>
      </c>
      <c r="S128" s="47"/>
      <c r="T128" s="54"/>
      <c r="U128" s="54"/>
      <c r="AA128">
        <f t="shared" si="20"/>
        <v>190</v>
      </c>
      <c r="AD128" t="str">
        <f t="shared" si="21"/>
        <v>310</v>
      </c>
      <c r="AE128">
        <f t="shared" si="22"/>
        <v>0</v>
      </c>
      <c r="AG128" s="50" t="str">
        <f t="shared" si="23"/>
        <v>Fournitures de bureau (informatique)</v>
      </c>
      <c r="AH128" s="244" t="str">
        <f t="shared" si="24"/>
        <v>-</v>
      </c>
      <c r="AI128" s="219"/>
      <c r="AJ128" s="219"/>
      <c r="AK128" s="219" t="str">
        <f t="shared" si="25"/>
        <v>-</v>
      </c>
      <c r="AL128" s="244" t="str">
        <f t="shared" si="26"/>
        <v>-</v>
      </c>
      <c r="AN128" s="219">
        <f t="shared" si="27"/>
        <v>0</v>
      </c>
    </row>
    <row r="129" spans="1:40" ht="15" customHeight="1" x14ac:dyDescent="0.3">
      <c r="A129" s="48">
        <v>0</v>
      </c>
      <c r="B129" s="74" t="s">
        <v>191</v>
      </c>
      <c r="C129" s="67" t="s">
        <v>192</v>
      </c>
      <c r="D129" s="188" t="s">
        <v>1416</v>
      </c>
      <c r="E129" s="188" t="s">
        <v>188</v>
      </c>
      <c r="F129" s="46">
        <v>190</v>
      </c>
      <c r="G129" s="188" t="s">
        <v>25</v>
      </c>
      <c r="H129" s="188"/>
      <c r="I129" s="59">
        <v>15644.9</v>
      </c>
      <c r="J129" s="51">
        <v>0</v>
      </c>
      <c r="K129" s="51">
        <f t="shared" si="32"/>
        <v>15644.9</v>
      </c>
      <c r="L129" s="51">
        <v>10000</v>
      </c>
      <c r="M129" s="51">
        <v>0</v>
      </c>
      <c r="N129" s="51">
        <f t="shared" si="33"/>
        <v>10000</v>
      </c>
      <c r="O129" s="51">
        <v>5703.55</v>
      </c>
      <c r="P129" s="179" t="s">
        <v>1409</v>
      </c>
      <c r="Q129" s="179" t="s">
        <v>1751</v>
      </c>
      <c r="R129" s="179" t="s">
        <v>2131</v>
      </c>
      <c r="S129" s="47" t="s">
        <v>1975</v>
      </c>
      <c r="T129" s="54">
        <f>+I129</f>
        <v>15644.9</v>
      </c>
      <c r="U129" s="54"/>
      <c r="V129" s="8" t="s">
        <v>1965</v>
      </c>
      <c r="W129" t="s">
        <v>1973</v>
      </c>
      <c r="AA129">
        <f t="shared" si="20"/>
        <v>190</v>
      </c>
      <c r="AD129" t="str">
        <f t="shared" si="21"/>
        <v>311</v>
      </c>
      <c r="AE129">
        <f t="shared" si="22"/>
        <v>0</v>
      </c>
      <c r="AG129" s="50" t="str">
        <f t="shared" si="23"/>
        <v>Achats matériel et logiciels</v>
      </c>
      <c r="AH129" s="244" t="str">
        <f t="shared" si="24"/>
        <v>02201</v>
      </c>
      <c r="AI129" s="219"/>
      <c r="AJ129" s="219"/>
      <c r="AK129" s="219" t="str">
        <f t="shared" si="25"/>
        <v>3158</v>
      </c>
      <c r="AL129" s="244" t="str">
        <f t="shared" si="26"/>
        <v>00</v>
      </c>
      <c r="AN129" s="219" t="str">
        <f t="shared" si="27"/>
        <v>Entretien des immobilisations incorporelles - informatique</v>
      </c>
    </row>
    <row r="130" spans="1:40" ht="15" customHeight="1" x14ac:dyDescent="0.3">
      <c r="A130" s="48"/>
      <c r="B130" s="74" t="s">
        <v>191</v>
      </c>
      <c r="C130" s="67" t="s">
        <v>192</v>
      </c>
      <c r="D130" s="188" t="s">
        <v>1416</v>
      </c>
      <c r="E130" s="188" t="s">
        <v>188</v>
      </c>
      <c r="F130" s="46">
        <v>190</v>
      </c>
      <c r="G130" s="188" t="s">
        <v>25</v>
      </c>
      <c r="H130" s="188"/>
      <c r="I130" s="51"/>
      <c r="J130" s="51"/>
      <c r="K130" s="51"/>
      <c r="L130" s="51"/>
      <c r="M130" s="51"/>
      <c r="N130" s="51">
        <f t="shared" si="33"/>
        <v>0</v>
      </c>
      <c r="O130" s="51"/>
      <c r="P130" s="179" t="s">
        <v>1408</v>
      </c>
      <c r="Q130" s="179" t="s">
        <v>1751</v>
      </c>
      <c r="R130" s="179" t="s">
        <v>2131</v>
      </c>
      <c r="S130" s="47" t="s">
        <v>1975</v>
      </c>
      <c r="T130" s="54"/>
      <c r="U130" s="54"/>
      <c r="W130" t="s">
        <v>1992</v>
      </c>
      <c r="AA130">
        <f t="shared" si="20"/>
        <v>190</v>
      </c>
      <c r="AD130" t="str">
        <f t="shared" si="21"/>
        <v>311</v>
      </c>
      <c r="AE130">
        <f t="shared" si="22"/>
        <v>0</v>
      </c>
      <c r="AG130" s="50" t="str">
        <f t="shared" si="23"/>
        <v>Achats matériel et logiciels</v>
      </c>
      <c r="AH130" s="244" t="str">
        <f t="shared" si="24"/>
        <v>02200</v>
      </c>
      <c r="AI130" s="219"/>
      <c r="AJ130" s="219"/>
      <c r="AK130" s="219" t="str">
        <f t="shared" si="25"/>
        <v>3158</v>
      </c>
      <c r="AL130" s="244" t="str">
        <f t="shared" si="26"/>
        <v>00</v>
      </c>
      <c r="AN130" s="219" t="str">
        <f t="shared" si="27"/>
        <v>Entretien des immobilisations incorporelles - informatique</v>
      </c>
    </row>
    <row r="131" spans="1:40" ht="15" customHeight="1" x14ac:dyDescent="0.3">
      <c r="A131" s="48"/>
      <c r="B131" s="74" t="s">
        <v>191</v>
      </c>
      <c r="C131" s="67" t="s">
        <v>192</v>
      </c>
      <c r="D131" s="188" t="s">
        <v>1416</v>
      </c>
      <c r="E131" s="188" t="s">
        <v>188</v>
      </c>
      <c r="F131" s="46">
        <v>190</v>
      </c>
      <c r="G131" s="188" t="s">
        <v>25</v>
      </c>
      <c r="H131" s="188"/>
      <c r="I131" s="51"/>
      <c r="J131" s="51"/>
      <c r="K131" s="51"/>
      <c r="L131" s="51"/>
      <c r="M131" s="51"/>
      <c r="N131" s="51"/>
      <c r="O131" s="51"/>
      <c r="P131" s="45" t="s">
        <v>1693</v>
      </c>
      <c r="Q131" s="179" t="s">
        <v>1751</v>
      </c>
      <c r="R131" s="179" t="s">
        <v>2131</v>
      </c>
      <c r="S131" s="47" t="s">
        <v>1975</v>
      </c>
      <c r="T131" s="54"/>
      <c r="U131" s="54"/>
      <c r="AA131">
        <f t="shared" si="20"/>
        <v>190</v>
      </c>
      <c r="AD131" t="str">
        <f t="shared" si="21"/>
        <v>311</v>
      </c>
      <c r="AE131">
        <f t="shared" si="22"/>
        <v>0</v>
      </c>
      <c r="AG131" s="50" t="str">
        <f t="shared" si="23"/>
        <v>Achats matériel et logiciels</v>
      </c>
      <c r="AH131" s="244" t="str">
        <f t="shared" si="24"/>
        <v>02100</v>
      </c>
      <c r="AI131" s="219"/>
      <c r="AJ131" s="219"/>
      <c r="AK131" s="219" t="str">
        <f t="shared" si="25"/>
        <v>3158</v>
      </c>
      <c r="AL131" s="244" t="str">
        <f t="shared" si="26"/>
        <v>00</v>
      </c>
      <c r="AN131" s="219" t="str">
        <f t="shared" si="27"/>
        <v>Entretien des immobilisations incorporelles - informatique</v>
      </c>
    </row>
    <row r="132" spans="1:40" ht="15" customHeight="1" x14ac:dyDescent="0.3">
      <c r="A132" s="48"/>
      <c r="B132" s="74" t="s">
        <v>191</v>
      </c>
      <c r="C132" s="67" t="s">
        <v>192</v>
      </c>
      <c r="D132" s="188" t="s">
        <v>1416</v>
      </c>
      <c r="E132" s="188" t="s">
        <v>188</v>
      </c>
      <c r="F132" s="46">
        <v>190</v>
      </c>
      <c r="G132" s="188" t="s">
        <v>25</v>
      </c>
      <c r="H132" s="188"/>
      <c r="I132" s="51"/>
      <c r="J132" s="51"/>
      <c r="K132" s="51"/>
      <c r="L132" s="51"/>
      <c r="M132" s="51"/>
      <c r="N132" s="51"/>
      <c r="O132" s="51"/>
      <c r="P132" s="45" t="s">
        <v>1539</v>
      </c>
      <c r="Q132" s="179" t="s">
        <v>1751</v>
      </c>
      <c r="R132" s="179" t="s">
        <v>2131</v>
      </c>
      <c r="S132" s="47" t="s">
        <v>1975</v>
      </c>
      <c r="T132" s="54"/>
      <c r="U132" s="54"/>
      <c r="AA132">
        <f t="shared" ref="AA132:AA195" si="34">+F132</f>
        <v>190</v>
      </c>
      <c r="AD132" t="str">
        <f t="shared" ref="AD132:AD195" si="35">+G132</f>
        <v>311</v>
      </c>
      <c r="AE132">
        <f t="shared" ref="AE132:AE195" si="36">+H132</f>
        <v>0</v>
      </c>
      <c r="AG132" s="50" t="str">
        <f t="shared" ref="AG132:AG195" si="37">+C132</f>
        <v>Achats matériel et logiciels</v>
      </c>
      <c r="AH132" s="244" t="str">
        <f t="shared" ref="AH132:AH195" si="38">+P132</f>
        <v>02210</v>
      </c>
      <c r="AI132" s="219"/>
      <c r="AJ132" s="219"/>
      <c r="AK132" s="219" t="str">
        <f t="shared" ref="AK132:AK195" si="39">+Q132</f>
        <v>3158</v>
      </c>
      <c r="AL132" s="244" t="str">
        <f t="shared" ref="AL132:AL195" si="40">+R132</f>
        <v>00</v>
      </c>
      <c r="AN132" s="219" t="str">
        <f t="shared" ref="AN132:AN195" si="41">+S132</f>
        <v>Entretien des immobilisations incorporelles - informatique</v>
      </c>
    </row>
    <row r="133" spans="1:40" ht="15" customHeight="1" x14ac:dyDescent="0.3">
      <c r="A133" s="48"/>
      <c r="B133" s="74" t="s">
        <v>191</v>
      </c>
      <c r="C133" s="67" t="s">
        <v>192</v>
      </c>
      <c r="D133" s="188" t="s">
        <v>1416</v>
      </c>
      <c r="E133" s="188" t="s">
        <v>188</v>
      </c>
      <c r="F133" s="46">
        <v>190</v>
      </c>
      <c r="G133" s="188" t="s">
        <v>25</v>
      </c>
      <c r="H133" s="188"/>
      <c r="I133" s="51"/>
      <c r="J133" s="51"/>
      <c r="K133" s="51"/>
      <c r="L133" s="51"/>
      <c r="M133" s="51"/>
      <c r="N133" s="51"/>
      <c r="O133" s="51"/>
      <c r="P133" s="45" t="s">
        <v>1581</v>
      </c>
      <c r="Q133" s="179" t="s">
        <v>1751</v>
      </c>
      <c r="R133" s="179" t="s">
        <v>2131</v>
      </c>
      <c r="S133" s="47" t="s">
        <v>1975</v>
      </c>
      <c r="T133" s="54"/>
      <c r="U133" s="54"/>
      <c r="AA133">
        <f t="shared" si="34"/>
        <v>190</v>
      </c>
      <c r="AD133" t="str">
        <f t="shared" si="35"/>
        <v>311</v>
      </c>
      <c r="AE133">
        <f t="shared" si="36"/>
        <v>0</v>
      </c>
      <c r="AG133" s="50" t="str">
        <f t="shared" si="37"/>
        <v>Achats matériel et logiciels</v>
      </c>
      <c r="AH133" s="244" t="str">
        <f t="shared" si="38"/>
        <v>79010</v>
      </c>
      <c r="AI133" s="219"/>
      <c r="AJ133" s="219"/>
      <c r="AK133" s="219" t="str">
        <f t="shared" si="39"/>
        <v>3158</v>
      </c>
      <c r="AL133" s="244" t="str">
        <f t="shared" si="40"/>
        <v>00</v>
      </c>
      <c r="AN133" s="219" t="str">
        <f t="shared" si="41"/>
        <v>Entretien des immobilisations incorporelles - informatique</v>
      </c>
    </row>
    <row r="134" spans="1:40" ht="15" customHeight="1" x14ac:dyDescent="0.3">
      <c r="A134" s="48">
        <v>0</v>
      </c>
      <c r="B134" s="49" t="s">
        <v>193</v>
      </c>
      <c r="C134" s="50" t="s">
        <v>194</v>
      </c>
      <c r="D134" s="46" t="s">
        <v>1416</v>
      </c>
      <c r="E134" s="46" t="s">
        <v>188</v>
      </c>
      <c r="F134" s="46">
        <v>190</v>
      </c>
      <c r="G134" s="46" t="s">
        <v>123</v>
      </c>
      <c r="H134" s="46"/>
      <c r="I134" s="51">
        <v>0</v>
      </c>
      <c r="J134" s="51">
        <v>0</v>
      </c>
      <c r="K134" s="51">
        <f>+I134+J134</f>
        <v>0</v>
      </c>
      <c r="L134" s="51">
        <v>0</v>
      </c>
      <c r="M134" s="51">
        <v>0</v>
      </c>
      <c r="N134" s="51">
        <f>+L134+M134</f>
        <v>0</v>
      </c>
      <c r="O134" s="51">
        <v>0</v>
      </c>
      <c r="P134" s="179" t="s">
        <v>1489</v>
      </c>
      <c r="Q134" s="179" t="s">
        <v>1489</v>
      </c>
      <c r="R134" s="179" t="s">
        <v>1489</v>
      </c>
      <c r="S134" s="47" t="s">
        <v>1489</v>
      </c>
      <c r="T134" s="54"/>
      <c r="U134" s="54"/>
      <c r="AA134">
        <f t="shared" si="34"/>
        <v>190</v>
      </c>
      <c r="AD134" t="str">
        <f t="shared" si="35"/>
        <v>315</v>
      </c>
      <c r="AE134">
        <f t="shared" si="36"/>
        <v>0</v>
      </c>
      <c r="AG134" s="50" t="str">
        <f t="shared" si="37"/>
        <v>Entretien du matériel informatique</v>
      </c>
      <c r="AH134" s="244" t="str">
        <f t="shared" si="38"/>
        <v>-</v>
      </c>
      <c r="AI134" s="219"/>
      <c r="AJ134" s="219"/>
      <c r="AK134" s="219" t="str">
        <f t="shared" si="39"/>
        <v>-</v>
      </c>
      <c r="AL134" s="244" t="str">
        <f t="shared" si="40"/>
        <v>-</v>
      </c>
      <c r="AN134" s="219" t="str">
        <f t="shared" si="41"/>
        <v>-</v>
      </c>
    </row>
    <row r="135" spans="1:40" ht="15" customHeight="1" x14ac:dyDescent="0.3">
      <c r="A135" s="48">
        <v>0</v>
      </c>
      <c r="B135" s="74" t="s">
        <v>195</v>
      </c>
      <c r="C135" s="67" t="s">
        <v>196</v>
      </c>
      <c r="D135" s="188" t="s">
        <v>1416</v>
      </c>
      <c r="E135" s="188" t="s">
        <v>188</v>
      </c>
      <c r="F135" s="46">
        <v>190</v>
      </c>
      <c r="G135" s="188" t="s">
        <v>48</v>
      </c>
      <c r="H135" s="188"/>
      <c r="I135" s="59">
        <v>53175.8</v>
      </c>
      <c r="J135" s="51">
        <v>0</v>
      </c>
      <c r="K135" s="51">
        <f>+I135+J135</f>
        <v>53175.8</v>
      </c>
      <c r="L135" s="51">
        <v>40000</v>
      </c>
      <c r="M135" s="51">
        <v>0</v>
      </c>
      <c r="N135" s="51">
        <f>+L135+M135</f>
        <v>40000</v>
      </c>
      <c r="O135" s="51">
        <v>35669.199999999997</v>
      </c>
      <c r="P135" s="179" t="s">
        <v>1409</v>
      </c>
      <c r="Q135" s="179" t="s">
        <v>1751</v>
      </c>
      <c r="R135" s="179" t="s">
        <v>2131</v>
      </c>
      <c r="S135" s="47" t="s">
        <v>1975</v>
      </c>
      <c r="T135" s="54">
        <f>+I135</f>
        <v>53175.8</v>
      </c>
      <c r="U135" s="54"/>
      <c r="V135" s="8" t="s">
        <v>1965</v>
      </c>
      <c r="W135" t="s">
        <v>1474</v>
      </c>
      <c r="AA135">
        <f t="shared" si="34"/>
        <v>190</v>
      </c>
      <c r="AD135" t="str">
        <f t="shared" si="35"/>
        <v>318</v>
      </c>
      <c r="AE135">
        <f t="shared" si="36"/>
        <v>0</v>
      </c>
      <c r="AG135" s="50" t="str">
        <f t="shared" si="37"/>
        <v>Maintenance et honoraires</v>
      </c>
      <c r="AH135" s="244" t="str">
        <f t="shared" si="38"/>
        <v>02201</v>
      </c>
      <c r="AI135" s="219"/>
      <c r="AJ135" s="219"/>
      <c r="AK135" s="219" t="str">
        <f t="shared" si="39"/>
        <v>3158</v>
      </c>
      <c r="AL135" s="244" t="str">
        <f t="shared" si="40"/>
        <v>00</v>
      </c>
      <c r="AN135" s="219" t="str">
        <f t="shared" si="41"/>
        <v>Entretien des immobilisations incorporelles - informatique</v>
      </c>
    </row>
    <row r="136" spans="1:40" ht="15" customHeight="1" x14ac:dyDescent="0.3">
      <c r="A136" s="48"/>
      <c r="B136" s="74" t="s">
        <v>195</v>
      </c>
      <c r="C136" s="67" t="s">
        <v>196</v>
      </c>
      <c r="D136" s="188" t="s">
        <v>1416</v>
      </c>
      <c r="E136" s="188" t="s">
        <v>188</v>
      </c>
      <c r="F136" s="46">
        <v>190</v>
      </c>
      <c r="G136" s="188" t="s">
        <v>48</v>
      </c>
      <c r="H136" s="188"/>
      <c r="I136" s="59"/>
      <c r="J136" s="51"/>
      <c r="K136" s="51"/>
      <c r="L136" s="51"/>
      <c r="M136" s="51"/>
      <c r="N136" s="51"/>
      <c r="O136" s="51"/>
      <c r="P136" s="179" t="s">
        <v>1408</v>
      </c>
      <c r="Q136" s="179" t="s">
        <v>1751</v>
      </c>
      <c r="R136" s="179" t="s">
        <v>2131</v>
      </c>
      <c r="S136" s="47" t="s">
        <v>1975</v>
      </c>
      <c r="T136" s="54"/>
      <c r="U136" s="54"/>
      <c r="V136" s="8"/>
      <c r="AA136">
        <f t="shared" si="34"/>
        <v>190</v>
      </c>
      <c r="AD136" t="str">
        <f t="shared" si="35"/>
        <v>318</v>
      </c>
      <c r="AE136">
        <f t="shared" si="36"/>
        <v>0</v>
      </c>
      <c r="AG136" s="50" t="str">
        <f t="shared" si="37"/>
        <v>Maintenance et honoraires</v>
      </c>
      <c r="AH136" s="244" t="str">
        <f t="shared" si="38"/>
        <v>02200</v>
      </c>
      <c r="AI136" s="219"/>
      <c r="AJ136" s="219"/>
      <c r="AK136" s="219" t="str">
        <f t="shared" si="39"/>
        <v>3158</v>
      </c>
      <c r="AL136" s="244" t="str">
        <f t="shared" si="40"/>
        <v>00</v>
      </c>
      <c r="AN136" s="219" t="str">
        <f t="shared" si="41"/>
        <v>Entretien des immobilisations incorporelles - informatique</v>
      </c>
    </row>
    <row r="137" spans="1:40" ht="15" customHeight="1" x14ac:dyDescent="0.3">
      <c r="A137" s="48"/>
      <c r="B137" s="74" t="s">
        <v>195</v>
      </c>
      <c r="C137" s="67" t="s">
        <v>196</v>
      </c>
      <c r="D137" s="188" t="s">
        <v>1416</v>
      </c>
      <c r="E137" s="188" t="s">
        <v>188</v>
      </c>
      <c r="F137" s="46">
        <v>190</v>
      </c>
      <c r="G137" s="188" t="s">
        <v>48</v>
      </c>
      <c r="H137" s="188"/>
      <c r="I137" s="59"/>
      <c r="J137" s="51"/>
      <c r="K137" s="51"/>
      <c r="L137" s="51"/>
      <c r="M137" s="51"/>
      <c r="N137" s="51"/>
      <c r="O137" s="51"/>
      <c r="P137" s="45" t="s">
        <v>1693</v>
      </c>
      <c r="Q137" s="179" t="s">
        <v>1751</v>
      </c>
      <c r="R137" s="179" t="s">
        <v>2131</v>
      </c>
      <c r="S137" s="47" t="s">
        <v>1975</v>
      </c>
      <c r="T137" s="54"/>
      <c r="U137" s="54"/>
      <c r="V137" s="8"/>
      <c r="AA137">
        <f t="shared" si="34"/>
        <v>190</v>
      </c>
      <c r="AD137" t="str">
        <f t="shared" si="35"/>
        <v>318</v>
      </c>
      <c r="AE137">
        <f t="shared" si="36"/>
        <v>0</v>
      </c>
      <c r="AG137" s="50" t="str">
        <f t="shared" si="37"/>
        <v>Maintenance et honoraires</v>
      </c>
      <c r="AH137" s="244" t="str">
        <f t="shared" si="38"/>
        <v>02100</v>
      </c>
      <c r="AI137" s="219"/>
      <c r="AJ137" s="219"/>
      <c r="AK137" s="219" t="str">
        <f t="shared" si="39"/>
        <v>3158</v>
      </c>
      <c r="AL137" s="244" t="str">
        <f t="shared" si="40"/>
        <v>00</v>
      </c>
      <c r="AN137" s="219" t="str">
        <f t="shared" si="41"/>
        <v>Entretien des immobilisations incorporelles - informatique</v>
      </c>
    </row>
    <row r="138" spans="1:40" ht="15" customHeight="1" x14ac:dyDescent="0.3">
      <c r="A138" s="48"/>
      <c r="B138" s="74" t="s">
        <v>195</v>
      </c>
      <c r="C138" s="67" t="s">
        <v>196</v>
      </c>
      <c r="D138" s="188" t="s">
        <v>1416</v>
      </c>
      <c r="E138" s="188" t="s">
        <v>188</v>
      </c>
      <c r="F138" s="46">
        <v>190</v>
      </c>
      <c r="G138" s="188" t="s">
        <v>48</v>
      </c>
      <c r="H138" s="188"/>
      <c r="I138" s="59"/>
      <c r="J138" s="51"/>
      <c r="K138" s="51"/>
      <c r="L138" s="51"/>
      <c r="M138" s="51"/>
      <c r="N138" s="51"/>
      <c r="O138" s="51"/>
      <c r="P138" s="45" t="s">
        <v>1539</v>
      </c>
      <c r="Q138" s="179" t="s">
        <v>1751</v>
      </c>
      <c r="R138" s="179" t="s">
        <v>2131</v>
      </c>
      <c r="S138" s="47" t="s">
        <v>1975</v>
      </c>
      <c r="T138" s="54"/>
      <c r="U138" s="54"/>
      <c r="V138" s="8"/>
      <c r="AA138">
        <f t="shared" si="34"/>
        <v>190</v>
      </c>
      <c r="AD138" t="str">
        <f t="shared" si="35"/>
        <v>318</v>
      </c>
      <c r="AE138">
        <f t="shared" si="36"/>
        <v>0</v>
      </c>
      <c r="AG138" s="50" t="str">
        <f t="shared" si="37"/>
        <v>Maintenance et honoraires</v>
      </c>
      <c r="AH138" s="244" t="str">
        <f t="shared" si="38"/>
        <v>02210</v>
      </c>
      <c r="AI138" s="219"/>
      <c r="AJ138" s="219"/>
      <c r="AK138" s="219" t="str">
        <f t="shared" si="39"/>
        <v>3158</v>
      </c>
      <c r="AL138" s="244" t="str">
        <f t="shared" si="40"/>
        <v>00</v>
      </c>
      <c r="AN138" s="219" t="str">
        <f t="shared" si="41"/>
        <v>Entretien des immobilisations incorporelles - informatique</v>
      </c>
    </row>
    <row r="139" spans="1:40" ht="15" customHeight="1" x14ac:dyDescent="0.3">
      <c r="A139" s="48"/>
      <c r="B139" s="74" t="s">
        <v>195</v>
      </c>
      <c r="C139" s="67" t="s">
        <v>196</v>
      </c>
      <c r="D139" s="188" t="s">
        <v>1416</v>
      </c>
      <c r="E139" s="188" t="s">
        <v>188</v>
      </c>
      <c r="F139" s="46">
        <v>190</v>
      </c>
      <c r="G139" s="188" t="s">
        <v>48</v>
      </c>
      <c r="H139" s="188"/>
      <c r="I139" s="59"/>
      <c r="J139" s="51"/>
      <c r="K139" s="51"/>
      <c r="L139" s="51"/>
      <c r="M139" s="51"/>
      <c r="N139" s="51"/>
      <c r="O139" s="51"/>
      <c r="P139" s="45" t="s">
        <v>1581</v>
      </c>
      <c r="Q139" s="179" t="s">
        <v>1751</v>
      </c>
      <c r="R139" s="179" t="s">
        <v>2131</v>
      </c>
      <c r="S139" s="47" t="s">
        <v>1975</v>
      </c>
      <c r="T139" s="54"/>
      <c r="U139" s="54"/>
      <c r="V139" s="8"/>
      <c r="AA139">
        <f t="shared" si="34"/>
        <v>190</v>
      </c>
      <c r="AD139" t="str">
        <f t="shared" si="35"/>
        <v>318</v>
      </c>
      <c r="AE139">
        <f t="shared" si="36"/>
        <v>0</v>
      </c>
      <c r="AG139" s="50" t="str">
        <f t="shared" si="37"/>
        <v>Maintenance et honoraires</v>
      </c>
      <c r="AH139" s="244" t="str">
        <f t="shared" si="38"/>
        <v>79010</v>
      </c>
      <c r="AI139" s="219"/>
      <c r="AJ139" s="219"/>
      <c r="AK139" s="219" t="str">
        <f t="shared" si="39"/>
        <v>3158</v>
      </c>
      <c r="AL139" s="244" t="str">
        <f t="shared" si="40"/>
        <v>00</v>
      </c>
      <c r="AN139" s="219" t="str">
        <f t="shared" si="41"/>
        <v>Entretien des immobilisations incorporelles - informatique</v>
      </c>
    </row>
    <row r="140" spans="1:40" ht="15" customHeight="1" x14ac:dyDescent="0.3">
      <c r="A140" s="48">
        <v>0</v>
      </c>
      <c r="B140" s="49" t="s">
        <v>197</v>
      </c>
      <c r="C140" s="50" t="s">
        <v>198</v>
      </c>
      <c r="D140" s="46" t="s">
        <v>1416</v>
      </c>
      <c r="E140" s="46" t="s">
        <v>188</v>
      </c>
      <c r="F140" s="46">
        <v>190</v>
      </c>
      <c r="G140" s="46" t="s">
        <v>6</v>
      </c>
      <c r="H140" s="46"/>
      <c r="I140" s="51">
        <v>0</v>
      </c>
      <c r="J140" s="51">
        <v>0</v>
      </c>
      <c r="K140" s="51">
        <f t="shared" ref="K140:K171" si="42">+I140+J140</f>
        <v>0</v>
      </c>
      <c r="L140" s="51">
        <v>0</v>
      </c>
      <c r="M140" s="51">
        <v>0</v>
      </c>
      <c r="N140" s="51">
        <f t="shared" ref="N140:N203" si="43">+L140+M140</f>
        <v>0</v>
      </c>
      <c r="O140" s="51">
        <v>0</v>
      </c>
      <c r="P140" s="179" t="s">
        <v>1489</v>
      </c>
      <c r="Q140" s="179" t="s">
        <v>1489</v>
      </c>
      <c r="R140" s="179" t="s">
        <v>1489</v>
      </c>
      <c r="S140" s="47" t="s">
        <v>1489</v>
      </c>
      <c r="T140" s="54"/>
      <c r="U140" s="54"/>
      <c r="AA140">
        <f t="shared" si="34"/>
        <v>190</v>
      </c>
      <c r="AD140" t="str">
        <f t="shared" si="35"/>
        <v>380</v>
      </c>
      <c r="AE140">
        <f t="shared" si="36"/>
        <v>0</v>
      </c>
      <c r="AG140" s="50" t="str">
        <f t="shared" si="37"/>
        <v>Attribution au fonds renouvellement (9281.5)</v>
      </c>
      <c r="AH140" s="244" t="str">
        <f t="shared" si="38"/>
        <v>-</v>
      </c>
      <c r="AI140" s="219"/>
      <c r="AJ140" s="219"/>
      <c r="AK140" s="219" t="str">
        <f t="shared" si="39"/>
        <v>-</v>
      </c>
      <c r="AL140" s="244" t="str">
        <f t="shared" si="40"/>
        <v>-</v>
      </c>
      <c r="AN140" s="219" t="str">
        <f t="shared" si="41"/>
        <v>-</v>
      </c>
    </row>
    <row r="141" spans="1:40" ht="15" customHeight="1" x14ac:dyDescent="0.3">
      <c r="A141" s="48">
        <v>0</v>
      </c>
      <c r="B141" s="49" t="s">
        <v>199</v>
      </c>
      <c r="C141" s="50" t="s">
        <v>200</v>
      </c>
      <c r="D141" s="46" t="s">
        <v>1416</v>
      </c>
      <c r="E141" s="46" t="s">
        <v>188</v>
      </c>
      <c r="F141" s="46">
        <v>190</v>
      </c>
      <c r="G141" s="46" t="s">
        <v>61</v>
      </c>
      <c r="H141" s="46"/>
      <c r="I141" s="51">
        <v>0</v>
      </c>
      <c r="J141" s="51">
        <v>0</v>
      </c>
      <c r="K141" s="51">
        <f t="shared" si="42"/>
        <v>0</v>
      </c>
      <c r="L141" s="51">
        <v>0</v>
      </c>
      <c r="M141" s="51">
        <v>0</v>
      </c>
      <c r="N141" s="51">
        <f t="shared" si="43"/>
        <v>0</v>
      </c>
      <c r="O141" s="51">
        <v>0</v>
      </c>
      <c r="P141" s="179" t="s">
        <v>1489</v>
      </c>
      <c r="Q141" s="179" t="s">
        <v>1489</v>
      </c>
      <c r="R141" s="179" t="s">
        <v>1489</v>
      </c>
      <c r="S141" s="47" t="s">
        <v>1489</v>
      </c>
      <c r="T141" s="54"/>
      <c r="U141" s="54"/>
      <c r="AA141">
        <f t="shared" si="34"/>
        <v>190</v>
      </c>
      <c r="AD141" t="str">
        <f t="shared" si="35"/>
        <v>436</v>
      </c>
      <c r="AE141">
        <f t="shared" si="36"/>
        <v>0</v>
      </c>
      <c r="AG141" s="50" t="str">
        <f t="shared" si="37"/>
        <v>Participation de tiers</v>
      </c>
      <c r="AH141" s="244" t="str">
        <f t="shared" si="38"/>
        <v>-</v>
      </c>
      <c r="AI141" s="219"/>
      <c r="AJ141" s="219"/>
      <c r="AK141" s="219" t="str">
        <f t="shared" si="39"/>
        <v>-</v>
      </c>
      <c r="AL141" s="244" t="str">
        <f t="shared" si="40"/>
        <v>-</v>
      </c>
      <c r="AN141" s="219" t="str">
        <f t="shared" si="41"/>
        <v>-</v>
      </c>
    </row>
    <row r="142" spans="1:40" ht="15" customHeight="1" x14ac:dyDescent="0.3">
      <c r="A142" s="48">
        <v>0</v>
      </c>
      <c r="B142" s="49" t="s">
        <v>201</v>
      </c>
      <c r="C142" s="50" t="s">
        <v>174</v>
      </c>
      <c r="D142" s="46" t="s">
        <v>1416</v>
      </c>
      <c r="E142" s="46" t="s">
        <v>188</v>
      </c>
      <c r="F142" s="46">
        <v>190</v>
      </c>
      <c r="G142" s="46" t="s">
        <v>175</v>
      </c>
      <c r="H142" s="46"/>
      <c r="I142" s="51">
        <v>0</v>
      </c>
      <c r="J142" s="51">
        <v>0</v>
      </c>
      <c r="K142" s="51">
        <f t="shared" si="42"/>
        <v>0</v>
      </c>
      <c r="L142" s="51">
        <v>0</v>
      </c>
      <c r="M142" s="51">
        <v>0</v>
      </c>
      <c r="N142" s="51">
        <f t="shared" si="43"/>
        <v>0</v>
      </c>
      <c r="O142" s="51">
        <v>0</v>
      </c>
      <c r="P142" s="179" t="s">
        <v>1489</v>
      </c>
      <c r="Q142" s="179" t="s">
        <v>1489</v>
      </c>
      <c r="R142" s="179" t="s">
        <v>1489</v>
      </c>
      <c r="S142" s="47" t="s">
        <v>1489</v>
      </c>
      <c r="T142" s="54"/>
      <c r="U142" s="54"/>
      <c r="AA142">
        <f t="shared" si="34"/>
        <v>190</v>
      </c>
      <c r="AD142" t="str">
        <f t="shared" si="35"/>
        <v>451</v>
      </c>
      <c r="AE142">
        <f t="shared" si="36"/>
        <v>0</v>
      </c>
      <c r="AG142" s="50" t="str">
        <f t="shared" si="37"/>
        <v>Subventions cantonales</v>
      </c>
      <c r="AH142" s="244" t="str">
        <f t="shared" si="38"/>
        <v>-</v>
      </c>
      <c r="AI142" s="219"/>
      <c r="AJ142" s="219"/>
      <c r="AK142" s="219" t="str">
        <f t="shared" si="39"/>
        <v>-</v>
      </c>
      <c r="AL142" s="244" t="str">
        <f t="shared" si="40"/>
        <v>-</v>
      </c>
      <c r="AN142" s="219" t="str">
        <f t="shared" si="41"/>
        <v>-</v>
      </c>
    </row>
    <row r="143" spans="1:40" ht="15" customHeight="1" x14ac:dyDescent="0.3">
      <c r="A143" s="48">
        <v>0</v>
      </c>
      <c r="B143" s="49" t="s">
        <v>202</v>
      </c>
      <c r="C143" s="50" t="s">
        <v>203</v>
      </c>
      <c r="D143" s="46" t="s">
        <v>1416</v>
      </c>
      <c r="E143" s="46" t="s">
        <v>188</v>
      </c>
      <c r="F143" s="46">
        <v>190</v>
      </c>
      <c r="G143" s="46" t="s">
        <v>64</v>
      </c>
      <c r="H143" s="46"/>
      <c r="I143" s="51">
        <v>0</v>
      </c>
      <c r="J143" s="51">
        <v>0</v>
      </c>
      <c r="K143" s="51">
        <f t="shared" si="42"/>
        <v>0</v>
      </c>
      <c r="L143" s="51">
        <v>0</v>
      </c>
      <c r="M143" s="51">
        <v>0</v>
      </c>
      <c r="N143" s="51">
        <f t="shared" si="43"/>
        <v>0</v>
      </c>
      <c r="O143" s="51">
        <v>0</v>
      </c>
      <c r="P143" s="179" t="s">
        <v>1489</v>
      </c>
      <c r="Q143" s="179" t="s">
        <v>1489</v>
      </c>
      <c r="R143" s="179" t="s">
        <v>1489</v>
      </c>
      <c r="S143" s="47" t="s">
        <v>1489</v>
      </c>
      <c r="T143" s="54"/>
      <c r="U143" s="54"/>
      <c r="AA143">
        <f t="shared" si="34"/>
        <v>190</v>
      </c>
      <c r="AD143" t="str">
        <f t="shared" si="35"/>
        <v>480</v>
      </c>
      <c r="AE143">
        <f t="shared" si="36"/>
        <v>0</v>
      </c>
      <c r="AG143" s="50" t="str">
        <f t="shared" si="37"/>
        <v>Prélèvement au fonds de renouvellement (9281.5)</v>
      </c>
      <c r="AH143" s="244" t="str">
        <f t="shared" si="38"/>
        <v>-</v>
      </c>
      <c r="AI143" s="219"/>
      <c r="AJ143" s="219"/>
      <c r="AK143" s="219" t="str">
        <f t="shared" si="39"/>
        <v>-</v>
      </c>
      <c r="AL143" s="244" t="str">
        <f t="shared" si="40"/>
        <v>-</v>
      </c>
      <c r="AN143" s="219" t="str">
        <f t="shared" si="41"/>
        <v>-</v>
      </c>
    </row>
    <row r="144" spans="1:40" ht="15" customHeight="1" x14ac:dyDescent="0.3">
      <c r="A144" s="48">
        <v>0</v>
      </c>
      <c r="B144" s="49" t="s">
        <v>205</v>
      </c>
      <c r="C144" s="50" t="s">
        <v>206</v>
      </c>
      <c r="D144" s="46" t="s">
        <v>1416</v>
      </c>
      <c r="E144" s="46" t="s">
        <v>204</v>
      </c>
      <c r="F144" s="46">
        <v>200</v>
      </c>
      <c r="G144" s="46" t="s">
        <v>3</v>
      </c>
      <c r="H144" s="46"/>
      <c r="I144" s="51">
        <v>113557.8</v>
      </c>
      <c r="J144" s="51">
        <v>0</v>
      </c>
      <c r="K144" s="51">
        <f t="shared" si="42"/>
        <v>113557.8</v>
      </c>
      <c r="L144" s="51">
        <v>120000</v>
      </c>
      <c r="M144" s="51">
        <v>0</v>
      </c>
      <c r="N144" s="51">
        <f t="shared" si="43"/>
        <v>120000</v>
      </c>
      <c r="O144" s="51">
        <v>64384.800000000003</v>
      </c>
      <c r="P144" s="179" t="s">
        <v>1693</v>
      </c>
      <c r="Q144" s="179" t="s">
        <v>1696</v>
      </c>
      <c r="R144" s="179" t="s">
        <v>2131</v>
      </c>
      <c r="S144" s="186" t="s">
        <v>1980</v>
      </c>
      <c r="T144" s="54">
        <f>+I144</f>
        <v>113557.8</v>
      </c>
      <c r="U144" s="54"/>
      <c r="W144" t="s">
        <v>2017</v>
      </c>
      <c r="AA144">
        <f t="shared" si="34"/>
        <v>200</v>
      </c>
      <c r="AD144" t="str">
        <f t="shared" si="35"/>
        <v>301</v>
      </c>
      <c r="AE144">
        <f t="shared" si="36"/>
        <v>0</v>
      </c>
      <c r="AG144" s="50" t="str">
        <f t="shared" si="37"/>
        <v>Salaires bourse</v>
      </c>
      <c r="AH144" s="244" t="str">
        <f t="shared" si="38"/>
        <v>02100</v>
      </c>
      <c r="AI144" s="219"/>
      <c r="AJ144" s="219"/>
      <c r="AK144" s="219" t="str">
        <f t="shared" si="39"/>
        <v>3910</v>
      </c>
      <c r="AL144" s="244" t="str">
        <f t="shared" si="40"/>
        <v>00</v>
      </c>
      <c r="AN144" s="219" t="str">
        <f t="shared" si="41"/>
        <v>Imputations internes - Bourse</v>
      </c>
    </row>
    <row r="145" spans="1:40" ht="15" customHeight="1" x14ac:dyDescent="0.3">
      <c r="A145" s="48">
        <v>0</v>
      </c>
      <c r="B145" s="49" t="s">
        <v>207</v>
      </c>
      <c r="C145" s="50" t="s">
        <v>35</v>
      </c>
      <c r="D145" s="46" t="s">
        <v>1416</v>
      </c>
      <c r="E145" s="46" t="s">
        <v>204</v>
      </c>
      <c r="F145" s="46">
        <v>200</v>
      </c>
      <c r="G145" s="46" t="s">
        <v>16</v>
      </c>
      <c r="H145" s="46"/>
      <c r="I145" s="51">
        <v>7430.6</v>
      </c>
      <c r="J145" s="51">
        <v>0</v>
      </c>
      <c r="K145" s="51">
        <f t="shared" si="42"/>
        <v>7430.6</v>
      </c>
      <c r="L145" s="51">
        <v>10800</v>
      </c>
      <c r="M145" s="51">
        <v>0</v>
      </c>
      <c r="N145" s="51">
        <f t="shared" si="43"/>
        <v>10800</v>
      </c>
      <c r="O145" s="51">
        <v>6012.55</v>
      </c>
      <c r="P145" s="179" t="s">
        <v>1693</v>
      </c>
      <c r="Q145" s="179" t="s">
        <v>1696</v>
      </c>
      <c r="R145" s="179" t="s">
        <v>2131</v>
      </c>
      <c r="S145" s="186" t="s">
        <v>1980</v>
      </c>
      <c r="T145" s="54">
        <f>+I145</f>
        <v>7430.6</v>
      </c>
      <c r="U145" s="54"/>
      <c r="AA145">
        <f t="shared" si="34"/>
        <v>200</v>
      </c>
      <c r="AD145" t="str">
        <f t="shared" si="35"/>
        <v>303</v>
      </c>
      <c r="AE145">
        <f t="shared" si="36"/>
        <v>0</v>
      </c>
      <c r="AG145" s="50" t="str">
        <f t="shared" si="37"/>
        <v>Cotisations AVS/AC/AF</v>
      </c>
      <c r="AH145" s="244" t="str">
        <f t="shared" si="38"/>
        <v>02100</v>
      </c>
      <c r="AI145" s="219"/>
      <c r="AJ145" s="219"/>
      <c r="AK145" s="219" t="str">
        <f t="shared" si="39"/>
        <v>3910</v>
      </c>
      <c r="AL145" s="244" t="str">
        <f t="shared" si="40"/>
        <v>00</v>
      </c>
      <c r="AN145" s="219" t="str">
        <f t="shared" si="41"/>
        <v>Imputations internes - Bourse</v>
      </c>
    </row>
    <row r="146" spans="1:40" ht="15" customHeight="1" x14ac:dyDescent="0.3">
      <c r="A146" s="48">
        <v>0</v>
      </c>
      <c r="B146" s="49" t="s">
        <v>208</v>
      </c>
      <c r="C146" s="50" t="s">
        <v>150</v>
      </c>
      <c r="D146" s="46" t="s">
        <v>1416</v>
      </c>
      <c r="E146" s="46" t="s">
        <v>204</v>
      </c>
      <c r="F146" s="46">
        <v>200</v>
      </c>
      <c r="G146" s="46" t="s">
        <v>38</v>
      </c>
      <c r="H146" s="46"/>
      <c r="I146" s="51">
        <v>7209.5</v>
      </c>
      <c r="J146" s="51">
        <v>0</v>
      </c>
      <c r="K146" s="51">
        <f t="shared" si="42"/>
        <v>7209.5</v>
      </c>
      <c r="L146" s="51">
        <v>12600</v>
      </c>
      <c r="M146" s="51">
        <v>0</v>
      </c>
      <c r="N146" s="51">
        <f t="shared" si="43"/>
        <v>12600</v>
      </c>
      <c r="O146" s="51">
        <v>6769.05</v>
      </c>
      <c r="P146" s="179" t="s">
        <v>1693</v>
      </c>
      <c r="Q146" s="179" t="s">
        <v>1696</v>
      </c>
      <c r="R146" s="179" t="s">
        <v>2131</v>
      </c>
      <c r="S146" s="186" t="s">
        <v>1980</v>
      </c>
      <c r="T146" s="54">
        <f>+I146</f>
        <v>7209.5</v>
      </c>
      <c r="U146" s="54"/>
      <c r="AA146">
        <f t="shared" si="34"/>
        <v>200</v>
      </c>
      <c r="AD146" t="str">
        <f t="shared" si="35"/>
        <v>304</v>
      </c>
      <c r="AE146">
        <f t="shared" si="36"/>
        <v>0</v>
      </c>
      <c r="AG146" s="50" t="str">
        <f t="shared" si="37"/>
        <v>Caisse de prévoyance LPP</v>
      </c>
      <c r="AH146" s="244" t="str">
        <f t="shared" si="38"/>
        <v>02100</v>
      </c>
      <c r="AI146" s="219"/>
      <c r="AJ146" s="219"/>
      <c r="AK146" s="219" t="str">
        <f t="shared" si="39"/>
        <v>3910</v>
      </c>
      <c r="AL146" s="244" t="str">
        <f t="shared" si="40"/>
        <v>00</v>
      </c>
      <c r="AN146" s="219" t="str">
        <f t="shared" si="41"/>
        <v>Imputations internes - Bourse</v>
      </c>
    </row>
    <row r="147" spans="1:40" ht="15" customHeight="1" x14ac:dyDescent="0.3">
      <c r="A147" s="48">
        <v>0</v>
      </c>
      <c r="B147" s="49" t="s">
        <v>209</v>
      </c>
      <c r="C147" s="50" t="s">
        <v>152</v>
      </c>
      <c r="D147" s="46" t="s">
        <v>1416</v>
      </c>
      <c r="E147" s="46" t="s">
        <v>204</v>
      </c>
      <c r="F147" s="46">
        <v>200</v>
      </c>
      <c r="G147" s="46" t="s">
        <v>19</v>
      </c>
      <c r="H147" s="46"/>
      <c r="I147" s="51">
        <v>1790.5</v>
      </c>
      <c r="J147" s="51">
        <v>0</v>
      </c>
      <c r="K147" s="51">
        <f t="shared" si="42"/>
        <v>1790.5</v>
      </c>
      <c r="L147" s="51">
        <v>2000</v>
      </c>
      <c r="M147" s="51">
        <v>0</v>
      </c>
      <c r="N147" s="51">
        <f t="shared" si="43"/>
        <v>2000</v>
      </c>
      <c r="O147" s="51">
        <v>1257.75</v>
      </c>
      <c r="P147" s="179" t="s">
        <v>1693</v>
      </c>
      <c r="Q147" s="179" t="s">
        <v>1696</v>
      </c>
      <c r="R147" s="179" t="s">
        <v>2131</v>
      </c>
      <c r="S147" s="186" t="s">
        <v>1980</v>
      </c>
      <c r="T147" s="54">
        <f>+I147</f>
        <v>1790.5</v>
      </c>
      <c r="U147" s="54"/>
      <c r="AA147">
        <f t="shared" si="34"/>
        <v>200</v>
      </c>
      <c r="AD147" t="str">
        <f t="shared" si="35"/>
        <v>305</v>
      </c>
      <c r="AE147">
        <f t="shared" si="36"/>
        <v>0</v>
      </c>
      <c r="AG147" s="50" t="str">
        <f t="shared" si="37"/>
        <v>Ass. Accidents/maladie</v>
      </c>
      <c r="AH147" s="244" t="str">
        <f t="shared" si="38"/>
        <v>02100</v>
      </c>
      <c r="AI147" s="219"/>
      <c r="AJ147" s="219"/>
      <c r="AK147" s="219" t="str">
        <f t="shared" si="39"/>
        <v>3910</v>
      </c>
      <c r="AL147" s="244" t="str">
        <f t="shared" si="40"/>
        <v>00</v>
      </c>
      <c r="AN147" s="219" t="str">
        <f t="shared" si="41"/>
        <v>Imputations internes - Bourse</v>
      </c>
    </row>
    <row r="148" spans="1:40" ht="15" customHeight="1" x14ac:dyDescent="0.3">
      <c r="A148" s="48">
        <v>0</v>
      </c>
      <c r="B148" s="74" t="s">
        <v>210</v>
      </c>
      <c r="C148" s="67" t="s">
        <v>154</v>
      </c>
      <c r="D148" s="188" t="s">
        <v>1416</v>
      </c>
      <c r="E148" s="188" t="s">
        <v>204</v>
      </c>
      <c r="F148" s="46">
        <v>200</v>
      </c>
      <c r="G148" s="188" t="s">
        <v>22</v>
      </c>
      <c r="H148" s="188"/>
      <c r="I148" s="51">
        <v>139.6</v>
      </c>
      <c r="J148" s="51">
        <v>0</v>
      </c>
      <c r="K148" s="51">
        <f t="shared" si="42"/>
        <v>139.6</v>
      </c>
      <c r="L148" s="51">
        <v>500</v>
      </c>
      <c r="M148" s="51">
        <v>0</v>
      </c>
      <c r="N148" s="51">
        <f t="shared" si="43"/>
        <v>500</v>
      </c>
      <c r="O148" s="51">
        <v>93</v>
      </c>
      <c r="P148" s="179" t="s">
        <v>1693</v>
      </c>
      <c r="Q148" s="179" t="s">
        <v>1696</v>
      </c>
      <c r="R148" s="179" t="s">
        <v>2131</v>
      </c>
      <c r="S148" s="186" t="s">
        <v>1980</v>
      </c>
      <c r="T148" s="54">
        <f>+I148</f>
        <v>139.6</v>
      </c>
      <c r="U148" s="54"/>
      <c r="AA148">
        <f t="shared" si="34"/>
        <v>200</v>
      </c>
      <c r="AD148" t="str">
        <f t="shared" si="35"/>
        <v>306</v>
      </c>
      <c r="AE148">
        <f t="shared" si="36"/>
        <v>0</v>
      </c>
      <c r="AG148" s="50" t="str">
        <f t="shared" si="37"/>
        <v>Frais du personnel</v>
      </c>
      <c r="AH148" s="244" t="str">
        <f t="shared" si="38"/>
        <v>02100</v>
      </c>
      <c r="AI148" s="219"/>
      <c r="AJ148" s="219"/>
      <c r="AK148" s="219" t="str">
        <f t="shared" si="39"/>
        <v>3910</v>
      </c>
      <c r="AL148" s="244" t="str">
        <f t="shared" si="40"/>
        <v>00</v>
      </c>
      <c r="AN148" s="219" t="str">
        <f t="shared" si="41"/>
        <v>Imputations internes - Bourse</v>
      </c>
    </row>
    <row r="149" spans="1:40" ht="15" customHeight="1" x14ac:dyDescent="0.3">
      <c r="A149" s="48"/>
      <c r="B149" s="74" t="s">
        <v>210</v>
      </c>
      <c r="C149" s="67" t="s">
        <v>154</v>
      </c>
      <c r="D149" s="188" t="s">
        <v>1416</v>
      </c>
      <c r="E149" s="188" t="s">
        <v>204</v>
      </c>
      <c r="F149" s="46">
        <v>200</v>
      </c>
      <c r="G149" s="188" t="s">
        <v>22</v>
      </c>
      <c r="H149" s="188"/>
      <c r="I149" s="51"/>
      <c r="J149" s="51"/>
      <c r="K149" s="51">
        <f t="shared" si="42"/>
        <v>0</v>
      </c>
      <c r="L149" s="51"/>
      <c r="M149" s="51"/>
      <c r="N149" s="51">
        <f t="shared" si="43"/>
        <v>0</v>
      </c>
      <c r="O149" s="51"/>
      <c r="P149" s="179" t="s">
        <v>1693</v>
      </c>
      <c r="Q149" s="179" t="s">
        <v>1380</v>
      </c>
      <c r="R149" s="179" t="s">
        <v>2131</v>
      </c>
      <c r="S149" s="47" t="s">
        <v>1381</v>
      </c>
      <c r="T149" s="54"/>
      <c r="U149" s="54"/>
      <c r="AA149">
        <f t="shared" si="34"/>
        <v>200</v>
      </c>
      <c r="AD149" t="str">
        <f t="shared" si="35"/>
        <v>306</v>
      </c>
      <c r="AE149">
        <f t="shared" si="36"/>
        <v>0</v>
      </c>
      <c r="AG149" s="50" t="str">
        <f t="shared" si="37"/>
        <v>Frais du personnel</v>
      </c>
      <c r="AH149" s="244" t="str">
        <f t="shared" si="38"/>
        <v>02100</v>
      </c>
      <c r="AI149" s="219"/>
      <c r="AJ149" s="219"/>
      <c r="AK149" s="219" t="str">
        <f t="shared" si="39"/>
        <v>3099</v>
      </c>
      <c r="AL149" s="244" t="str">
        <f t="shared" si="40"/>
        <v>00</v>
      </c>
      <c r="AN149" s="219" t="str">
        <f t="shared" si="41"/>
        <v>Autres charges du personnel</v>
      </c>
    </row>
    <row r="150" spans="1:40" ht="15" customHeight="1" x14ac:dyDescent="0.3">
      <c r="A150" s="48">
        <v>0</v>
      </c>
      <c r="B150" s="81" t="s">
        <v>211</v>
      </c>
      <c r="C150" s="82" t="s">
        <v>80</v>
      </c>
      <c r="D150" s="183" t="s">
        <v>1416</v>
      </c>
      <c r="E150" s="183" t="s">
        <v>204</v>
      </c>
      <c r="F150" s="46">
        <v>200</v>
      </c>
      <c r="G150" s="183" t="s">
        <v>81</v>
      </c>
      <c r="H150" s="183"/>
      <c r="I150" s="51">
        <v>1452</v>
      </c>
      <c r="J150" s="51">
        <v>0</v>
      </c>
      <c r="K150" s="51">
        <f t="shared" si="42"/>
        <v>1452</v>
      </c>
      <c r="L150" s="51">
        <v>2000</v>
      </c>
      <c r="M150" s="51">
        <v>0</v>
      </c>
      <c r="N150" s="51">
        <f t="shared" si="43"/>
        <v>2000</v>
      </c>
      <c r="O150" s="51">
        <v>0</v>
      </c>
      <c r="P150" s="179" t="s">
        <v>1693</v>
      </c>
      <c r="Q150" s="179" t="s">
        <v>1368</v>
      </c>
      <c r="R150" s="179" t="s">
        <v>2131</v>
      </c>
      <c r="S150" s="47" t="s">
        <v>1392</v>
      </c>
      <c r="T150" s="54">
        <f>+I150</f>
        <v>1452</v>
      </c>
      <c r="U150" s="54"/>
      <c r="W150" t="s">
        <v>1475</v>
      </c>
      <c r="AA150">
        <f t="shared" si="34"/>
        <v>200</v>
      </c>
      <c r="AD150" t="str">
        <f t="shared" si="35"/>
        <v>309</v>
      </c>
      <c r="AE150">
        <f t="shared" si="36"/>
        <v>0</v>
      </c>
      <c r="AG150" s="50" t="str">
        <f t="shared" si="37"/>
        <v>Cours et cadeaux</v>
      </c>
      <c r="AH150" s="244" t="str">
        <f t="shared" si="38"/>
        <v>02100</v>
      </c>
      <c r="AI150" s="219"/>
      <c r="AJ150" s="219"/>
      <c r="AK150" s="219" t="str">
        <f t="shared" si="39"/>
        <v>3090</v>
      </c>
      <c r="AL150" s="244" t="str">
        <f t="shared" si="40"/>
        <v>00</v>
      </c>
      <c r="AN150" s="219" t="str">
        <f t="shared" si="41"/>
        <v>Formation et perfectionnement</v>
      </c>
    </row>
    <row r="151" spans="1:40" ht="15" customHeight="1" x14ac:dyDescent="0.3">
      <c r="A151" s="48"/>
      <c r="B151" s="81" t="s">
        <v>211</v>
      </c>
      <c r="C151" s="82" t="s">
        <v>80</v>
      </c>
      <c r="D151" s="183" t="s">
        <v>1416</v>
      </c>
      <c r="E151" s="183" t="s">
        <v>204</v>
      </c>
      <c r="F151" s="46">
        <v>200</v>
      </c>
      <c r="G151" s="183" t="s">
        <v>81</v>
      </c>
      <c r="H151" s="183"/>
      <c r="I151" s="51"/>
      <c r="J151" s="51"/>
      <c r="K151" s="51">
        <f t="shared" si="42"/>
        <v>0</v>
      </c>
      <c r="L151" s="51"/>
      <c r="M151" s="51"/>
      <c r="N151" s="51">
        <f t="shared" si="43"/>
        <v>0</v>
      </c>
      <c r="O151" s="51"/>
      <c r="P151" s="179" t="s">
        <v>1693</v>
      </c>
      <c r="Q151" s="179" t="s">
        <v>1540</v>
      </c>
      <c r="R151" s="179" t="s">
        <v>2131</v>
      </c>
      <c r="S151" s="47" t="s">
        <v>1543</v>
      </c>
      <c r="T151" s="54"/>
      <c r="U151" s="54"/>
      <c r="AA151">
        <f t="shared" si="34"/>
        <v>200</v>
      </c>
      <c r="AD151" t="str">
        <f t="shared" si="35"/>
        <v>309</v>
      </c>
      <c r="AE151">
        <f t="shared" si="36"/>
        <v>0</v>
      </c>
      <c r="AG151" s="50" t="str">
        <f t="shared" si="37"/>
        <v>Cours et cadeaux</v>
      </c>
      <c r="AH151" s="244" t="str">
        <f t="shared" si="38"/>
        <v>02100</v>
      </c>
      <c r="AI151" s="219"/>
      <c r="AJ151" s="219"/>
      <c r="AK151" s="219" t="str">
        <f t="shared" si="39"/>
        <v>3091</v>
      </c>
      <c r="AL151" s="244" t="str">
        <f t="shared" si="40"/>
        <v>00</v>
      </c>
      <c r="AN151" s="219" t="str">
        <f t="shared" si="41"/>
        <v>Recrutement</v>
      </c>
    </row>
    <row r="152" spans="1:40" ht="15" customHeight="1" x14ac:dyDescent="0.3">
      <c r="A152" s="48">
        <v>0</v>
      </c>
      <c r="B152" s="49" t="s">
        <v>212</v>
      </c>
      <c r="C152" s="50" t="s">
        <v>213</v>
      </c>
      <c r="D152" s="46" t="s">
        <v>1416</v>
      </c>
      <c r="E152" s="46" t="s">
        <v>204</v>
      </c>
      <c r="F152" s="46">
        <v>200</v>
      </c>
      <c r="G152" s="46" t="s">
        <v>48</v>
      </c>
      <c r="H152" s="46"/>
      <c r="I152" s="51">
        <v>0</v>
      </c>
      <c r="J152" s="51">
        <v>0</v>
      </c>
      <c r="K152" s="51">
        <f t="shared" si="42"/>
        <v>0</v>
      </c>
      <c r="L152" s="51">
        <v>1000</v>
      </c>
      <c r="M152" s="51">
        <v>0</v>
      </c>
      <c r="N152" s="51">
        <f t="shared" si="43"/>
        <v>1000</v>
      </c>
      <c r="O152" s="51">
        <v>-1030.02</v>
      </c>
      <c r="P152" s="179" t="s">
        <v>1693</v>
      </c>
      <c r="Q152" s="179" t="s">
        <v>1580</v>
      </c>
      <c r="R152" s="179" t="s">
        <v>2131</v>
      </c>
      <c r="S152" s="47" t="s">
        <v>1776</v>
      </c>
      <c r="T152" s="54"/>
      <c r="U152" s="54"/>
      <c r="AA152">
        <f t="shared" si="34"/>
        <v>200</v>
      </c>
      <c r="AD152" t="str">
        <f t="shared" si="35"/>
        <v>318</v>
      </c>
      <c r="AE152">
        <f t="shared" si="36"/>
        <v>0</v>
      </c>
      <c r="AG152" s="50" t="str">
        <f t="shared" si="37"/>
        <v>Frais de contentieux (Poursuites)</v>
      </c>
      <c r="AH152" s="244" t="str">
        <f t="shared" si="38"/>
        <v>02100</v>
      </c>
      <c r="AI152" s="219"/>
      <c r="AJ152" s="219"/>
      <c r="AK152" s="219" t="str">
        <f t="shared" si="39"/>
        <v>4260</v>
      </c>
      <c r="AL152" s="244" t="str">
        <f t="shared" si="40"/>
        <v>00</v>
      </c>
      <c r="AN152" s="219" t="str">
        <f t="shared" si="41"/>
        <v>Autres frais de poursuite - ORR</v>
      </c>
    </row>
    <row r="153" spans="1:40" ht="15" customHeight="1" x14ac:dyDescent="0.3">
      <c r="A153" s="48">
        <v>0</v>
      </c>
      <c r="B153" s="49" t="s">
        <v>214</v>
      </c>
      <c r="C153" s="50" t="s">
        <v>215</v>
      </c>
      <c r="D153" s="46" t="s">
        <v>1416</v>
      </c>
      <c r="E153" s="46" t="s">
        <v>204</v>
      </c>
      <c r="F153" s="46">
        <v>200</v>
      </c>
      <c r="G153" s="46" t="s">
        <v>28</v>
      </c>
      <c r="H153" s="46">
        <v>1</v>
      </c>
      <c r="I153" s="51">
        <v>0</v>
      </c>
      <c r="J153" s="51">
        <v>0</v>
      </c>
      <c r="K153" s="51">
        <f t="shared" si="42"/>
        <v>0</v>
      </c>
      <c r="L153" s="51">
        <v>0</v>
      </c>
      <c r="M153" s="51">
        <v>0</v>
      </c>
      <c r="N153" s="51">
        <f t="shared" si="43"/>
        <v>0</v>
      </c>
      <c r="O153" s="51">
        <v>0</v>
      </c>
      <c r="P153" s="179" t="s">
        <v>1489</v>
      </c>
      <c r="Q153" s="179" t="s">
        <v>1489</v>
      </c>
      <c r="R153" s="179" t="s">
        <v>1489</v>
      </c>
      <c r="S153" s="47"/>
      <c r="T153" s="54"/>
      <c r="U153" s="54"/>
      <c r="AA153">
        <f t="shared" si="34"/>
        <v>200</v>
      </c>
      <c r="AD153" t="str">
        <f t="shared" si="35"/>
        <v>390</v>
      </c>
      <c r="AE153">
        <f t="shared" si="36"/>
        <v>1</v>
      </c>
      <c r="AG153" s="50" t="str">
        <f t="shared" si="37"/>
        <v>Imputations internes salaires bourse</v>
      </c>
      <c r="AH153" s="244" t="str">
        <f t="shared" si="38"/>
        <v>-</v>
      </c>
      <c r="AI153" s="219"/>
      <c r="AJ153" s="219"/>
      <c r="AK153" s="219" t="str">
        <f t="shared" si="39"/>
        <v>-</v>
      </c>
      <c r="AL153" s="244" t="str">
        <f t="shared" si="40"/>
        <v>-</v>
      </c>
      <c r="AN153" s="219">
        <f t="shared" si="41"/>
        <v>0</v>
      </c>
    </row>
    <row r="154" spans="1:40" ht="15" customHeight="1" x14ac:dyDescent="0.3">
      <c r="A154" s="48">
        <v>0</v>
      </c>
      <c r="B154" s="74" t="s">
        <v>216</v>
      </c>
      <c r="C154" s="67" t="s">
        <v>217</v>
      </c>
      <c r="D154" s="188" t="s">
        <v>1416</v>
      </c>
      <c r="E154" s="188" t="s">
        <v>204</v>
      </c>
      <c r="F154" s="46">
        <v>200</v>
      </c>
      <c r="G154" s="188" t="s">
        <v>61</v>
      </c>
      <c r="H154" s="188"/>
      <c r="I154" s="51">
        <v>0</v>
      </c>
      <c r="J154" s="51">
        <v>-10186.14</v>
      </c>
      <c r="K154" s="51">
        <f t="shared" si="42"/>
        <v>-10186.14</v>
      </c>
      <c r="L154" s="51">
        <v>0</v>
      </c>
      <c r="M154" s="51">
        <v>-5000</v>
      </c>
      <c r="N154" s="51">
        <f t="shared" si="43"/>
        <v>-5000</v>
      </c>
      <c r="O154" s="51">
        <v>0</v>
      </c>
      <c r="P154" s="179" t="s">
        <v>1693</v>
      </c>
      <c r="Q154" s="179" t="s">
        <v>1443</v>
      </c>
      <c r="R154" s="179" t="s">
        <v>2131</v>
      </c>
      <c r="S154" s="47" t="s">
        <v>2029</v>
      </c>
      <c r="T154" s="54">
        <f>+J154</f>
        <v>-10186.14</v>
      </c>
      <c r="U154" s="54"/>
      <c r="W154" t="s">
        <v>1774</v>
      </c>
      <c r="AA154">
        <f t="shared" si="34"/>
        <v>200</v>
      </c>
      <c r="AD154" t="str">
        <f t="shared" si="35"/>
        <v>436</v>
      </c>
      <c r="AE154">
        <f t="shared" si="36"/>
        <v>0</v>
      </c>
      <c r="AG154" s="50" t="str">
        <f t="shared" si="37"/>
        <v>Remboursement de tiers DAP Frais de rappel</v>
      </c>
      <c r="AH154" s="244" t="str">
        <f t="shared" si="38"/>
        <v>02100</v>
      </c>
      <c r="AI154" s="219"/>
      <c r="AJ154" s="219"/>
      <c r="AK154" s="219" t="str">
        <f t="shared" si="39"/>
        <v>4612</v>
      </c>
      <c r="AL154" s="244" t="str">
        <f t="shared" si="40"/>
        <v>00</v>
      </c>
      <c r="AN154" s="219" t="str">
        <f t="shared" si="41"/>
        <v>Dédommagement des communes et associations intercommunales - Chéserex</v>
      </c>
    </row>
    <row r="155" spans="1:40" ht="15" customHeight="1" x14ac:dyDescent="0.3">
      <c r="A155" s="48"/>
      <c r="B155" s="74" t="s">
        <v>216</v>
      </c>
      <c r="C155" s="67" t="s">
        <v>217</v>
      </c>
      <c r="D155" s="188" t="s">
        <v>1416</v>
      </c>
      <c r="E155" s="188" t="s">
        <v>204</v>
      </c>
      <c r="F155" s="46">
        <v>200</v>
      </c>
      <c r="G155" s="188" t="s">
        <v>61</v>
      </c>
      <c r="H155" s="188"/>
      <c r="I155" s="51"/>
      <c r="J155" s="51"/>
      <c r="K155" s="51">
        <f t="shared" si="42"/>
        <v>0</v>
      </c>
      <c r="L155" s="51"/>
      <c r="M155" s="51"/>
      <c r="N155" s="51">
        <f t="shared" si="43"/>
        <v>0</v>
      </c>
      <c r="O155" s="51"/>
      <c r="P155" s="179" t="s">
        <v>1693</v>
      </c>
      <c r="Q155" s="179" t="s">
        <v>1580</v>
      </c>
      <c r="R155" s="179" t="s">
        <v>2131</v>
      </c>
      <c r="S155" s="47" t="s">
        <v>1776</v>
      </c>
      <c r="T155" s="54"/>
      <c r="U155" s="54"/>
      <c r="W155" t="s">
        <v>1777</v>
      </c>
      <c r="AA155">
        <f t="shared" si="34"/>
        <v>200</v>
      </c>
      <c r="AD155" t="str">
        <f t="shared" si="35"/>
        <v>436</v>
      </c>
      <c r="AE155">
        <f t="shared" si="36"/>
        <v>0</v>
      </c>
      <c r="AG155" s="50" t="str">
        <f t="shared" si="37"/>
        <v>Remboursement de tiers DAP Frais de rappel</v>
      </c>
      <c r="AH155" s="244" t="str">
        <f t="shared" si="38"/>
        <v>02100</v>
      </c>
      <c r="AI155" s="219"/>
      <c r="AJ155" s="219"/>
      <c r="AK155" s="219" t="str">
        <f t="shared" si="39"/>
        <v>4260</v>
      </c>
      <c r="AL155" s="244" t="str">
        <f t="shared" si="40"/>
        <v>00</v>
      </c>
      <c r="AN155" s="219" t="str">
        <f t="shared" si="41"/>
        <v>Autres frais de poursuite - ORR</v>
      </c>
    </row>
    <row r="156" spans="1:40" ht="15" customHeight="1" x14ac:dyDescent="0.3">
      <c r="A156" s="48">
        <v>0</v>
      </c>
      <c r="B156" s="49" t="s">
        <v>219</v>
      </c>
      <c r="C156" s="50" t="s">
        <v>220</v>
      </c>
      <c r="D156" s="46" t="s">
        <v>1416</v>
      </c>
      <c r="E156" s="46" t="s">
        <v>218</v>
      </c>
      <c r="F156" s="46">
        <v>210</v>
      </c>
      <c r="G156" s="46" t="s">
        <v>48</v>
      </c>
      <c r="H156" s="46"/>
      <c r="I156" s="51">
        <v>123483</v>
      </c>
      <c r="J156" s="51">
        <v>0</v>
      </c>
      <c r="K156" s="51">
        <f t="shared" si="42"/>
        <v>123483</v>
      </c>
      <c r="L156" s="51">
        <v>100000</v>
      </c>
      <c r="M156" s="51">
        <v>0</v>
      </c>
      <c r="N156" s="51">
        <f t="shared" si="43"/>
        <v>100000</v>
      </c>
      <c r="O156" s="51">
        <v>0</v>
      </c>
      <c r="P156" s="179" t="s">
        <v>1693</v>
      </c>
      <c r="Q156" s="179" t="s">
        <v>1573</v>
      </c>
      <c r="R156" s="179" t="s">
        <v>2131</v>
      </c>
      <c r="S156" s="47" t="s">
        <v>1747</v>
      </c>
      <c r="T156" s="54">
        <v>41701</v>
      </c>
      <c r="U156" s="54">
        <v>41701</v>
      </c>
      <c r="W156" t="s">
        <v>1750</v>
      </c>
      <c r="AA156">
        <f t="shared" si="34"/>
        <v>210</v>
      </c>
      <c r="AD156" t="str">
        <f t="shared" si="35"/>
        <v>318</v>
      </c>
      <c r="AE156">
        <f t="shared" si="36"/>
        <v>0</v>
      </c>
      <c r="AG156" s="50" t="str">
        <f t="shared" si="37"/>
        <v>Frais de perception</v>
      </c>
      <c r="AH156" s="244" t="str">
        <f t="shared" si="38"/>
        <v>02100</v>
      </c>
      <c r="AI156" s="219"/>
      <c r="AJ156" s="219"/>
      <c r="AK156" s="219" t="str">
        <f t="shared" si="39"/>
        <v>3137</v>
      </c>
      <c r="AL156" s="244" t="str">
        <f t="shared" si="40"/>
        <v>00</v>
      </c>
      <c r="AN156" s="219" t="str">
        <f t="shared" si="41"/>
        <v>Commission perception  - ACI</v>
      </c>
    </row>
    <row r="157" spans="1:40" ht="15" customHeight="1" x14ac:dyDescent="0.3">
      <c r="A157" s="48"/>
      <c r="B157" s="49"/>
      <c r="C157" s="50"/>
      <c r="D157" s="46"/>
      <c r="E157" s="46"/>
      <c r="F157" s="46"/>
      <c r="G157" s="46"/>
      <c r="H157" s="46"/>
      <c r="I157" s="51"/>
      <c r="J157" s="51"/>
      <c r="K157" s="51">
        <f t="shared" si="42"/>
        <v>0</v>
      </c>
      <c r="L157" s="51"/>
      <c r="M157" s="51"/>
      <c r="N157" s="51">
        <f t="shared" si="43"/>
        <v>0</v>
      </c>
      <c r="O157" s="51"/>
      <c r="P157" s="179" t="s">
        <v>1693</v>
      </c>
      <c r="Q157" s="179" t="s">
        <v>1580</v>
      </c>
      <c r="R157" s="179" t="s">
        <v>2132</v>
      </c>
      <c r="S157" s="47" t="s">
        <v>1775</v>
      </c>
      <c r="T157" s="54"/>
      <c r="U157" s="54"/>
      <c r="AA157">
        <f t="shared" si="34"/>
        <v>0</v>
      </c>
      <c r="AD157">
        <f t="shared" si="35"/>
        <v>0</v>
      </c>
      <c r="AE157">
        <f t="shared" si="36"/>
        <v>0</v>
      </c>
      <c r="AG157" s="50">
        <f t="shared" si="37"/>
        <v>0</v>
      </c>
      <c r="AH157" s="244" t="str">
        <f t="shared" si="38"/>
        <v>02100</v>
      </c>
      <c r="AI157" s="219"/>
      <c r="AJ157" s="219"/>
      <c r="AK157" s="219" t="str">
        <f t="shared" si="39"/>
        <v>4260</v>
      </c>
      <c r="AL157" s="244" t="str">
        <f t="shared" si="40"/>
        <v>01</v>
      </c>
      <c r="AN157" s="219" t="str">
        <f t="shared" si="41"/>
        <v>Remboursements frais de poursuite - ACI</v>
      </c>
    </row>
    <row r="158" spans="1:40" ht="15" customHeight="1" x14ac:dyDescent="0.3">
      <c r="A158" s="48"/>
      <c r="B158" s="49"/>
      <c r="C158" s="50"/>
      <c r="D158" s="46"/>
      <c r="E158" s="46"/>
      <c r="F158" s="46"/>
      <c r="G158" s="46"/>
      <c r="H158" s="46"/>
      <c r="I158" s="51"/>
      <c r="J158" s="51"/>
      <c r="K158" s="51">
        <f t="shared" si="42"/>
        <v>0</v>
      </c>
      <c r="L158" s="51"/>
      <c r="M158" s="51"/>
      <c r="N158" s="51">
        <f t="shared" si="43"/>
        <v>0</v>
      </c>
      <c r="O158" s="51"/>
      <c r="P158" s="47" t="s">
        <v>2160</v>
      </c>
      <c r="Q158" s="179" t="s">
        <v>2160</v>
      </c>
      <c r="R158" s="47" t="s">
        <v>2160</v>
      </c>
      <c r="S158" s="47" t="s">
        <v>2160</v>
      </c>
      <c r="T158" s="54">
        <v>54405</v>
      </c>
      <c r="U158" s="54">
        <v>54405</v>
      </c>
      <c r="W158" t="s">
        <v>1748</v>
      </c>
      <c r="AA158">
        <f t="shared" si="34"/>
        <v>0</v>
      </c>
      <c r="AD158">
        <f t="shared" si="35"/>
        <v>0</v>
      </c>
      <c r="AE158">
        <f t="shared" si="36"/>
        <v>0</v>
      </c>
      <c r="AG158" s="50">
        <f t="shared" si="37"/>
        <v>0</v>
      </c>
      <c r="AH158" s="244" t="str">
        <f t="shared" si="38"/>
        <v>A trouver</v>
      </c>
      <c r="AI158" s="219"/>
      <c r="AJ158" s="219"/>
      <c r="AK158" s="219" t="str">
        <f t="shared" si="39"/>
        <v>A trouver</v>
      </c>
      <c r="AL158" s="244" t="str">
        <f t="shared" si="40"/>
        <v>A trouver</v>
      </c>
      <c r="AN158" s="219" t="str">
        <f t="shared" si="41"/>
        <v>A trouver</v>
      </c>
    </row>
    <row r="159" spans="1:40" ht="15" customHeight="1" x14ac:dyDescent="0.3">
      <c r="A159" s="48"/>
      <c r="B159" s="49"/>
      <c r="C159" s="50"/>
      <c r="D159" s="46"/>
      <c r="E159" s="46"/>
      <c r="F159" s="46"/>
      <c r="G159" s="46"/>
      <c r="H159" s="46"/>
      <c r="I159" s="51"/>
      <c r="J159" s="51"/>
      <c r="K159" s="51">
        <f t="shared" si="42"/>
        <v>0</v>
      </c>
      <c r="L159" s="51"/>
      <c r="M159" s="51"/>
      <c r="N159" s="51">
        <f t="shared" si="43"/>
        <v>0</v>
      </c>
      <c r="O159" s="51"/>
      <c r="P159" s="47" t="s">
        <v>2160</v>
      </c>
      <c r="Q159" s="179" t="s">
        <v>2160</v>
      </c>
      <c r="R159" s="47" t="s">
        <v>2160</v>
      </c>
      <c r="S159" s="47" t="s">
        <v>2160</v>
      </c>
      <c r="T159" s="60">
        <v>27376.47</v>
      </c>
      <c r="U159" s="216">
        <v>27376.47</v>
      </c>
      <c r="W159" t="s">
        <v>1749</v>
      </c>
      <c r="AA159">
        <f t="shared" si="34"/>
        <v>0</v>
      </c>
      <c r="AD159">
        <f t="shared" si="35"/>
        <v>0</v>
      </c>
      <c r="AE159">
        <f t="shared" si="36"/>
        <v>0</v>
      </c>
      <c r="AG159" s="50">
        <f t="shared" si="37"/>
        <v>0</v>
      </c>
      <c r="AH159" s="244" t="str">
        <f t="shared" si="38"/>
        <v>A trouver</v>
      </c>
      <c r="AI159" s="219"/>
      <c r="AJ159" s="219"/>
      <c r="AK159" s="219" t="str">
        <f t="shared" si="39"/>
        <v>A trouver</v>
      </c>
      <c r="AL159" s="244" t="str">
        <f t="shared" si="40"/>
        <v>A trouver</v>
      </c>
      <c r="AN159" s="219" t="str">
        <f t="shared" si="41"/>
        <v>A trouver</v>
      </c>
    </row>
    <row r="160" spans="1:40" ht="15" customHeight="1" x14ac:dyDescent="0.3">
      <c r="A160" s="48">
        <v>0</v>
      </c>
      <c r="B160" s="49" t="s">
        <v>221</v>
      </c>
      <c r="C160" s="50" t="s">
        <v>222</v>
      </c>
      <c r="D160" s="46" t="s">
        <v>1416</v>
      </c>
      <c r="E160" s="46" t="s">
        <v>218</v>
      </c>
      <c r="F160" s="46">
        <v>210</v>
      </c>
      <c r="G160" s="46" t="s">
        <v>48</v>
      </c>
      <c r="H160" s="46">
        <v>1</v>
      </c>
      <c r="I160" s="51">
        <v>0</v>
      </c>
      <c r="J160" s="51">
        <v>0</v>
      </c>
      <c r="K160" s="51">
        <f t="shared" si="42"/>
        <v>0</v>
      </c>
      <c r="L160" s="51">
        <v>0</v>
      </c>
      <c r="M160" s="51">
        <v>0</v>
      </c>
      <c r="N160" s="51">
        <f t="shared" si="43"/>
        <v>0</v>
      </c>
      <c r="O160" s="51">
        <v>0</v>
      </c>
      <c r="P160" s="179" t="s">
        <v>1489</v>
      </c>
      <c r="Q160" s="179" t="s">
        <v>1489</v>
      </c>
      <c r="R160" s="179" t="s">
        <v>1489</v>
      </c>
      <c r="S160" s="47" t="s">
        <v>1489</v>
      </c>
      <c r="T160" s="54"/>
      <c r="U160" s="54"/>
      <c r="AA160">
        <f t="shared" si="34"/>
        <v>210</v>
      </c>
      <c r="AD160" t="str">
        <f t="shared" si="35"/>
        <v>318</v>
      </c>
      <c r="AE160">
        <f t="shared" si="36"/>
        <v>1</v>
      </c>
      <c r="AG160" s="50" t="str">
        <f t="shared" si="37"/>
        <v>Amende de soustract. d'impôt</v>
      </c>
      <c r="AH160" s="244" t="str">
        <f t="shared" si="38"/>
        <v>-</v>
      </c>
      <c r="AI160" s="219"/>
      <c r="AJ160" s="219"/>
      <c r="AK160" s="219" t="str">
        <f t="shared" si="39"/>
        <v>-</v>
      </c>
      <c r="AL160" s="244" t="str">
        <f t="shared" si="40"/>
        <v>-</v>
      </c>
      <c r="AN160" s="219" t="str">
        <f t="shared" si="41"/>
        <v>-</v>
      </c>
    </row>
    <row r="161" spans="1:40" ht="15" customHeight="1" x14ac:dyDescent="0.3">
      <c r="A161" s="48">
        <v>0</v>
      </c>
      <c r="B161" s="49" t="s">
        <v>223</v>
      </c>
      <c r="C161" s="50" t="s">
        <v>224</v>
      </c>
      <c r="D161" s="46" t="s">
        <v>1416</v>
      </c>
      <c r="E161" s="46" t="s">
        <v>218</v>
      </c>
      <c r="F161" s="46">
        <v>210</v>
      </c>
      <c r="G161" s="46" t="s">
        <v>93</v>
      </c>
      <c r="H161" s="46"/>
      <c r="I161" s="51">
        <v>0</v>
      </c>
      <c r="J161" s="51">
        <v>0</v>
      </c>
      <c r="K161" s="51">
        <f t="shared" si="42"/>
        <v>0</v>
      </c>
      <c r="L161" s="51">
        <v>0</v>
      </c>
      <c r="M161" s="51">
        <v>0</v>
      </c>
      <c r="N161" s="51">
        <f t="shared" si="43"/>
        <v>0</v>
      </c>
      <c r="O161" s="51">
        <v>0</v>
      </c>
      <c r="P161" s="179" t="s">
        <v>1489</v>
      </c>
      <c r="Q161" s="179" t="s">
        <v>1489</v>
      </c>
      <c r="R161" s="179" t="s">
        <v>1489</v>
      </c>
      <c r="S161" s="47" t="s">
        <v>1489</v>
      </c>
      <c r="T161" s="54"/>
      <c r="U161" s="54"/>
      <c r="AA161">
        <f t="shared" si="34"/>
        <v>210</v>
      </c>
      <c r="AD161" t="str">
        <f t="shared" si="35"/>
        <v>319</v>
      </c>
      <c r="AE161">
        <f t="shared" si="36"/>
        <v>0</v>
      </c>
      <c r="AG161" s="50" t="str">
        <f t="shared" si="37"/>
        <v>Défalcations, remises, modifications de taxes antérieures</v>
      </c>
      <c r="AH161" s="244" t="str">
        <f t="shared" si="38"/>
        <v>-</v>
      </c>
      <c r="AI161" s="219"/>
      <c r="AJ161" s="219"/>
      <c r="AK161" s="219" t="str">
        <f t="shared" si="39"/>
        <v>-</v>
      </c>
      <c r="AL161" s="244" t="str">
        <f t="shared" si="40"/>
        <v>-</v>
      </c>
      <c r="AN161" s="219" t="str">
        <f t="shared" si="41"/>
        <v>-</v>
      </c>
    </row>
    <row r="162" spans="1:40" ht="15" customHeight="1" x14ac:dyDescent="0.3">
      <c r="A162" s="48">
        <v>0</v>
      </c>
      <c r="B162" s="49" t="s">
        <v>225</v>
      </c>
      <c r="C162" s="50" t="s">
        <v>226</v>
      </c>
      <c r="D162" s="46" t="s">
        <v>1416</v>
      </c>
      <c r="E162" s="46" t="s">
        <v>218</v>
      </c>
      <c r="F162" s="46">
        <v>210</v>
      </c>
      <c r="G162" s="46" t="s">
        <v>227</v>
      </c>
      <c r="H162" s="46"/>
      <c r="I162" s="51">
        <v>7867.06</v>
      </c>
      <c r="J162" s="51">
        <v>0</v>
      </c>
      <c r="K162" s="51">
        <f t="shared" si="42"/>
        <v>7867.06</v>
      </c>
      <c r="L162" s="51">
        <v>2000</v>
      </c>
      <c r="M162" s="51">
        <v>0</v>
      </c>
      <c r="N162" s="51">
        <f t="shared" si="43"/>
        <v>2000</v>
      </c>
      <c r="O162" s="51">
        <v>0</v>
      </c>
      <c r="P162" s="179" t="s">
        <v>1736</v>
      </c>
      <c r="Q162" s="179" t="s">
        <v>1741</v>
      </c>
      <c r="R162" s="179" t="s">
        <v>2131</v>
      </c>
      <c r="S162" s="47" t="s">
        <v>1742</v>
      </c>
      <c r="T162" s="54">
        <f>+I162</f>
        <v>7867.06</v>
      </c>
      <c r="U162" s="54">
        <v>8000</v>
      </c>
      <c r="V162" s="7" t="s">
        <v>2094</v>
      </c>
      <c r="AA162">
        <f t="shared" si="34"/>
        <v>210</v>
      </c>
      <c r="AD162" t="str">
        <f t="shared" si="35"/>
        <v>329</v>
      </c>
      <c r="AE162">
        <f t="shared" si="36"/>
        <v>0</v>
      </c>
      <c r="AG162" s="50" t="str">
        <f t="shared" si="37"/>
        <v>Int. Rémunératoires</v>
      </c>
      <c r="AH162" s="244" t="str">
        <f t="shared" si="38"/>
        <v>96100</v>
      </c>
      <c r="AI162" s="219"/>
      <c r="AJ162" s="219"/>
      <c r="AK162" s="219" t="str">
        <f t="shared" si="39"/>
        <v>3400</v>
      </c>
      <c r="AL162" s="244" t="str">
        <f t="shared" si="40"/>
        <v>00</v>
      </c>
      <c r="AN162" s="219" t="str">
        <f t="shared" si="41"/>
        <v>Intérêts  bonifiés, rémun, compensatoires</v>
      </c>
    </row>
    <row r="163" spans="1:40" ht="15" customHeight="1" x14ac:dyDescent="0.3">
      <c r="A163" s="48">
        <v>0</v>
      </c>
      <c r="B163" s="74" t="s">
        <v>228</v>
      </c>
      <c r="C163" s="67" t="s">
        <v>229</v>
      </c>
      <c r="D163" s="188" t="s">
        <v>1416</v>
      </c>
      <c r="E163" s="188" t="s">
        <v>218</v>
      </c>
      <c r="F163" s="46">
        <v>210</v>
      </c>
      <c r="G163" s="188" t="s">
        <v>53</v>
      </c>
      <c r="H163" s="188"/>
      <c r="I163" s="51">
        <v>15699.13</v>
      </c>
      <c r="J163" s="51">
        <v>0</v>
      </c>
      <c r="K163" s="51">
        <f t="shared" si="42"/>
        <v>15699.13</v>
      </c>
      <c r="L163" s="51">
        <v>0</v>
      </c>
      <c r="M163" s="51">
        <v>0</v>
      </c>
      <c r="N163" s="51">
        <f t="shared" si="43"/>
        <v>0</v>
      </c>
      <c r="O163" s="51">
        <v>0</v>
      </c>
      <c r="P163" s="179" t="s">
        <v>1714</v>
      </c>
      <c r="Q163" s="179" t="s">
        <v>1681</v>
      </c>
      <c r="R163" s="179" t="s">
        <v>2131</v>
      </c>
      <c r="S163" s="47" t="s">
        <v>2040</v>
      </c>
      <c r="T163" s="54">
        <f>+I163</f>
        <v>15699.13</v>
      </c>
      <c r="U163" s="216">
        <v>15699.13</v>
      </c>
      <c r="V163" s="9">
        <v>3301</v>
      </c>
      <c r="W163" t="s">
        <v>1477</v>
      </c>
      <c r="AA163">
        <f t="shared" si="34"/>
        <v>210</v>
      </c>
      <c r="AD163" t="str">
        <f t="shared" si="35"/>
        <v>330</v>
      </c>
      <c r="AE163">
        <f t="shared" si="36"/>
        <v>0</v>
      </c>
      <c r="AG163" s="50" t="str">
        <f t="shared" si="37"/>
        <v>Défalcations</v>
      </c>
      <c r="AH163" s="244" t="str">
        <f t="shared" si="38"/>
        <v>91000</v>
      </c>
      <c r="AI163" s="219"/>
      <c r="AJ163" s="219"/>
      <c r="AK163" s="219" t="str">
        <f t="shared" si="39"/>
        <v>3181</v>
      </c>
      <c r="AL163" s="244" t="str">
        <f t="shared" si="40"/>
        <v>00</v>
      </c>
      <c r="AN163" s="219" t="str">
        <f t="shared" si="41"/>
        <v>Défalcation et abandon de solde</v>
      </c>
    </row>
    <row r="164" spans="1:40" ht="15" customHeight="1" x14ac:dyDescent="0.3">
      <c r="A164" s="48"/>
      <c r="B164" s="74" t="s">
        <v>228</v>
      </c>
      <c r="C164" s="67" t="s">
        <v>229</v>
      </c>
      <c r="D164" s="188" t="s">
        <v>1416</v>
      </c>
      <c r="E164" s="188" t="s">
        <v>218</v>
      </c>
      <c r="F164" s="46">
        <v>210</v>
      </c>
      <c r="G164" s="188" t="s">
        <v>53</v>
      </c>
      <c r="H164" s="188"/>
      <c r="I164" s="51"/>
      <c r="J164" s="51"/>
      <c r="K164" s="51">
        <f t="shared" si="42"/>
        <v>0</v>
      </c>
      <c r="L164" s="51"/>
      <c r="M164" s="51"/>
      <c r="N164" s="51">
        <f t="shared" si="43"/>
        <v>0</v>
      </c>
      <c r="O164" s="51"/>
      <c r="P164" s="179" t="s">
        <v>1736</v>
      </c>
      <c r="Q164" s="179" t="s">
        <v>1743</v>
      </c>
      <c r="R164" s="179" t="s">
        <v>2131</v>
      </c>
      <c r="S164" s="47" t="s">
        <v>1744</v>
      </c>
      <c r="T164" s="54"/>
      <c r="U164" s="60"/>
      <c r="V164" s="9"/>
      <c r="AA164">
        <f t="shared" si="34"/>
        <v>210</v>
      </c>
      <c r="AD164" t="str">
        <f t="shared" si="35"/>
        <v>330</v>
      </c>
      <c r="AE164">
        <f t="shared" si="36"/>
        <v>0</v>
      </c>
      <c r="AG164" s="50" t="str">
        <f t="shared" si="37"/>
        <v>Défalcations</v>
      </c>
      <c r="AH164" s="244" t="str">
        <f t="shared" si="38"/>
        <v>96100</v>
      </c>
      <c r="AI164" s="219"/>
      <c r="AJ164" s="219"/>
      <c r="AK164" s="219" t="str">
        <f t="shared" si="39"/>
        <v>3499</v>
      </c>
      <c r="AL164" s="244" t="str">
        <f t="shared" si="40"/>
        <v>00</v>
      </c>
      <c r="AN164" s="219" t="str">
        <f t="shared" si="41"/>
        <v>Remises PP et IS</v>
      </c>
    </row>
    <row r="165" spans="1:40" ht="15" customHeight="1" x14ac:dyDescent="0.3">
      <c r="A165" s="48">
        <v>0</v>
      </c>
      <c r="B165" s="49" t="s">
        <v>230</v>
      </c>
      <c r="C165" s="50" t="s">
        <v>231</v>
      </c>
      <c r="D165" s="46" t="s">
        <v>1416</v>
      </c>
      <c r="E165" s="46" t="s">
        <v>218</v>
      </c>
      <c r="F165" s="46">
        <v>210</v>
      </c>
      <c r="G165" s="46" t="s">
        <v>183</v>
      </c>
      <c r="H165" s="46"/>
      <c r="I165" s="51">
        <v>43133.09</v>
      </c>
      <c r="J165" s="51">
        <v>0</v>
      </c>
      <c r="K165" s="51">
        <f t="shared" si="42"/>
        <v>43133.09</v>
      </c>
      <c r="L165" s="51">
        <v>0</v>
      </c>
      <c r="M165" s="51">
        <v>0</v>
      </c>
      <c r="N165" s="51">
        <f t="shared" si="43"/>
        <v>0</v>
      </c>
      <c r="O165" s="51">
        <v>0</v>
      </c>
      <c r="P165" s="179" t="s">
        <v>1738</v>
      </c>
      <c r="Q165" s="179" t="s">
        <v>1546</v>
      </c>
      <c r="R165" s="179" t="s">
        <v>2134</v>
      </c>
      <c r="S165" s="217" t="s">
        <v>1740</v>
      </c>
      <c r="T165" s="54">
        <f>+I165</f>
        <v>43133.09</v>
      </c>
      <c r="U165" s="54"/>
      <c r="AA165">
        <f t="shared" si="34"/>
        <v>210</v>
      </c>
      <c r="AD165" t="str">
        <f t="shared" si="35"/>
        <v>351</v>
      </c>
      <c r="AE165">
        <f t="shared" si="36"/>
        <v>0</v>
      </c>
      <c r="AG165" s="50" t="str">
        <f t="shared" si="37"/>
        <v>Participation cantonale (RIE III + RFFA)</v>
      </c>
      <c r="AH165" s="244" t="str">
        <f t="shared" si="38"/>
        <v>95000</v>
      </c>
      <c r="AI165" s="219"/>
      <c r="AJ165" s="219"/>
      <c r="AK165" s="219" t="str">
        <f t="shared" si="39"/>
        <v>3601</v>
      </c>
      <c r="AL165" s="244" t="str">
        <f t="shared" si="40"/>
        <v>03</v>
      </c>
      <c r="AN165" s="219" t="str">
        <f t="shared" si="41"/>
        <v>RFFA</v>
      </c>
    </row>
    <row r="166" spans="1:40" ht="15" customHeight="1" x14ac:dyDescent="0.3">
      <c r="A166" s="48">
        <v>0</v>
      </c>
      <c r="B166" s="49" t="s">
        <v>232</v>
      </c>
      <c r="C166" s="50" t="s">
        <v>233</v>
      </c>
      <c r="D166" s="46" t="s">
        <v>1416</v>
      </c>
      <c r="E166" s="46" t="s">
        <v>218</v>
      </c>
      <c r="F166" s="46">
        <v>210</v>
      </c>
      <c r="G166" s="46" t="s">
        <v>6</v>
      </c>
      <c r="H166" s="46"/>
      <c r="I166" s="51">
        <v>130648</v>
      </c>
      <c r="J166" s="51">
        <v>0</v>
      </c>
      <c r="K166" s="51">
        <f t="shared" si="42"/>
        <v>130648</v>
      </c>
      <c r="L166" s="51">
        <v>0</v>
      </c>
      <c r="M166" s="51">
        <v>0</v>
      </c>
      <c r="N166" s="51">
        <f t="shared" si="43"/>
        <v>0</v>
      </c>
      <c r="O166" s="51">
        <v>0</v>
      </c>
      <c r="P166" s="179" t="s">
        <v>1714</v>
      </c>
      <c r="Q166" s="179" t="s">
        <v>1745</v>
      </c>
      <c r="R166" s="179" t="s">
        <v>2131</v>
      </c>
      <c r="S166" s="47" t="s">
        <v>2072</v>
      </c>
      <c r="T166" s="54">
        <f>+I166</f>
        <v>130648</v>
      </c>
      <c r="U166" s="54"/>
      <c r="W166" s="36" t="s">
        <v>1746</v>
      </c>
      <c r="AA166">
        <f t="shared" si="34"/>
        <v>210</v>
      </c>
      <c r="AD166" t="str">
        <f t="shared" si="35"/>
        <v>380</v>
      </c>
      <c r="AE166">
        <f t="shared" si="36"/>
        <v>0</v>
      </c>
      <c r="AG166" s="50" t="str">
        <f t="shared" si="37"/>
        <v>Attrib. Au fonds Provision sur créances d'impôts (9282.10)</v>
      </c>
      <c r="AH166" s="244" t="str">
        <f t="shared" si="38"/>
        <v>91000</v>
      </c>
      <c r="AI166" s="219"/>
      <c r="AJ166" s="219"/>
      <c r="AK166" s="219" t="str">
        <f t="shared" si="39"/>
        <v>3180</v>
      </c>
      <c r="AL166" s="244" t="str">
        <f t="shared" si="40"/>
        <v>00</v>
      </c>
      <c r="AN166" s="219" t="str">
        <f t="shared" si="41"/>
        <v>Réévaluation sur créances - impôts</v>
      </c>
    </row>
    <row r="167" spans="1:40" ht="15" customHeight="1" x14ac:dyDescent="0.3">
      <c r="A167" s="48">
        <v>0</v>
      </c>
      <c r="B167" s="74" t="s">
        <v>234</v>
      </c>
      <c r="C167" s="67" t="s">
        <v>235</v>
      </c>
      <c r="D167" s="188" t="s">
        <v>1416</v>
      </c>
      <c r="E167" s="188" t="s">
        <v>218</v>
      </c>
      <c r="F167" s="46">
        <v>210</v>
      </c>
      <c r="G167" s="188" t="s">
        <v>236</v>
      </c>
      <c r="H167" s="188"/>
      <c r="I167" s="51">
        <v>0</v>
      </c>
      <c r="J167" s="51">
        <v>-7719194.3499999996</v>
      </c>
      <c r="K167" s="51">
        <f t="shared" si="42"/>
        <v>-7719194.3499999996</v>
      </c>
      <c r="L167" s="51">
        <v>0</v>
      </c>
      <c r="M167" s="51">
        <v>-6850000</v>
      </c>
      <c r="N167" s="51">
        <f t="shared" si="43"/>
        <v>-6850000</v>
      </c>
      <c r="O167" s="51">
        <v>0</v>
      </c>
      <c r="P167" s="179" t="s">
        <v>1714</v>
      </c>
      <c r="Q167" s="179" t="s">
        <v>1706</v>
      </c>
      <c r="R167" s="179" t="s">
        <v>2131</v>
      </c>
      <c r="S167" s="47" t="s">
        <v>1719</v>
      </c>
      <c r="T167" s="54">
        <f>+J167</f>
        <v>-7719194.3499999996</v>
      </c>
      <c r="U167" s="216">
        <v>-7700594.3499999996</v>
      </c>
      <c r="V167" s="9">
        <v>4001</v>
      </c>
      <c r="AA167">
        <f t="shared" si="34"/>
        <v>210</v>
      </c>
      <c r="AD167" t="str">
        <f t="shared" si="35"/>
        <v>400</v>
      </c>
      <c r="AE167">
        <f t="shared" si="36"/>
        <v>0</v>
      </c>
      <c r="AG167" s="50" t="str">
        <f t="shared" si="37"/>
        <v>Impôt sur le revenu PP</v>
      </c>
      <c r="AH167" s="244" t="str">
        <f t="shared" si="38"/>
        <v>91000</v>
      </c>
      <c r="AI167" s="219"/>
      <c r="AJ167" s="219"/>
      <c r="AK167" s="219" t="str">
        <f t="shared" si="39"/>
        <v>4000</v>
      </c>
      <c r="AL167" s="244" t="str">
        <f t="shared" si="40"/>
        <v>00</v>
      </c>
      <c r="AN167" s="219" t="str">
        <f t="shared" si="41"/>
        <v>Impôt sur le revenu - PP</v>
      </c>
    </row>
    <row r="168" spans="1:40" ht="15" customHeight="1" x14ac:dyDescent="0.3">
      <c r="A168" s="48"/>
      <c r="B168" s="74" t="s">
        <v>234</v>
      </c>
      <c r="C168" s="67" t="s">
        <v>235</v>
      </c>
      <c r="D168" s="188" t="s">
        <v>1416</v>
      </c>
      <c r="E168" s="188" t="s">
        <v>218</v>
      </c>
      <c r="F168" s="46">
        <v>210</v>
      </c>
      <c r="G168" s="188" t="s">
        <v>236</v>
      </c>
      <c r="H168" s="188"/>
      <c r="I168" s="51"/>
      <c r="J168" s="51"/>
      <c r="K168" s="51">
        <f t="shared" si="42"/>
        <v>0</v>
      </c>
      <c r="L168" s="51"/>
      <c r="M168" s="51"/>
      <c r="N168" s="51">
        <f t="shared" si="43"/>
        <v>0</v>
      </c>
      <c r="O168" s="51"/>
      <c r="P168" s="179" t="s">
        <v>1693</v>
      </c>
      <c r="Q168" s="179" t="s">
        <v>1706</v>
      </c>
      <c r="R168" s="179" t="s">
        <v>2131</v>
      </c>
      <c r="S168" s="47" t="s">
        <v>1713</v>
      </c>
      <c r="T168" s="54"/>
      <c r="U168" s="60"/>
      <c r="V168" s="9"/>
      <c r="AA168">
        <f t="shared" si="34"/>
        <v>210</v>
      </c>
      <c r="AD168" t="str">
        <f t="shared" si="35"/>
        <v>400</v>
      </c>
      <c r="AE168">
        <f t="shared" si="36"/>
        <v>0</v>
      </c>
      <c r="AG168" s="50" t="str">
        <f t="shared" si="37"/>
        <v>Impôt sur le revenu PP</v>
      </c>
      <c r="AH168" s="244" t="str">
        <f t="shared" si="38"/>
        <v>02100</v>
      </c>
      <c r="AI168" s="219"/>
      <c r="AJ168" s="219"/>
      <c r="AK168" s="219" t="str">
        <f t="shared" si="39"/>
        <v>4000</v>
      </c>
      <c r="AL168" s="244" t="str">
        <f t="shared" si="40"/>
        <v>00</v>
      </c>
      <c r="AN168" s="219" t="str">
        <f t="shared" si="41"/>
        <v>Amende de soustraction d'impôts</v>
      </c>
    </row>
    <row r="169" spans="1:40" ht="15" customHeight="1" x14ac:dyDescent="0.3">
      <c r="A169" s="48">
        <v>0</v>
      </c>
      <c r="B169" s="49" t="s">
        <v>237</v>
      </c>
      <c r="C169" s="50" t="s">
        <v>238</v>
      </c>
      <c r="D169" s="46" t="s">
        <v>1416</v>
      </c>
      <c r="E169" s="46" t="s">
        <v>218</v>
      </c>
      <c r="F169" s="46">
        <v>210</v>
      </c>
      <c r="G169" s="46" t="s">
        <v>236</v>
      </c>
      <c r="H169" s="46">
        <v>1</v>
      </c>
      <c r="I169" s="51">
        <v>0</v>
      </c>
      <c r="J169" s="51">
        <v>-2034240.9</v>
      </c>
      <c r="K169" s="51">
        <f t="shared" si="42"/>
        <v>-2034240.9</v>
      </c>
      <c r="L169" s="51">
        <v>0</v>
      </c>
      <c r="M169" s="51">
        <v>-2045000</v>
      </c>
      <c r="N169" s="51">
        <f t="shared" si="43"/>
        <v>-2045000</v>
      </c>
      <c r="O169" s="51">
        <v>0</v>
      </c>
      <c r="P169" s="179" t="s">
        <v>1714</v>
      </c>
      <c r="Q169" s="179" t="s">
        <v>1715</v>
      </c>
      <c r="R169" s="179" t="s">
        <v>2131</v>
      </c>
      <c r="S169" s="47" t="s">
        <v>1718</v>
      </c>
      <c r="T169" s="54">
        <f t="shared" ref="T169:T183" si="44">+J169</f>
        <v>-2034240.9</v>
      </c>
      <c r="U169" s="216">
        <v>-2034240.9</v>
      </c>
      <c r="V169" s="9">
        <v>4002</v>
      </c>
      <c r="AA169">
        <f t="shared" si="34"/>
        <v>210</v>
      </c>
      <c r="AD169" t="str">
        <f t="shared" si="35"/>
        <v>400</v>
      </c>
      <c r="AE169">
        <f t="shared" si="36"/>
        <v>1</v>
      </c>
      <c r="AG169" s="50" t="str">
        <f t="shared" si="37"/>
        <v>Impôt sur la fortune PP</v>
      </c>
      <c r="AH169" s="244" t="str">
        <f t="shared" si="38"/>
        <v>91000</v>
      </c>
      <c r="AI169" s="219"/>
      <c r="AJ169" s="219"/>
      <c r="AK169" s="219" t="str">
        <f t="shared" si="39"/>
        <v>4001</v>
      </c>
      <c r="AL169" s="244" t="str">
        <f t="shared" si="40"/>
        <v>00</v>
      </c>
      <c r="AN169" s="219" t="str">
        <f t="shared" si="41"/>
        <v>Impôt sur la fortune - PP</v>
      </c>
    </row>
    <row r="170" spans="1:40" ht="15" customHeight="1" x14ac:dyDescent="0.3">
      <c r="A170" s="48">
        <v>0</v>
      </c>
      <c r="B170" s="49" t="s">
        <v>239</v>
      </c>
      <c r="C170" s="50" t="s">
        <v>240</v>
      </c>
      <c r="D170" s="46" t="s">
        <v>1416</v>
      </c>
      <c r="E170" s="46" t="s">
        <v>218</v>
      </c>
      <c r="F170" s="46">
        <v>210</v>
      </c>
      <c r="G170" s="46" t="s">
        <v>236</v>
      </c>
      <c r="H170" s="46">
        <v>2</v>
      </c>
      <c r="I170" s="51">
        <v>0</v>
      </c>
      <c r="J170" s="51">
        <v>-141728.22</v>
      </c>
      <c r="K170" s="51">
        <f t="shared" si="42"/>
        <v>-141728.22</v>
      </c>
      <c r="L170" s="51">
        <v>0</v>
      </c>
      <c r="M170" s="51">
        <v>-75000</v>
      </c>
      <c r="N170" s="51">
        <f t="shared" si="43"/>
        <v>-75000</v>
      </c>
      <c r="O170" s="51">
        <v>0</v>
      </c>
      <c r="P170" s="179" t="s">
        <v>1714</v>
      </c>
      <c r="Q170" s="179" t="s">
        <v>1716</v>
      </c>
      <c r="R170" s="179" t="s">
        <v>2131</v>
      </c>
      <c r="S170" s="47" t="s">
        <v>240</v>
      </c>
      <c r="T170" s="54">
        <f t="shared" si="44"/>
        <v>-141728.22</v>
      </c>
      <c r="U170" s="216">
        <v>-141728.22</v>
      </c>
      <c r="V170" s="9">
        <v>4003</v>
      </c>
      <c r="AA170">
        <f t="shared" si="34"/>
        <v>210</v>
      </c>
      <c r="AD170" t="str">
        <f t="shared" si="35"/>
        <v>400</v>
      </c>
      <c r="AE170">
        <f t="shared" si="36"/>
        <v>2</v>
      </c>
      <c r="AG170" s="50" t="str">
        <f t="shared" si="37"/>
        <v>Impôt à la source</v>
      </c>
      <c r="AH170" s="244" t="str">
        <f t="shared" si="38"/>
        <v>91000</v>
      </c>
      <c r="AI170" s="219"/>
      <c r="AJ170" s="219"/>
      <c r="AK170" s="219" t="str">
        <f t="shared" si="39"/>
        <v>4002</v>
      </c>
      <c r="AL170" s="244" t="str">
        <f t="shared" si="40"/>
        <v>00</v>
      </c>
      <c r="AN170" s="219" t="str">
        <f t="shared" si="41"/>
        <v>Impôt à la source</v>
      </c>
    </row>
    <row r="171" spans="1:40" ht="15" customHeight="1" x14ac:dyDescent="0.3">
      <c r="A171" s="48">
        <v>0</v>
      </c>
      <c r="B171" s="49" t="s">
        <v>241</v>
      </c>
      <c r="C171" s="50" t="s">
        <v>242</v>
      </c>
      <c r="D171" s="46" t="s">
        <v>1416</v>
      </c>
      <c r="E171" s="46" t="s">
        <v>218</v>
      </c>
      <c r="F171" s="46">
        <v>210</v>
      </c>
      <c r="G171" s="46" t="s">
        <v>236</v>
      </c>
      <c r="H171" s="46">
        <v>3</v>
      </c>
      <c r="I171" s="51">
        <v>0</v>
      </c>
      <c r="J171" s="51">
        <v>-653939.36</v>
      </c>
      <c r="K171" s="51">
        <f t="shared" si="42"/>
        <v>-653939.36</v>
      </c>
      <c r="L171" s="51">
        <v>0</v>
      </c>
      <c r="M171" s="51">
        <v>-520000</v>
      </c>
      <c r="N171" s="51">
        <f t="shared" si="43"/>
        <v>-520000</v>
      </c>
      <c r="O171" s="51">
        <v>0</v>
      </c>
      <c r="P171" s="179" t="s">
        <v>1714</v>
      </c>
      <c r="Q171" s="179" t="s">
        <v>1720</v>
      </c>
      <c r="R171" s="179" t="s">
        <v>2131</v>
      </c>
      <c r="S171" s="47" t="s">
        <v>1721</v>
      </c>
      <c r="T171" s="54">
        <f t="shared" si="44"/>
        <v>-653939.36</v>
      </c>
      <c r="U171" s="216">
        <v>-653939.36</v>
      </c>
      <c r="V171" s="9">
        <v>4004</v>
      </c>
      <c r="AA171">
        <f t="shared" si="34"/>
        <v>210</v>
      </c>
      <c r="AD171" t="str">
        <f t="shared" si="35"/>
        <v>400</v>
      </c>
      <c r="AE171">
        <f t="shared" si="36"/>
        <v>3</v>
      </c>
      <c r="AG171" s="50" t="str">
        <f t="shared" si="37"/>
        <v>Impôt sur la dépense (anc. Spécial étranger)</v>
      </c>
      <c r="AH171" s="244" t="str">
        <f t="shared" si="38"/>
        <v>91000</v>
      </c>
      <c r="AI171" s="219"/>
      <c r="AJ171" s="219"/>
      <c r="AK171" s="219" t="str">
        <f t="shared" si="39"/>
        <v>4009</v>
      </c>
      <c r="AL171" s="244" t="str">
        <f t="shared" si="40"/>
        <v>00</v>
      </c>
      <c r="AN171" s="219" t="str">
        <f t="shared" si="41"/>
        <v>Impôt spécial étrangers</v>
      </c>
    </row>
    <row r="172" spans="1:40" ht="15" customHeight="1" x14ac:dyDescent="0.3">
      <c r="A172" s="48">
        <v>0</v>
      </c>
      <c r="B172" s="49" t="s">
        <v>243</v>
      </c>
      <c r="C172" s="50" t="s">
        <v>244</v>
      </c>
      <c r="D172" s="46" t="s">
        <v>1416</v>
      </c>
      <c r="E172" s="46" t="s">
        <v>218</v>
      </c>
      <c r="F172" s="46">
        <v>210</v>
      </c>
      <c r="G172" s="46" t="s">
        <v>245</v>
      </c>
      <c r="H172" s="46">
        <v>1</v>
      </c>
      <c r="I172" s="51">
        <v>0</v>
      </c>
      <c r="J172" s="51">
        <v>-195703.75</v>
      </c>
      <c r="K172" s="51">
        <f t="shared" ref="K172:K203" si="45">+I172+J172</f>
        <v>-195703.75</v>
      </c>
      <c r="L172" s="51">
        <v>0</v>
      </c>
      <c r="M172" s="51">
        <v>110000</v>
      </c>
      <c r="N172" s="51">
        <f t="shared" si="43"/>
        <v>110000</v>
      </c>
      <c r="O172" s="51">
        <v>0</v>
      </c>
      <c r="P172" s="179" t="s">
        <v>1714</v>
      </c>
      <c r="Q172" s="179" t="s">
        <v>1723</v>
      </c>
      <c r="R172" s="179" t="s">
        <v>2131</v>
      </c>
      <c r="S172" s="47" t="s">
        <v>1722</v>
      </c>
      <c r="T172" s="54">
        <f t="shared" si="44"/>
        <v>-195703.75</v>
      </c>
      <c r="U172" s="216">
        <v>-195703.75</v>
      </c>
      <c r="V172" s="9">
        <v>4011</v>
      </c>
      <c r="AA172">
        <f t="shared" si="34"/>
        <v>210</v>
      </c>
      <c r="AD172" t="str">
        <f t="shared" si="35"/>
        <v>401</v>
      </c>
      <c r="AE172">
        <f t="shared" si="36"/>
        <v>1</v>
      </c>
      <c r="AG172" s="50" t="str">
        <f t="shared" si="37"/>
        <v>Impôt sur bénéfice net PM</v>
      </c>
      <c r="AH172" s="244" t="str">
        <f t="shared" si="38"/>
        <v>91000</v>
      </c>
      <c r="AI172" s="219"/>
      <c r="AJ172" s="219"/>
      <c r="AK172" s="219" t="str">
        <f t="shared" si="39"/>
        <v>4010</v>
      </c>
      <c r="AL172" s="244" t="str">
        <f t="shared" si="40"/>
        <v>00</v>
      </c>
      <c r="AN172" s="219" t="str">
        <f t="shared" si="41"/>
        <v>Impôt bénéfice PM</v>
      </c>
    </row>
    <row r="173" spans="1:40" ht="15" customHeight="1" x14ac:dyDescent="0.3">
      <c r="A173" s="48">
        <v>0</v>
      </c>
      <c r="B173" s="49" t="s">
        <v>246</v>
      </c>
      <c r="C173" s="50" t="s">
        <v>247</v>
      </c>
      <c r="D173" s="46" t="s">
        <v>1416</v>
      </c>
      <c r="E173" s="46" t="s">
        <v>218</v>
      </c>
      <c r="F173" s="46">
        <v>210</v>
      </c>
      <c r="G173" s="46" t="s">
        <v>245</v>
      </c>
      <c r="H173" s="46">
        <v>2</v>
      </c>
      <c r="I173" s="51">
        <v>0</v>
      </c>
      <c r="J173" s="51">
        <v>-50600.95</v>
      </c>
      <c r="K173" s="51">
        <f t="shared" si="45"/>
        <v>-50600.95</v>
      </c>
      <c r="L173" s="51">
        <v>0</v>
      </c>
      <c r="M173" s="51">
        <v>-27000</v>
      </c>
      <c r="N173" s="51">
        <f t="shared" si="43"/>
        <v>-27000</v>
      </c>
      <c r="O173" s="51">
        <v>0</v>
      </c>
      <c r="P173" s="179" t="s">
        <v>1714</v>
      </c>
      <c r="Q173" s="179" t="s">
        <v>1717</v>
      </c>
      <c r="R173" s="179" t="s">
        <v>2131</v>
      </c>
      <c r="S173" s="47" t="s">
        <v>2069</v>
      </c>
      <c r="T173" s="54">
        <f t="shared" si="44"/>
        <v>-50600.95</v>
      </c>
      <c r="U173" s="216">
        <v>-50600.95</v>
      </c>
      <c r="V173" s="9">
        <v>4012</v>
      </c>
      <c r="AA173">
        <f t="shared" si="34"/>
        <v>210</v>
      </c>
      <c r="AD173" t="str">
        <f t="shared" si="35"/>
        <v>401</v>
      </c>
      <c r="AE173">
        <f t="shared" si="36"/>
        <v>2</v>
      </c>
      <c r="AG173" s="50" t="str">
        <f t="shared" si="37"/>
        <v>Impôt sur le capital</v>
      </c>
      <c r="AH173" s="244" t="str">
        <f t="shared" si="38"/>
        <v>91000</v>
      </c>
      <c r="AI173" s="219"/>
      <c r="AJ173" s="219"/>
      <c r="AK173" s="219" t="str">
        <f t="shared" si="39"/>
        <v>4011</v>
      </c>
      <c r="AL173" s="244" t="str">
        <f t="shared" si="40"/>
        <v>00</v>
      </c>
      <c r="AN173" s="219" t="str">
        <f t="shared" si="41"/>
        <v>Impôt sur le capital - PM</v>
      </c>
    </row>
    <row r="174" spans="1:40" ht="15" customHeight="1" x14ac:dyDescent="0.3">
      <c r="A174" s="48">
        <v>0</v>
      </c>
      <c r="B174" s="49" t="s">
        <v>248</v>
      </c>
      <c r="C174" s="50" t="s">
        <v>249</v>
      </c>
      <c r="D174" s="46" t="s">
        <v>1416</v>
      </c>
      <c r="E174" s="46" t="s">
        <v>218</v>
      </c>
      <c r="F174" s="46">
        <v>210</v>
      </c>
      <c r="G174" s="46" t="s">
        <v>245</v>
      </c>
      <c r="H174" s="46">
        <v>3</v>
      </c>
      <c r="I174" s="51">
        <v>0</v>
      </c>
      <c r="J174" s="51">
        <v>-49101.2</v>
      </c>
      <c r="K174" s="51">
        <f t="shared" si="45"/>
        <v>-49101.2</v>
      </c>
      <c r="L174" s="51">
        <v>0</v>
      </c>
      <c r="M174" s="51">
        <v>-49000</v>
      </c>
      <c r="N174" s="51">
        <f t="shared" si="43"/>
        <v>-49000</v>
      </c>
      <c r="O174" s="51">
        <v>0</v>
      </c>
      <c r="P174" s="179" t="s">
        <v>1714</v>
      </c>
      <c r="Q174" s="179" t="s">
        <v>1724</v>
      </c>
      <c r="R174" s="179" t="s">
        <v>2131</v>
      </c>
      <c r="S174" s="47" t="s">
        <v>1725</v>
      </c>
      <c r="T174" s="54">
        <f t="shared" si="44"/>
        <v>-49101.2</v>
      </c>
      <c r="U174" s="216">
        <v>-49101.2</v>
      </c>
      <c r="V174" s="9">
        <v>4013</v>
      </c>
      <c r="AA174">
        <f t="shared" si="34"/>
        <v>210</v>
      </c>
      <c r="AD174" t="str">
        <f t="shared" si="35"/>
        <v>401</v>
      </c>
      <c r="AE174">
        <f t="shared" si="36"/>
        <v>3</v>
      </c>
      <c r="AG174" s="50" t="str">
        <f t="shared" si="37"/>
        <v>Impôt cpl. Sur les immeubles PM</v>
      </c>
      <c r="AH174" s="244" t="str">
        <f t="shared" si="38"/>
        <v>91000</v>
      </c>
      <c r="AI174" s="219"/>
      <c r="AJ174" s="219"/>
      <c r="AK174" s="219" t="str">
        <f t="shared" si="39"/>
        <v>4019</v>
      </c>
      <c r="AL174" s="244" t="str">
        <f t="shared" si="40"/>
        <v>00</v>
      </c>
      <c r="AN174" s="219" t="str">
        <f t="shared" si="41"/>
        <v>Impôt sur les immeubles</v>
      </c>
    </row>
    <row r="175" spans="1:40" ht="15" customHeight="1" x14ac:dyDescent="0.3">
      <c r="A175" s="48">
        <v>0</v>
      </c>
      <c r="B175" s="49" t="s">
        <v>250</v>
      </c>
      <c r="C175" s="50" t="s">
        <v>251</v>
      </c>
      <c r="D175" s="46" t="s">
        <v>1416</v>
      </c>
      <c r="E175" s="46" t="s">
        <v>218</v>
      </c>
      <c r="F175" s="46">
        <v>210</v>
      </c>
      <c r="G175" s="46" t="s">
        <v>252</v>
      </c>
      <c r="H175" s="46"/>
      <c r="I175" s="51">
        <v>0</v>
      </c>
      <c r="J175" s="51">
        <v>-764831.05</v>
      </c>
      <c r="K175" s="51">
        <f t="shared" si="45"/>
        <v>-764831.05</v>
      </c>
      <c r="L175" s="51">
        <v>0</v>
      </c>
      <c r="M175" s="51">
        <v>-752000</v>
      </c>
      <c r="N175" s="51">
        <f t="shared" si="43"/>
        <v>-752000</v>
      </c>
      <c r="O175" s="51">
        <v>0</v>
      </c>
      <c r="P175" s="179" t="s">
        <v>1714</v>
      </c>
      <c r="Q175" s="179" t="s">
        <v>1726</v>
      </c>
      <c r="R175" s="179" t="s">
        <v>2131</v>
      </c>
      <c r="S175" s="47" t="s">
        <v>251</v>
      </c>
      <c r="T175" s="54">
        <f t="shared" si="44"/>
        <v>-764831.05</v>
      </c>
      <c r="U175" s="216">
        <v>-764831.05</v>
      </c>
      <c r="V175" s="9">
        <v>4198</v>
      </c>
      <c r="AA175">
        <f t="shared" si="34"/>
        <v>210</v>
      </c>
      <c r="AD175" t="str">
        <f t="shared" si="35"/>
        <v>402</v>
      </c>
      <c r="AE175">
        <f t="shared" si="36"/>
        <v>0</v>
      </c>
      <c r="AG175" s="50" t="str">
        <f t="shared" si="37"/>
        <v>Impôt foncier</v>
      </c>
      <c r="AH175" s="244" t="str">
        <f t="shared" si="38"/>
        <v>91000</v>
      </c>
      <c r="AI175" s="219"/>
      <c r="AJ175" s="219"/>
      <c r="AK175" s="219" t="str">
        <f t="shared" si="39"/>
        <v>4021</v>
      </c>
      <c r="AL175" s="244" t="str">
        <f t="shared" si="40"/>
        <v>00</v>
      </c>
      <c r="AN175" s="219" t="str">
        <f t="shared" si="41"/>
        <v>Impôt foncier</v>
      </c>
    </row>
    <row r="176" spans="1:40" ht="15" customHeight="1" x14ac:dyDescent="0.3">
      <c r="A176" s="48">
        <v>0</v>
      </c>
      <c r="B176" s="49" t="s">
        <v>253</v>
      </c>
      <c r="C176" s="50" t="s">
        <v>254</v>
      </c>
      <c r="D176" s="46" t="s">
        <v>1416</v>
      </c>
      <c r="E176" s="46" t="s">
        <v>218</v>
      </c>
      <c r="F176" s="46">
        <v>210</v>
      </c>
      <c r="G176" s="46" t="s">
        <v>255</v>
      </c>
      <c r="H176" s="46"/>
      <c r="I176" s="51">
        <v>0</v>
      </c>
      <c r="J176" s="51">
        <v>-589081.94999999995</v>
      </c>
      <c r="K176" s="51">
        <f t="shared" si="45"/>
        <v>-589081.94999999995</v>
      </c>
      <c r="L176" s="51">
        <v>0</v>
      </c>
      <c r="M176" s="51">
        <v>-382000</v>
      </c>
      <c r="N176" s="51">
        <f t="shared" si="43"/>
        <v>-382000</v>
      </c>
      <c r="O176" s="51">
        <v>0</v>
      </c>
      <c r="P176" s="179" t="s">
        <v>1714</v>
      </c>
      <c r="Q176" s="179" t="s">
        <v>1727</v>
      </c>
      <c r="R176" s="179" t="s">
        <v>2131</v>
      </c>
      <c r="S176" s="47" t="s">
        <v>1728</v>
      </c>
      <c r="T176" s="54">
        <f t="shared" si="44"/>
        <v>-589081.94999999995</v>
      </c>
      <c r="U176" s="61">
        <f>-589081.95+100000</f>
        <v>-489081.94999999995</v>
      </c>
      <c r="V176" s="9">
        <v>4041</v>
      </c>
      <c r="AA176">
        <f t="shared" si="34"/>
        <v>210</v>
      </c>
      <c r="AD176" t="str">
        <f t="shared" si="35"/>
        <v>404</v>
      </c>
      <c r="AE176">
        <f t="shared" si="36"/>
        <v>0</v>
      </c>
      <c r="AG176" s="50" t="str">
        <f t="shared" si="37"/>
        <v>Impôt sur le droit de mutation</v>
      </c>
      <c r="AH176" s="244" t="str">
        <f t="shared" si="38"/>
        <v>91000</v>
      </c>
      <c r="AI176" s="219"/>
      <c r="AJ176" s="219"/>
      <c r="AK176" s="219" t="str">
        <f t="shared" si="39"/>
        <v>4023</v>
      </c>
      <c r="AL176" s="244" t="str">
        <f t="shared" si="40"/>
        <v>00</v>
      </c>
      <c r="AN176" s="219" t="str">
        <f t="shared" si="41"/>
        <v>Droits de mutation</v>
      </c>
    </row>
    <row r="177" spans="1:40" ht="15" customHeight="1" x14ac:dyDescent="0.3">
      <c r="A177" s="48">
        <v>0</v>
      </c>
      <c r="B177" s="49" t="s">
        <v>256</v>
      </c>
      <c r="C177" s="50" t="s">
        <v>257</v>
      </c>
      <c r="D177" s="46" t="s">
        <v>1416</v>
      </c>
      <c r="E177" s="46" t="s">
        <v>218</v>
      </c>
      <c r="F177" s="46">
        <v>210</v>
      </c>
      <c r="G177" s="46" t="s">
        <v>258</v>
      </c>
      <c r="H177" s="46"/>
      <c r="I177" s="51">
        <v>0</v>
      </c>
      <c r="J177" s="51">
        <v>-1028831.7</v>
      </c>
      <c r="K177" s="51">
        <f t="shared" si="45"/>
        <v>-1028831.7</v>
      </c>
      <c r="L177" s="51">
        <v>0</v>
      </c>
      <c r="M177" s="51">
        <v>-165000</v>
      </c>
      <c r="N177" s="51">
        <f t="shared" si="43"/>
        <v>-165000</v>
      </c>
      <c r="O177" s="51">
        <v>0</v>
      </c>
      <c r="P177" s="179" t="s">
        <v>1714</v>
      </c>
      <c r="Q177" s="179" t="s">
        <v>1729</v>
      </c>
      <c r="R177" s="179" t="s">
        <v>2131</v>
      </c>
      <c r="S177" s="47" t="s">
        <v>1730</v>
      </c>
      <c r="T177" s="54">
        <f t="shared" si="44"/>
        <v>-1028831.7</v>
      </c>
      <c r="U177" s="61">
        <f>-1028831.7+800000</f>
        <v>-228831.69999999995</v>
      </c>
      <c r="V177" s="9">
        <v>4051</v>
      </c>
      <c r="AA177">
        <f t="shared" si="34"/>
        <v>210</v>
      </c>
      <c r="AD177" t="str">
        <f t="shared" si="35"/>
        <v>405</v>
      </c>
      <c r="AE177">
        <f t="shared" si="36"/>
        <v>0</v>
      </c>
      <c r="AG177" s="50" t="str">
        <f t="shared" si="37"/>
        <v>Impôt Successions - donations</v>
      </c>
      <c r="AH177" s="244" t="str">
        <f t="shared" si="38"/>
        <v>91000</v>
      </c>
      <c r="AI177" s="219"/>
      <c r="AJ177" s="219"/>
      <c r="AK177" s="219" t="str">
        <f t="shared" si="39"/>
        <v>4024</v>
      </c>
      <c r="AL177" s="244" t="str">
        <f t="shared" si="40"/>
        <v>00</v>
      </c>
      <c r="AN177" s="219" t="str">
        <f t="shared" si="41"/>
        <v>Impôt successions et donations</v>
      </c>
    </row>
    <row r="178" spans="1:40" ht="15" customHeight="1" x14ac:dyDescent="0.3">
      <c r="A178" s="48">
        <v>0</v>
      </c>
      <c r="B178" s="49" t="s">
        <v>259</v>
      </c>
      <c r="C178" s="50" t="s">
        <v>260</v>
      </c>
      <c r="D178" s="46" t="s">
        <v>1416</v>
      </c>
      <c r="E178" s="46" t="s">
        <v>218</v>
      </c>
      <c r="F178" s="46">
        <v>210</v>
      </c>
      <c r="G178" s="46" t="s">
        <v>141</v>
      </c>
      <c r="H178" s="46"/>
      <c r="I178" s="51">
        <v>0</v>
      </c>
      <c r="J178" s="51">
        <v>-9300</v>
      </c>
      <c r="K178" s="51">
        <f t="shared" si="45"/>
        <v>-9300</v>
      </c>
      <c r="L178" s="51">
        <v>0</v>
      </c>
      <c r="M178" s="51">
        <v>-9500</v>
      </c>
      <c r="N178" s="51">
        <f t="shared" si="43"/>
        <v>-9500</v>
      </c>
      <c r="O178" s="51">
        <v>0</v>
      </c>
      <c r="P178" s="179" t="s">
        <v>1714</v>
      </c>
      <c r="Q178" s="179" t="s">
        <v>1731</v>
      </c>
      <c r="R178" s="179" t="s">
        <v>2131</v>
      </c>
      <c r="S178" s="47" t="s">
        <v>260</v>
      </c>
      <c r="T178" s="54">
        <f t="shared" si="44"/>
        <v>-9300</v>
      </c>
      <c r="U178" s="54"/>
      <c r="AA178">
        <f t="shared" si="34"/>
        <v>210</v>
      </c>
      <c r="AD178" t="str">
        <f t="shared" si="35"/>
        <v>406</v>
      </c>
      <c r="AE178">
        <f t="shared" si="36"/>
        <v>0</v>
      </c>
      <c r="AG178" s="50" t="str">
        <f t="shared" si="37"/>
        <v>Impôt sur les chiens</v>
      </c>
      <c r="AH178" s="244" t="str">
        <f t="shared" si="38"/>
        <v>91000</v>
      </c>
      <c r="AI178" s="219"/>
      <c r="AJ178" s="219"/>
      <c r="AK178" s="219" t="str">
        <f t="shared" si="39"/>
        <v>4033</v>
      </c>
      <c r="AL178" s="244" t="str">
        <f t="shared" si="40"/>
        <v>00</v>
      </c>
      <c r="AN178" s="219" t="str">
        <f t="shared" si="41"/>
        <v>Impôt sur les chiens</v>
      </c>
    </row>
    <row r="179" spans="1:40" ht="15" customHeight="1" x14ac:dyDescent="0.3">
      <c r="A179" s="48">
        <v>0</v>
      </c>
      <c r="B179" s="49" t="s">
        <v>261</v>
      </c>
      <c r="C179" s="50" t="s">
        <v>262</v>
      </c>
      <c r="D179" s="46" t="s">
        <v>1416</v>
      </c>
      <c r="E179" s="46" t="s">
        <v>218</v>
      </c>
      <c r="F179" s="46">
        <v>210</v>
      </c>
      <c r="G179" s="46" t="s">
        <v>263</v>
      </c>
      <c r="H179" s="46"/>
      <c r="I179" s="51">
        <v>0</v>
      </c>
      <c r="J179" s="51">
        <v>-8603.9699999999993</v>
      </c>
      <c r="K179" s="51">
        <f t="shared" si="45"/>
        <v>-8603.9699999999993</v>
      </c>
      <c r="L179" s="51">
        <v>0</v>
      </c>
      <c r="M179" s="51">
        <v>-6000</v>
      </c>
      <c r="N179" s="51">
        <f t="shared" si="43"/>
        <v>-6000</v>
      </c>
      <c r="O179" s="51">
        <v>0</v>
      </c>
      <c r="P179" s="179" t="s">
        <v>1714</v>
      </c>
      <c r="Q179" s="179" t="s">
        <v>1720</v>
      </c>
      <c r="R179" s="179" t="s">
        <v>2132</v>
      </c>
      <c r="S179" s="55" t="s">
        <v>262</v>
      </c>
      <c r="T179" s="54">
        <f t="shared" si="44"/>
        <v>-8603.9699999999993</v>
      </c>
      <c r="U179" s="216">
        <v>-8603.9699999999993</v>
      </c>
      <c r="V179" s="9">
        <v>4091</v>
      </c>
      <c r="AA179">
        <f t="shared" si="34"/>
        <v>210</v>
      </c>
      <c r="AD179" t="str">
        <f t="shared" si="35"/>
        <v>409</v>
      </c>
      <c r="AE179">
        <f t="shared" si="36"/>
        <v>0</v>
      </c>
      <c r="AG179" s="50" t="str">
        <f t="shared" si="37"/>
        <v>Impôt récupéré après défalcation</v>
      </c>
      <c r="AH179" s="244" t="str">
        <f t="shared" si="38"/>
        <v>91000</v>
      </c>
      <c r="AI179" s="219"/>
      <c r="AJ179" s="219"/>
      <c r="AK179" s="219" t="str">
        <f t="shared" si="39"/>
        <v>4009</v>
      </c>
      <c r="AL179" s="244" t="str">
        <f t="shared" si="40"/>
        <v>01</v>
      </c>
      <c r="AN179" s="219" t="str">
        <f t="shared" si="41"/>
        <v>Impôt récupéré après défalcation</v>
      </c>
    </row>
    <row r="180" spans="1:40" ht="15" customHeight="1" x14ac:dyDescent="0.3">
      <c r="A180" s="48">
        <v>0</v>
      </c>
      <c r="B180" s="49" t="s">
        <v>264</v>
      </c>
      <c r="C180" s="50" t="s">
        <v>265</v>
      </c>
      <c r="D180" s="46" t="s">
        <v>1416</v>
      </c>
      <c r="E180" s="46" t="s">
        <v>218</v>
      </c>
      <c r="F180" s="46">
        <v>210</v>
      </c>
      <c r="G180" s="46" t="s">
        <v>266</v>
      </c>
      <c r="H180" s="46"/>
      <c r="I180" s="51">
        <v>0</v>
      </c>
      <c r="J180" s="51">
        <v>-1050.5</v>
      </c>
      <c r="K180" s="51">
        <f t="shared" si="45"/>
        <v>-1050.5</v>
      </c>
      <c r="L180" s="51">
        <v>0</v>
      </c>
      <c r="M180" s="51">
        <v>-200</v>
      </c>
      <c r="N180" s="51">
        <f t="shared" si="43"/>
        <v>-200</v>
      </c>
      <c r="O180" s="51">
        <v>-100</v>
      </c>
      <c r="P180" s="179" t="s">
        <v>1733</v>
      </c>
      <c r="Q180" s="179" t="s">
        <v>1618</v>
      </c>
      <c r="R180" s="179" t="s">
        <v>2131</v>
      </c>
      <c r="S180" s="47" t="s">
        <v>1734</v>
      </c>
      <c r="T180" s="54">
        <f t="shared" si="44"/>
        <v>-1050.5</v>
      </c>
      <c r="U180" s="54"/>
      <c r="W180" t="s">
        <v>1735</v>
      </c>
      <c r="AA180">
        <f t="shared" si="34"/>
        <v>210</v>
      </c>
      <c r="AD180" t="str">
        <f t="shared" si="35"/>
        <v>410</v>
      </c>
      <c r="AE180">
        <f t="shared" si="36"/>
        <v>0</v>
      </c>
      <c r="AG180" s="50" t="str">
        <f t="shared" si="37"/>
        <v>Patentes diverses</v>
      </c>
      <c r="AH180" s="244" t="str">
        <f t="shared" si="38"/>
        <v>14000</v>
      </c>
      <c r="AI180" s="219"/>
      <c r="AJ180" s="219"/>
      <c r="AK180" s="219" t="str">
        <f t="shared" si="39"/>
        <v>4120</v>
      </c>
      <c r="AL180" s="244" t="str">
        <f t="shared" si="40"/>
        <v>00</v>
      </c>
      <c r="AN180" s="219" t="str">
        <f t="shared" si="41"/>
        <v>Patentes et concessions</v>
      </c>
    </row>
    <row r="181" spans="1:40" ht="15" customHeight="1" x14ac:dyDescent="0.3">
      <c r="A181" s="48">
        <v>0</v>
      </c>
      <c r="B181" s="49" t="s">
        <v>267</v>
      </c>
      <c r="C181" s="50" t="s">
        <v>268</v>
      </c>
      <c r="D181" s="46" t="s">
        <v>1416</v>
      </c>
      <c r="E181" s="46" t="s">
        <v>218</v>
      </c>
      <c r="F181" s="46">
        <v>210</v>
      </c>
      <c r="G181" s="46" t="s">
        <v>269</v>
      </c>
      <c r="H181" s="46"/>
      <c r="I181" s="51">
        <v>0</v>
      </c>
      <c r="J181" s="51">
        <v>-76657.17</v>
      </c>
      <c r="K181" s="51">
        <f t="shared" si="45"/>
        <v>-76657.17</v>
      </c>
      <c r="L181" s="51">
        <v>0</v>
      </c>
      <c r="M181" s="51">
        <v>-60000</v>
      </c>
      <c r="N181" s="51">
        <f t="shared" si="43"/>
        <v>-60000</v>
      </c>
      <c r="O181" s="51">
        <v>0</v>
      </c>
      <c r="P181" s="179" t="s">
        <v>1736</v>
      </c>
      <c r="Q181" s="179" t="s">
        <v>1732</v>
      </c>
      <c r="R181" s="179" t="s">
        <v>2131</v>
      </c>
      <c r="S181" s="47" t="s">
        <v>1737</v>
      </c>
      <c r="T181" s="54">
        <f t="shared" si="44"/>
        <v>-76657.17</v>
      </c>
      <c r="U181" s="54"/>
      <c r="AA181">
        <f t="shared" si="34"/>
        <v>210</v>
      </c>
      <c r="AD181" t="str">
        <f t="shared" si="35"/>
        <v>422</v>
      </c>
      <c r="AE181">
        <f t="shared" si="36"/>
        <v>0</v>
      </c>
      <c r="AG181" s="50" t="str">
        <f t="shared" si="37"/>
        <v>Majoration int. Moratoires</v>
      </c>
      <c r="AH181" s="244" t="str">
        <f t="shared" si="38"/>
        <v>96100</v>
      </c>
      <c r="AI181" s="219"/>
      <c r="AJ181" s="219"/>
      <c r="AK181" s="219" t="str">
        <f t="shared" si="39"/>
        <v>4401</v>
      </c>
      <c r="AL181" s="244" t="str">
        <f t="shared" si="40"/>
        <v>00</v>
      </c>
      <c r="AN181" s="219" t="str">
        <f t="shared" si="41"/>
        <v>Intérêts de retard sur factures et sur acomptes</v>
      </c>
    </row>
    <row r="182" spans="1:40" ht="15" customHeight="1" x14ac:dyDescent="0.3">
      <c r="A182" s="48">
        <v>0</v>
      </c>
      <c r="B182" s="49" t="s">
        <v>270</v>
      </c>
      <c r="C182" s="50" t="s">
        <v>271</v>
      </c>
      <c r="D182" s="46" t="s">
        <v>1416</v>
      </c>
      <c r="E182" s="46" t="s">
        <v>218</v>
      </c>
      <c r="F182" s="46">
        <v>210</v>
      </c>
      <c r="G182" s="46" t="s">
        <v>272</v>
      </c>
      <c r="H182" s="46"/>
      <c r="I182" s="51">
        <v>0</v>
      </c>
      <c r="J182" s="51">
        <v>-612939.30000000005</v>
      </c>
      <c r="K182" s="51">
        <f t="shared" si="45"/>
        <v>-612939.30000000005</v>
      </c>
      <c r="L182" s="51">
        <v>0</v>
      </c>
      <c r="M182" s="51">
        <v>-650000</v>
      </c>
      <c r="N182" s="51">
        <f t="shared" si="43"/>
        <v>-650000</v>
      </c>
      <c r="O182" s="51">
        <v>0</v>
      </c>
      <c r="P182" s="179" t="s">
        <v>1738</v>
      </c>
      <c r="Q182" s="179" t="s">
        <v>1425</v>
      </c>
      <c r="R182" s="179" t="s">
        <v>2132</v>
      </c>
      <c r="S182" s="47" t="s">
        <v>271</v>
      </c>
      <c r="T182" s="54">
        <f t="shared" si="44"/>
        <v>-612939.30000000005</v>
      </c>
      <c r="U182" s="61">
        <f>-612939.3+200000</f>
        <v>-412939.30000000005</v>
      </c>
      <c r="V182" s="9">
        <v>4031</v>
      </c>
      <c r="AA182">
        <f t="shared" si="34"/>
        <v>210</v>
      </c>
      <c r="AD182" t="str">
        <f t="shared" si="35"/>
        <v>441</v>
      </c>
      <c r="AE182">
        <f t="shared" si="36"/>
        <v>0</v>
      </c>
      <c r="AG182" s="50" t="str">
        <f t="shared" si="37"/>
        <v>Impôt sur les gains immobiliers</v>
      </c>
      <c r="AH182" s="244" t="str">
        <f t="shared" si="38"/>
        <v>95000</v>
      </c>
      <c r="AI182" s="219"/>
      <c r="AJ182" s="219"/>
      <c r="AK182" s="219" t="str">
        <f t="shared" si="39"/>
        <v>4601</v>
      </c>
      <c r="AL182" s="244" t="str">
        <f t="shared" si="40"/>
        <v>01</v>
      </c>
      <c r="AN182" s="219" t="str">
        <f t="shared" si="41"/>
        <v>Impôt sur les gains immobiliers</v>
      </c>
    </row>
    <row r="183" spans="1:40" ht="15" customHeight="1" x14ac:dyDescent="0.3">
      <c r="A183" s="48">
        <v>0</v>
      </c>
      <c r="B183" s="49" t="s">
        <v>273</v>
      </c>
      <c r="C183" s="50" t="s">
        <v>274</v>
      </c>
      <c r="D183" s="46" t="s">
        <v>1416</v>
      </c>
      <c r="E183" s="46" t="s">
        <v>218</v>
      </c>
      <c r="F183" s="46">
        <v>210</v>
      </c>
      <c r="G183" s="46" t="s">
        <v>272</v>
      </c>
      <c r="H183" s="46">
        <v>1</v>
      </c>
      <c r="I183" s="51">
        <v>0</v>
      </c>
      <c r="J183" s="51">
        <v>-235685.55</v>
      </c>
      <c r="K183" s="51">
        <f t="shared" si="45"/>
        <v>-235685.55</v>
      </c>
      <c r="L183" s="51">
        <v>0</v>
      </c>
      <c r="M183" s="51">
        <v>-286000</v>
      </c>
      <c r="N183" s="51">
        <f t="shared" si="43"/>
        <v>-286000</v>
      </c>
      <c r="O183" s="51">
        <v>0</v>
      </c>
      <c r="P183" s="179" t="s">
        <v>1738</v>
      </c>
      <c r="Q183" s="179" t="s">
        <v>1425</v>
      </c>
      <c r="R183" s="179" t="s">
        <v>2133</v>
      </c>
      <c r="S183" s="47" t="s">
        <v>1739</v>
      </c>
      <c r="T183" s="54">
        <f t="shared" si="44"/>
        <v>-235685.55</v>
      </c>
      <c r="U183" s="216">
        <v>-235685.55</v>
      </c>
      <c r="V183" s="9"/>
      <c r="AA183">
        <f t="shared" si="34"/>
        <v>210</v>
      </c>
      <c r="AD183" t="str">
        <f t="shared" si="35"/>
        <v>441</v>
      </c>
      <c r="AE183">
        <f t="shared" si="36"/>
        <v>1</v>
      </c>
      <c r="AG183" s="50" t="str">
        <f t="shared" si="37"/>
        <v>Impôt frontaliers</v>
      </c>
      <c r="AH183" s="244" t="str">
        <f t="shared" si="38"/>
        <v>95000</v>
      </c>
      <c r="AI183" s="219"/>
      <c r="AJ183" s="219"/>
      <c r="AK183" s="219" t="str">
        <f t="shared" si="39"/>
        <v>4601</v>
      </c>
      <c r="AL183" s="244" t="str">
        <f t="shared" si="40"/>
        <v>02</v>
      </c>
      <c r="AN183" s="219" t="str">
        <f t="shared" si="41"/>
        <v>Impôt sur les frontaliers</v>
      </c>
    </row>
    <row r="184" spans="1:40" ht="15" customHeight="1" x14ac:dyDescent="0.3">
      <c r="A184" s="48">
        <v>0</v>
      </c>
      <c r="B184" s="49" t="s">
        <v>275</v>
      </c>
      <c r="C184" s="50" t="s">
        <v>231</v>
      </c>
      <c r="D184" s="46" t="s">
        <v>1416</v>
      </c>
      <c r="E184" s="46" t="s">
        <v>218</v>
      </c>
      <c r="F184" s="46">
        <v>210</v>
      </c>
      <c r="G184" s="46" t="s">
        <v>175</v>
      </c>
      <c r="H184" s="46"/>
      <c r="I184" s="51">
        <v>0</v>
      </c>
      <c r="J184" s="51">
        <v>0</v>
      </c>
      <c r="K184" s="51">
        <f t="shared" si="45"/>
        <v>0</v>
      </c>
      <c r="L184" s="51">
        <v>0</v>
      </c>
      <c r="M184" s="51">
        <v>-60000</v>
      </c>
      <c r="N184" s="51">
        <f t="shared" si="43"/>
        <v>-60000</v>
      </c>
      <c r="O184" s="51">
        <v>0</v>
      </c>
      <c r="P184" s="179" t="s">
        <v>1738</v>
      </c>
      <c r="Q184" s="179" t="s">
        <v>1425</v>
      </c>
      <c r="R184" s="179" t="s">
        <v>2134</v>
      </c>
      <c r="S184" s="217" t="s">
        <v>1740</v>
      </c>
      <c r="T184" s="54"/>
      <c r="U184" s="216">
        <v>-23417.950924262201</v>
      </c>
      <c r="V184" s="9"/>
      <c r="AA184">
        <f t="shared" si="34"/>
        <v>210</v>
      </c>
      <c r="AD184" t="str">
        <f t="shared" si="35"/>
        <v>451</v>
      </c>
      <c r="AE184">
        <f t="shared" si="36"/>
        <v>0</v>
      </c>
      <c r="AG184" s="50" t="str">
        <f t="shared" si="37"/>
        <v>Participation cantonale (RIE III + RFFA)</v>
      </c>
      <c r="AH184" s="244" t="str">
        <f t="shared" si="38"/>
        <v>95000</v>
      </c>
      <c r="AI184" s="219"/>
      <c r="AJ184" s="219"/>
      <c r="AK184" s="219" t="str">
        <f t="shared" si="39"/>
        <v>4601</v>
      </c>
      <c r="AL184" s="244" t="str">
        <f t="shared" si="40"/>
        <v>03</v>
      </c>
      <c r="AN184" s="219" t="str">
        <f t="shared" si="41"/>
        <v>RFFA</v>
      </c>
    </row>
    <row r="185" spans="1:40" ht="15" customHeight="1" x14ac:dyDescent="0.3">
      <c r="A185" s="48">
        <v>0</v>
      </c>
      <c r="B185" s="49" t="s">
        <v>276</v>
      </c>
      <c r="C185" s="50" t="s">
        <v>277</v>
      </c>
      <c r="D185" s="46" t="s">
        <v>1416</v>
      </c>
      <c r="E185" s="46" t="s">
        <v>218</v>
      </c>
      <c r="F185" s="46">
        <v>210</v>
      </c>
      <c r="G185" s="46" t="s">
        <v>64</v>
      </c>
      <c r="H185" s="46"/>
      <c r="I185" s="51">
        <v>0</v>
      </c>
      <c r="J185" s="51">
        <v>0</v>
      </c>
      <c r="K185" s="51">
        <f t="shared" si="45"/>
        <v>0</v>
      </c>
      <c r="L185" s="51">
        <v>0</v>
      </c>
      <c r="M185" s="51">
        <v>0</v>
      </c>
      <c r="N185" s="51">
        <f t="shared" si="43"/>
        <v>0</v>
      </c>
      <c r="O185" s="51">
        <v>0</v>
      </c>
      <c r="P185" s="179" t="s">
        <v>1489</v>
      </c>
      <c r="Q185" s="179" t="s">
        <v>1489</v>
      </c>
      <c r="R185" s="179" t="s">
        <v>1489</v>
      </c>
      <c r="S185" s="47"/>
      <c r="T185" s="54"/>
      <c r="U185" s="54"/>
      <c r="V185" s="9"/>
      <c r="AA185">
        <f t="shared" si="34"/>
        <v>210</v>
      </c>
      <c r="AD185" t="str">
        <f t="shared" si="35"/>
        <v>480</v>
      </c>
      <c r="AE185">
        <f t="shared" si="36"/>
        <v>0</v>
      </c>
      <c r="AG185" s="50" t="str">
        <f t="shared" si="37"/>
        <v>Prél. Au fonds (dissolution de provision sur créances d'impôt)</v>
      </c>
      <c r="AH185" s="244" t="str">
        <f t="shared" si="38"/>
        <v>-</v>
      </c>
      <c r="AI185" s="219"/>
      <c r="AJ185" s="219"/>
      <c r="AK185" s="219" t="str">
        <f t="shared" si="39"/>
        <v>-</v>
      </c>
      <c r="AL185" s="244" t="str">
        <f t="shared" si="40"/>
        <v>-</v>
      </c>
      <c r="AN185" s="219">
        <f t="shared" si="41"/>
        <v>0</v>
      </c>
    </row>
    <row r="186" spans="1:40" ht="15" customHeight="1" x14ac:dyDescent="0.3">
      <c r="A186" s="48">
        <v>0</v>
      </c>
      <c r="B186" s="49" t="s">
        <v>278</v>
      </c>
      <c r="C186" s="50" t="s">
        <v>279</v>
      </c>
      <c r="D186" s="46" t="s">
        <v>1416</v>
      </c>
      <c r="E186" s="46" t="s">
        <v>4</v>
      </c>
      <c r="F186" s="46">
        <v>220</v>
      </c>
      <c r="G186" s="46" t="s">
        <v>48</v>
      </c>
      <c r="H186" s="46"/>
      <c r="I186" s="51">
        <v>1911.39</v>
      </c>
      <c r="J186" s="51">
        <v>0</v>
      </c>
      <c r="K186" s="51">
        <f t="shared" si="45"/>
        <v>1911.39</v>
      </c>
      <c r="L186" s="51">
        <v>2000</v>
      </c>
      <c r="M186" s="51">
        <v>0</v>
      </c>
      <c r="N186" s="51">
        <f t="shared" si="43"/>
        <v>2000</v>
      </c>
      <c r="O186" s="51">
        <v>890.7</v>
      </c>
      <c r="P186" s="179" t="s">
        <v>1415</v>
      </c>
      <c r="Q186" s="179" t="s">
        <v>1434</v>
      </c>
      <c r="R186" s="179" t="s">
        <v>2131</v>
      </c>
      <c r="S186" s="47" t="s">
        <v>2075</v>
      </c>
      <c r="T186" s="54">
        <f>+I186</f>
        <v>1911.39</v>
      </c>
      <c r="U186" s="54"/>
      <c r="AA186">
        <f t="shared" si="34"/>
        <v>220</v>
      </c>
      <c r="AD186" t="str">
        <f t="shared" si="35"/>
        <v>318</v>
      </c>
      <c r="AE186">
        <f t="shared" si="36"/>
        <v>0</v>
      </c>
      <c r="AG186" s="50" t="str">
        <f t="shared" si="37"/>
        <v>Frais Bancaires</v>
      </c>
      <c r="AH186" s="244" t="str">
        <f t="shared" si="38"/>
        <v>96900</v>
      </c>
      <c r="AI186" s="219"/>
      <c r="AJ186" s="219"/>
      <c r="AK186" s="219" t="str">
        <f t="shared" si="39"/>
        <v>3420</v>
      </c>
      <c r="AL186" s="244" t="str">
        <f t="shared" si="40"/>
        <v>00</v>
      </c>
      <c r="AN186" s="219" t="str">
        <f t="shared" si="41"/>
        <v>Frais bancaires et Twint</v>
      </c>
    </row>
    <row r="187" spans="1:40" ht="15" customHeight="1" x14ac:dyDescent="0.3">
      <c r="A187" s="48">
        <v>0</v>
      </c>
      <c r="B187" s="49" t="s">
        <v>280</v>
      </c>
      <c r="C187" s="50" t="s">
        <v>281</v>
      </c>
      <c r="D187" s="46" t="s">
        <v>1416</v>
      </c>
      <c r="E187" s="46" t="s">
        <v>4</v>
      </c>
      <c r="F187" s="46">
        <v>220</v>
      </c>
      <c r="G187" s="46" t="s">
        <v>282</v>
      </c>
      <c r="H187" s="46"/>
      <c r="I187" s="51">
        <v>103.75</v>
      </c>
      <c r="J187" s="51">
        <v>0</v>
      </c>
      <c r="K187" s="51">
        <f t="shared" si="45"/>
        <v>103.75</v>
      </c>
      <c r="L187" s="51">
        <v>500</v>
      </c>
      <c r="M187" s="51">
        <v>0</v>
      </c>
      <c r="N187" s="51">
        <f t="shared" si="43"/>
        <v>500</v>
      </c>
      <c r="O187" s="51">
        <v>117.45</v>
      </c>
      <c r="P187" s="179" t="s">
        <v>1736</v>
      </c>
      <c r="Q187" s="179" t="s">
        <v>1752</v>
      </c>
      <c r="R187" s="179" t="s">
        <v>2131</v>
      </c>
      <c r="S187" s="47" t="s">
        <v>1753</v>
      </c>
      <c r="T187" s="54">
        <f>+I187</f>
        <v>103.75</v>
      </c>
      <c r="U187" s="54"/>
      <c r="W187" t="s">
        <v>1478</v>
      </c>
      <c r="AA187">
        <f t="shared" si="34"/>
        <v>220</v>
      </c>
      <c r="AD187" t="str">
        <f t="shared" si="35"/>
        <v>321</v>
      </c>
      <c r="AE187">
        <f t="shared" si="36"/>
        <v>0</v>
      </c>
      <c r="AG187" s="50" t="str">
        <f t="shared" si="37"/>
        <v>Int. s/dettes à court terme</v>
      </c>
      <c r="AH187" s="244" t="str">
        <f t="shared" si="38"/>
        <v>96100</v>
      </c>
      <c r="AI187" s="219"/>
      <c r="AJ187" s="219"/>
      <c r="AK187" s="219" t="str">
        <f t="shared" si="39"/>
        <v>3401</v>
      </c>
      <c r="AL187" s="244" t="str">
        <f t="shared" si="40"/>
        <v>00</v>
      </c>
      <c r="AN187" s="219" t="str">
        <f t="shared" si="41"/>
        <v>Intérêts passifs sur emprunts</v>
      </c>
    </row>
    <row r="188" spans="1:40" ht="15" customHeight="1" x14ac:dyDescent="0.3">
      <c r="A188" s="48">
        <v>0</v>
      </c>
      <c r="B188" s="49" t="s">
        <v>283</v>
      </c>
      <c r="C188" s="50" t="s">
        <v>284</v>
      </c>
      <c r="D188" s="46" t="s">
        <v>1416</v>
      </c>
      <c r="E188" s="46" t="s">
        <v>4</v>
      </c>
      <c r="F188" s="46">
        <v>220</v>
      </c>
      <c r="G188" s="46" t="s">
        <v>285</v>
      </c>
      <c r="H188" s="46">
        <v>10</v>
      </c>
      <c r="I188" s="51">
        <v>0</v>
      </c>
      <c r="J188" s="51">
        <v>0</v>
      </c>
      <c r="K188" s="51">
        <f t="shared" si="45"/>
        <v>0</v>
      </c>
      <c r="L188" s="51">
        <v>0</v>
      </c>
      <c r="M188" s="51">
        <v>0</v>
      </c>
      <c r="N188" s="51">
        <f t="shared" si="43"/>
        <v>0</v>
      </c>
      <c r="O188" s="51">
        <v>3624.85</v>
      </c>
      <c r="P188" s="179" t="s">
        <v>1736</v>
      </c>
      <c r="Q188" s="179" t="s">
        <v>1752</v>
      </c>
      <c r="R188" s="179" t="s">
        <v>2131</v>
      </c>
      <c r="S188" s="47" t="s">
        <v>1753</v>
      </c>
      <c r="T188" s="54"/>
      <c r="U188" s="54"/>
      <c r="AA188">
        <f t="shared" si="34"/>
        <v>220</v>
      </c>
      <c r="AD188" t="str">
        <f t="shared" si="35"/>
        <v>322</v>
      </c>
      <c r="AE188">
        <f t="shared" si="36"/>
        <v>10</v>
      </c>
      <c r="AG188" s="50" t="str">
        <f t="shared" si="37"/>
        <v>Int. Sur emprunt à court terme Caserne</v>
      </c>
      <c r="AH188" s="244" t="str">
        <f t="shared" si="38"/>
        <v>96100</v>
      </c>
      <c r="AI188" s="219"/>
      <c r="AJ188" s="219"/>
      <c r="AK188" s="219" t="str">
        <f t="shared" si="39"/>
        <v>3401</v>
      </c>
      <c r="AL188" s="244" t="str">
        <f t="shared" si="40"/>
        <v>00</v>
      </c>
      <c r="AN188" s="219" t="str">
        <f t="shared" si="41"/>
        <v>Intérêts passifs sur emprunts</v>
      </c>
    </row>
    <row r="189" spans="1:40" ht="15" customHeight="1" x14ac:dyDescent="0.3">
      <c r="A189" s="48">
        <v>0</v>
      </c>
      <c r="B189" s="49" t="s">
        <v>286</v>
      </c>
      <c r="C189" s="50" t="s">
        <v>287</v>
      </c>
      <c r="D189" s="46" t="s">
        <v>1416</v>
      </c>
      <c r="E189" s="46" t="s">
        <v>4</v>
      </c>
      <c r="F189" s="46">
        <v>220</v>
      </c>
      <c r="G189" s="46" t="s">
        <v>285</v>
      </c>
      <c r="H189" s="46">
        <v>11</v>
      </c>
      <c r="I189" s="51">
        <v>0</v>
      </c>
      <c r="J189" s="51">
        <v>0</v>
      </c>
      <c r="K189" s="51">
        <f t="shared" si="45"/>
        <v>0</v>
      </c>
      <c r="L189" s="51">
        <v>0</v>
      </c>
      <c r="M189" s="51">
        <v>0</v>
      </c>
      <c r="N189" s="51">
        <f t="shared" si="43"/>
        <v>0</v>
      </c>
      <c r="O189" s="51">
        <v>0</v>
      </c>
      <c r="P189" s="179" t="s">
        <v>1489</v>
      </c>
      <c r="Q189" s="179" t="s">
        <v>1489</v>
      </c>
      <c r="R189" s="179" t="s">
        <v>1489</v>
      </c>
      <c r="S189" s="47"/>
      <c r="T189" s="54"/>
      <c r="U189" s="54"/>
      <c r="AA189">
        <f t="shared" si="34"/>
        <v>220</v>
      </c>
      <c r="AD189" t="str">
        <f t="shared" si="35"/>
        <v>322</v>
      </c>
      <c r="AE189">
        <f t="shared" si="36"/>
        <v>11</v>
      </c>
      <c r="AG189" s="50" t="str">
        <f t="shared" si="37"/>
        <v>Int. Sur emprunt à long terme Immeuble P19 Pharmacie</v>
      </c>
      <c r="AH189" s="244" t="str">
        <f t="shared" si="38"/>
        <v>-</v>
      </c>
      <c r="AI189" s="219"/>
      <c r="AJ189" s="219"/>
      <c r="AK189" s="219" t="str">
        <f t="shared" si="39"/>
        <v>-</v>
      </c>
      <c r="AL189" s="244" t="str">
        <f t="shared" si="40"/>
        <v>-</v>
      </c>
      <c r="AN189" s="219">
        <f t="shared" si="41"/>
        <v>0</v>
      </c>
    </row>
    <row r="190" spans="1:40" ht="15" customHeight="1" x14ac:dyDescent="0.3">
      <c r="A190" s="48">
        <v>0</v>
      </c>
      <c r="B190" s="49" t="s">
        <v>288</v>
      </c>
      <c r="C190" s="50" t="s">
        <v>289</v>
      </c>
      <c r="D190" s="46" t="s">
        <v>1416</v>
      </c>
      <c r="E190" s="46" t="s">
        <v>4</v>
      </c>
      <c r="F190" s="46">
        <v>220</v>
      </c>
      <c r="G190" s="46" t="s">
        <v>285</v>
      </c>
      <c r="H190" s="46">
        <v>3</v>
      </c>
      <c r="I190" s="51">
        <v>5999.8</v>
      </c>
      <c r="J190" s="51">
        <v>0</v>
      </c>
      <c r="K190" s="51">
        <f t="shared" si="45"/>
        <v>5999.8</v>
      </c>
      <c r="L190" s="51">
        <v>6000</v>
      </c>
      <c r="M190" s="51">
        <v>0</v>
      </c>
      <c r="N190" s="51">
        <f t="shared" si="43"/>
        <v>6000</v>
      </c>
      <c r="O190" s="51">
        <v>6000</v>
      </c>
      <c r="P190" s="179" t="s">
        <v>1736</v>
      </c>
      <c r="Q190" s="179" t="s">
        <v>1752</v>
      </c>
      <c r="R190" s="179" t="s">
        <v>2131</v>
      </c>
      <c r="S190" s="47" t="s">
        <v>1753</v>
      </c>
      <c r="T190" s="54">
        <f>+I190</f>
        <v>5999.8</v>
      </c>
      <c r="U190" s="54">
        <f>+T190</f>
        <v>5999.8</v>
      </c>
      <c r="AA190">
        <f t="shared" si="34"/>
        <v>220</v>
      </c>
      <c r="AD190" t="str">
        <f t="shared" si="35"/>
        <v>322</v>
      </c>
      <c r="AE190">
        <f t="shared" si="36"/>
        <v>3</v>
      </c>
      <c r="AG190" s="50" t="str">
        <f t="shared" si="37"/>
        <v>Int. sur emprunt Bâtiment 78 réfection Gym "Le Gossan"</v>
      </c>
      <c r="AH190" s="244" t="str">
        <f t="shared" si="38"/>
        <v>96100</v>
      </c>
      <c r="AI190" s="219"/>
      <c r="AJ190" s="219"/>
      <c r="AK190" s="219" t="str">
        <f t="shared" si="39"/>
        <v>3401</v>
      </c>
      <c r="AL190" s="244" t="str">
        <f t="shared" si="40"/>
        <v>00</v>
      </c>
      <c r="AN190" s="219" t="str">
        <f t="shared" si="41"/>
        <v>Intérêts passifs sur emprunts</v>
      </c>
    </row>
    <row r="191" spans="1:40" ht="15" customHeight="1" x14ac:dyDescent="0.3">
      <c r="A191" s="48">
        <v>0</v>
      </c>
      <c r="B191" s="49" t="s">
        <v>290</v>
      </c>
      <c r="C191" s="50" t="s">
        <v>291</v>
      </c>
      <c r="D191" s="46" t="s">
        <v>1416</v>
      </c>
      <c r="E191" s="46" t="s">
        <v>4</v>
      </c>
      <c r="F191" s="46">
        <v>220</v>
      </c>
      <c r="G191" s="46" t="s">
        <v>285</v>
      </c>
      <c r="H191" s="46">
        <v>4</v>
      </c>
      <c r="I191" s="51">
        <v>7070</v>
      </c>
      <c r="J191" s="51">
        <v>0</v>
      </c>
      <c r="K191" s="51">
        <f t="shared" si="45"/>
        <v>7070</v>
      </c>
      <c r="L191" s="51">
        <v>3000</v>
      </c>
      <c r="M191" s="51">
        <v>0</v>
      </c>
      <c r="N191" s="51">
        <f t="shared" si="43"/>
        <v>3000</v>
      </c>
      <c r="O191" s="51">
        <v>0</v>
      </c>
      <c r="P191" s="179" t="s">
        <v>1736</v>
      </c>
      <c r="Q191" s="179" t="s">
        <v>1752</v>
      </c>
      <c r="R191" s="179" t="s">
        <v>2131</v>
      </c>
      <c r="S191" s="47" t="s">
        <v>1753</v>
      </c>
      <c r="T191" s="54">
        <f>+I191</f>
        <v>7070</v>
      </c>
      <c r="U191" s="54"/>
      <c r="AA191">
        <f t="shared" si="34"/>
        <v>220</v>
      </c>
      <c r="AD191" t="str">
        <f t="shared" si="35"/>
        <v>322</v>
      </c>
      <c r="AE191">
        <f t="shared" si="36"/>
        <v>4</v>
      </c>
      <c r="AG191" s="50" t="str">
        <f t="shared" si="37"/>
        <v>Int. Sur emprunt à long terme routes "Cézille et Duillier" + Caserne</v>
      </c>
      <c r="AH191" s="244" t="str">
        <f t="shared" si="38"/>
        <v>96100</v>
      </c>
      <c r="AI191" s="219"/>
      <c r="AJ191" s="219"/>
      <c r="AK191" s="219" t="str">
        <f t="shared" si="39"/>
        <v>3401</v>
      </c>
      <c r="AL191" s="244" t="str">
        <f t="shared" si="40"/>
        <v>00</v>
      </c>
      <c r="AN191" s="219" t="str">
        <f t="shared" si="41"/>
        <v>Intérêts passifs sur emprunts</v>
      </c>
    </row>
    <row r="192" spans="1:40" ht="15" customHeight="1" x14ac:dyDescent="0.3">
      <c r="A192" s="48">
        <v>0</v>
      </c>
      <c r="B192" s="49" t="s">
        <v>292</v>
      </c>
      <c r="C192" s="50" t="s">
        <v>293</v>
      </c>
      <c r="D192" s="46" t="s">
        <v>1416</v>
      </c>
      <c r="E192" s="46" t="s">
        <v>4</v>
      </c>
      <c r="F192" s="46">
        <v>220</v>
      </c>
      <c r="G192" s="46" t="s">
        <v>285</v>
      </c>
      <c r="H192" s="46">
        <v>5</v>
      </c>
      <c r="I192" s="51">
        <v>25600</v>
      </c>
      <c r="J192" s="51">
        <v>0</v>
      </c>
      <c r="K192" s="51">
        <f t="shared" si="45"/>
        <v>25600</v>
      </c>
      <c r="L192" s="51">
        <v>25600</v>
      </c>
      <c r="M192" s="51">
        <v>0</v>
      </c>
      <c r="N192" s="51">
        <f t="shared" si="43"/>
        <v>25600</v>
      </c>
      <c r="O192" s="51">
        <v>25653.35</v>
      </c>
      <c r="P192" s="179" t="s">
        <v>1736</v>
      </c>
      <c r="Q192" s="179" t="s">
        <v>1752</v>
      </c>
      <c r="R192" s="179" t="s">
        <v>2131</v>
      </c>
      <c r="S192" s="47" t="s">
        <v>1753</v>
      </c>
      <c r="T192" s="54">
        <f>+I192</f>
        <v>25600</v>
      </c>
      <c r="U192" s="54">
        <f>+T192</f>
        <v>25600</v>
      </c>
      <c r="AA192">
        <f t="shared" si="34"/>
        <v>220</v>
      </c>
      <c r="AD192" t="str">
        <f t="shared" si="35"/>
        <v>322</v>
      </c>
      <c r="AE192">
        <f t="shared" si="36"/>
        <v>5</v>
      </c>
      <c r="AG192" s="50" t="str">
        <f t="shared" si="37"/>
        <v>Int. Sur emprunt à long terme "Fontaine à l'autre"</v>
      </c>
      <c r="AH192" s="244" t="str">
        <f t="shared" si="38"/>
        <v>96100</v>
      </c>
      <c r="AI192" s="219"/>
      <c r="AJ192" s="219"/>
      <c r="AK192" s="219" t="str">
        <f t="shared" si="39"/>
        <v>3401</v>
      </c>
      <c r="AL192" s="244" t="str">
        <f t="shared" si="40"/>
        <v>00</v>
      </c>
      <c r="AN192" s="219" t="str">
        <f t="shared" si="41"/>
        <v>Intérêts passifs sur emprunts</v>
      </c>
    </row>
    <row r="193" spans="1:40" ht="15" customHeight="1" x14ac:dyDescent="0.3">
      <c r="A193" s="48">
        <v>0</v>
      </c>
      <c r="B193" s="49" t="s">
        <v>294</v>
      </c>
      <c r="C193" s="50" t="s">
        <v>295</v>
      </c>
      <c r="D193" s="46" t="s">
        <v>1416</v>
      </c>
      <c r="E193" s="46" t="s">
        <v>4</v>
      </c>
      <c r="F193" s="46">
        <v>220</v>
      </c>
      <c r="G193" s="46" t="s">
        <v>285</v>
      </c>
      <c r="H193" s="46">
        <v>6</v>
      </c>
      <c r="I193" s="51">
        <v>0</v>
      </c>
      <c r="J193" s="51">
        <v>0</v>
      </c>
      <c r="K193" s="51">
        <f t="shared" si="45"/>
        <v>0</v>
      </c>
      <c r="L193" s="51">
        <v>0</v>
      </c>
      <c r="M193" s="51">
        <v>0</v>
      </c>
      <c r="N193" s="51">
        <f t="shared" si="43"/>
        <v>0</v>
      </c>
      <c r="O193" s="51">
        <v>0</v>
      </c>
      <c r="P193" s="179" t="s">
        <v>1736</v>
      </c>
      <c r="Q193" s="179" t="s">
        <v>1752</v>
      </c>
      <c r="R193" s="179" t="s">
        <v>2131</v>
      </c>
      <c r="S193" s="47" t="s">
        <v>1753</v>
      </c>
      <c r="T193" s="54"/>
      <c r="U193" s="54">
        <v>65100</v>
      </c>
      <c r="W193" t="s">
        <v>1479</v>
      </c>
      <c r="AA193">
        <f t="shared" si="34"/>
        <v>220</v>
      </c>
      <c r="AD193" t="str">
        <f t="shared" si="35"/>
        <v>322</v>
      </c>
      <c r="AE193">
        <f t="shared" si="36"/>
        <v>6</v>
      </c>
      <c r="AG193" s="50" t="str">
        <f t="shared" si="37"/>
        <v>Int. Sur emprunt à long terme "Source vive"</v>
      </c>
      <c r="AH193" s="244" t="str">
        <f t="shared" si="38"/>
        <v>96100</v>
      </c>
      <c r="AI193" s="219"/>
      <c r="AJ193" s="219"/>
      <c r="AK193" s="219" t="str">
        <f t="shared" si="39"/>
        <v>3401</v>
      </c>
      <c r="AL193" s="244" t="str">
        <f t="shared" si="40"/>
        <v>00</v>
      </c>
      <c r="AN193" s="219" t="str">
        <f t="shared" si="41"/>
        <v>Intérêts passifs sur emprunts</v>
      </c>
    </row>
    <row r="194" spans="1:40" ht="15" customHeight="1" x14ac:dyDescent="0.3">
      <c r="A194" s="48">
        <v>0</v>
      </c>
      <c r="B194" s="49" t="s">
        <v>296</v>
      </c>
      <c r="C194" s="50" t="s">
        <v>297</v>
      </c>
      <c r="D194" s="46" t="s">
        <v>1416</v>
      </c>
      <c r="E194" s="46" t="s">
        <v>4</v>
      </c>
      <c r="F194" s="46">
        <v>220</v>
      </c>
      <c r="G194" s="46" t="s">
        <v>285</v>
      </c>
      <c r="H194" s="46">
        <v>7</v>
      </c>
      <c r="I194" s="51">
        <v>13130</v>
      </c>
      <c r="J194" s="51">
        <v>0</v>
      </c>
      <c r="K194" s="51">
        <f t="shared" si="45"/>
        <v>13130</v>
      </c>
      <c r="L194" s="51">
        <v>5500</v>
      </c>
      <c r="M194" s="51">
        <v>0</v>
      </c>
      <c r="N194" s="51">
        <f t="shared" si="43"/>
        <v>5500</v>
      </c>
      <c r="O194" s="51">
        <v>0</v>
      </c>
      <c r="P194" s="179" t="s">
        <v>1736</v>
      </c>
      <c r="Q194" s="179" t="s">
        <v>1752</v>
      </c>
      <c r="R194" s="179" t="s">
        <v>2131</v>
      </c>
      <c r="S194" s="47" t="s">
        <v>1753</v>
      </c>
      <c r="T194" s="54">
        <f>+I194</f>
        <v>13130</v>
      </c>
      <c r="U194" s="54"/>
      <c r="AA194">
        <f t="shared" si="34"/>
        <v>220</v>
      </c>
      <c r="AD194" t="str">
        <f t="shared" si="35"/>
        <v>322</v>
      </c>
      <c r="AE194">
        <f t="shared" si="36"/>
        <v>7</v>
      </c>
      <c r="AG194" s="50" t="str">
        <f t="shared" si="37"/>
        <v>Int. Sur emprunt à long terme Caserne</v>
      </c>
      <c r="AH194" s="244" t="str">
        <f t="shared" si="38"/>
        <v>96100</v>
      </c>
      <c r="AI194" s="219"/>
      <c r="AJ194" s="219"/>
      <c r="AK194" s="219" t="str">
        <f t="shared" si="39"/>
        <v>3401</v>
      </c>
      <c r="AL194" s="244" t="str">
        <f t="shared" si="40"/>
        <v>00</v>
      </c>
      <c r="AN194" s="219" t="str">
        <f t="shared" si="41"/>
        <v>Intérêts passifs sur emprunts</v>
      </c>
    </row>
    <row r="195" spans="1:40" ht="15" customHeight="1" x14ac:dyDescent="0.3">
      <c r="A195" s="48">
        <v>0</v>
      </c>
      <c r="B195" s="49" t="s">
        <v>298</v>
      </c>
      <c r="C195" s="50" t="s">
        <v>299</v>
      </c>
      <c r="D195" s="46" t="s">
        <v>1416</v>
      </c>
      <c r="E195" s="46" t="s">
        <v>4</v>
      </c>
      <c r="F195" s="46">
        <v>220</v>
      </c>
      <c r="G195" s="46" t="s">
        <v>285</v>
      </c>
      <c r="H195" s="46">
        <v>8</v>
      </c>
      <c r="I195" s="51">
        <v>19125.150000000001</v>
      </c>
      <c r="J195" s="51">
        <v>0</v>
      </c>
      <c r="K195" s="51">
        <f t="shared" si="45"/>
        <v>19125.150000000001</v>
      </c>
      <c r="L195" s="51">
        <v>19125</v>
      </c>
      <c r="M195" s="51">
        <v>0</v>
      </c>
      <c r="N195" s="51">
        <f t="shared" si="43"/>
        <v>19125</v>
      </c>
      <c r="O195" s="51">
        <v>19125</v>
      </c>
      <c r="P195" s="179" t="s">
        <v>1736</v>
      </c>
      <c r="Q195" s="179" t="s">
        <v>1752</v>
      </c>
      <c r="R195" s="179" t="s">
        <v>2131</v>
      </c>
      <c r="S195" s="47" t="s">
        <v>1753</v>
      </c>
      <c r="T195" s="54">
        <f>+I195</f>
        <v>19125.150000000001</v>
      </c>
      <c r="U195" s="54">
        <f>+T195</f>
        <v>19125.150000000001</v>
      </c>
      <c r="AA195">
        <f t="shared" si="34"/>
        <v>220</v>
      </c>
      <c r="AD195" t="str">
        <f t="shared" si="35"/>
        <v>322</v>
      </c>
      <c r="AE195">
        <f t="shared" si="36"/>
        <v>8</v>
      </c>
      <c r="AG195" s="50" t="str">
        <f t="shared" si="37"/>
        <v>Int. Sur emprunt à long terme Routes</v>
      </c>
      <c r="AH195" s="244" t="str">
        <f t="shared" si="38"/>
        <v>96100</v>
      </c>
      <c r="AI195" s="219"/>
      <c r="AJ195" s="219"/>
      <c r="AK195" s="219" t="str">
        <f t="shared" si="39"/>
        <v>3401</v>
      </c>
      <c r="AL195" s="244" t="str">
        <f t="shared" si="40"/>
        <v>00</v>
      </c>
      <c r="AN195" s="219" t="str">
        <f t="shared" si="41"/>
        <v>Intérêts passifs sur emprunts</v>
      </c>
    </row>
    <row r="196" spans="1:40" ht="15" customHeight="1" x14ac:dyDescent="0.3">
      <c r="A196" s="48">
        <v>0</v>
      </c>
      <c r="B196" s="49" t="s">
        <v>300</v>
      </c>
      <c r="C196" s="50" t="s">
        <v>301</v>
      </c>
      <c r="D196" s="46" t="s">
        <v>1416</v>
      </c>
      <c r="E196" s="46" t="s">
        <v>4</v>
      </c>
      <c r="F196" s="46">
        <v>220</v>
      </c>
      <c r="G196" s="46" t="s">
        <v>285</v>
      </c>
      <c r="H196" s="46">
        <v>9</v>
      </c>
      <c r="I196" s="51">
        <v>0</v>
      </c>
      <c r="J196" s="51">
        <v>0</v>
      </c>
      <c r="K196" s="51">
        <f t="shared" si="45"/>
        <v>0</v>
      </c>
      <c r="L196" s="51">
        <v>0</v>
      </c>
      <c r="M196" s="51">
        <v>0</v>
      </c>
      <c r="N196" s="51">
        <f t="shared" si="43"/>
        <v>0</v>
      </c>
      <c r="O196" s="51">
        <v>1951.85</v>
      </c>
      <c r="P196" s="179" t="s">
        <v>1736</v>
      </c>
      <c r="Q196" s="179" t="s">
        <v>1752</v>
      </c>
      <c r="R196" s="179" t="s">
        <v>2131</v>
      </c>
      <c r="S196" s="47" t="s">
        <v>1753</v>
      </c>
      <c r="T196" s="54"/>
      <c r="U196" s="54"/>
      <c r="AA196">
        <f t="shared" ref="AA196:AA259" si="46">+F196</f>
        <v>220</v>
      </c>
      <c r="AD196" t="str">
        <f t="shared" ref="AD196:AD259" si="47">+G196</f>
        <v>322</v>
      </c>
      <c r="AE196">
        <f t="shared" ref="AE196:AE259" si="48">+H196</f>
        <v>9</v>
      </c>
      <c r="AG196" s="50" t="str">
        <f t="shared" ref="AG196:AG259" si="49">+C196</f>
        <v>Int. Sur emprunt à long terme routes "Cézille et Duillier"</v>
      </c>
      <c r="AH196" s="244" t="str">
        <f t="shared" ref="AH196:AH259" si="50">+P196</f>
        <v>96100</v>
      </c>
      <c r="AI196" s="219"/>
      <c r="AJ196" s="219"/>
      <c r="AK196" s="219" t="str">
        <f t="shared" ref="AK196:AK259" si="51">+Q196</f>
        <v>3401</v>
      </c>
      <c r="AL196" s="244" t="str">
        <f t="shared" ref="AL196:AL259" si="52">+R196</f>
        <v>00</v>
      </c>
      <c r="AN196" s="219" t="str">
        <f t="shared" ref="AN196:AN259" si="53">+S196</f>
        <v>Intérêts passifs sur emprunts</v>
      </c>
    </row>
    <row r="197" spans="1:40" ht="15" customHeight="1" x14ac:dyDescent="0.3">
      <c r="A197" s="48">
        <v>0</v>
      </c>
      <c r="B197" s="49" t="s">
        <v>302</v>
      </c>
      <c r="C197" s="50" t="s">
        <v>303</v>
      </c>
      <c r="D197" s="46" t="s">
        <v>1416</v>
      </c>
      <c r="E197" s="46" t="s">
        <v>4</v>
      </c>
      <c r="F197" s="46">
        <v>220</v>
      </c>
      <c r="G197" s="46" t="s">
        <v>227</v>
      </c>
      <c r="H197" s="46"/>
      <c r="I197" s="51">
        <v>20455.55</v>
      </c>
      <c r="J197" s="51">
        <v>0</v>
      </c>
      <c r="K197" s="51">
        <f t="shared" si="45"/>
        <v>20455.55</v>
      </c>
      <c r="L197" s="51">
        <v>0</v>
      </c>
      <c r="M197" s="51">
        <v>0</v>
      </c>
      <c r="N197" s="51">
        <f t="shared" si="43"/>
        <v>0</v>
      </c>
      <c r="O197" s="51">
        <v>0</v>
      </c>
      <c r="P197" s="179" t="s">
        <v>1756</v>
      </c>
      <c r="Q197" s="179" t="s">
        <v>1754</v>
      </c>
      <c r="R197" s="179" t="s">
        <v>2131</v>
      </c>
      <c r="S197" s="47" t="s">
        <v>1755</v>
      </c>
      <c r="T197" s="54">
        <f>+I197</f>
        <v>20455.55</v>
      </c>
      <c r="U197" s="54">
        <v>0</v>
      </c>
      <c r="W197" t="s">
        <v>1480</v>
      </c>
      <c r="AA197">
        <f t="shared" si="46"/>
        <v>220</v>
      </c>
      <c r="AD197" t="str">
        <f t="shared" si="47"/>
        <v>329</v>
      </c>
      <c r="AE197">
        <f t="shared" si="48"/>
        <v>0</v>
      </c>
      <c r="AG197" s="50" t="str">
        <f t="shared" si="49"/>
        <v>Int moratoires</v>
      </c>
      <c r="AH197" s="244" t="str">
        <f t="shared" si="50"/>
        <v>93000</v>
      </c>
      <c r="AI197" s="219"/>
      <c r="AJ197" s="219"/>
      <c r="AK197" s="219" t="str">
        <f t="shared" si="51"/>
        <v>3409</v>
      </c>
      <c r="AL197" s="244" t="str">
        <f t="shared" si="52"/>
        <v>00</v>
      </c>
      <c r="AN197" s="219" t="str">
        <f t="shared" si="53"/>
        <v>Autres intérêts passifs</v>
      </c>
    </row>
    <row r="198" spans="1:40" ht="15" customHeight="1" x14ac:dyDescent="0.3">
      <c r="A198" s="48">
        <v>0</v>
      </c>
      <c r="B198" s="49" t="s">
        <v>304</v>
      </c>
      <c r="C198" s="50" t="s">
        <v>305</v>
      </c>
      <c r="D198" s="46" t="s">
        <v>1416</v>
      </c>
      <c r="E198" s="46" t="s">
        <v>4</v>
      </c>
      <c r="F198" s="46">
        <v>220</v>
      </c>
      <c r="G198" s="46" t="s">
        <v>53</v>
      </c>
      <c r="H198" s="46"/>
      <c r="I198" s="51">
        <v>0</v>
      </c>
      <c r="J198" s="51">
        <v>0</v>
      </c>
      <c r="K198" s="51">
        <f t="shared" si="45"/>
        <v>0</v>
      </c>
      <c r="L198" s="51">
        <v>0</v>
      </c>
      <c r="M198" s="51">
        <v>0</v>
      </c>
      <c r="N198" s="51">
        <f t="shared" si="43"/>
        <v>0</v>
      </c>
      <c r="O198" s="51">
        <v>0</v>
      </c>
      <c r="P198" s="179" t="s">
        <v>1489</v>
      </c>
      <c r="Q198" s="179" t="s">
        <v>1489</v>
      </c>
      <c r="R198" s="179" t="s">
        <v>1489</v>
      </c>
      <c r="S198" s="47"/>
      <c r="T198" s="54"/>
      <c r="U198" s="54"/>
      <c r="AA198">
        <f t="shared" si="46"/>
        <v>220</v>
      </c>
      <c r="AD198" t="str">
        <f t="shared" si="47"/>
        <v>330</v>
      </c>
      <c r="AE198">
        <f t="shared" si="48"/>
        <v>0</v>
      </c>
      <c r="AG198" s="50" t="str">
        <f t="shared" si="49"/>
        <v>Pertes sur débiteurs</v>
      </c>
      <c r="AH198" s="244" t="str">
        <f t="shared" si="50"/>
        <v>-</v>
      </c>
      <c r="AI198" s="219"/>
      <c r="AJ198" s="219"/>
      <c r="AK198" s="219" t="str">
        <f t="shared" si="51"/>
        <v>-</v>
      </c>
      <c r="AL198" s="244" t="str">
        <f t="shared" si="52"/>
        <v>-</v>
      </c>
      <c r="AN198" s="219">
        <f t="shared" si="53"/>
        <v>0</v>
      </c>
    </row>
    <row r="199" spans="1:40" ht="15" customHeight="1" x14ac:dyDescent="0.3">
      <c r="A199" s="48">
        <v>0</v>
      </c>
      <c r="B199" s="49" t="s">
        <v>306</v>
      </c>
      <c r="C199" s="50" t="s">
        <v>307</v>
      </c>
      <c r="D199" s="46" t="s">
        <v>1416</v>
      </c>
      <c r="E199" s="46" t="s">
        <v>4</v>
      </c>
      <c r="F199" s="46">
        <v>220</v>
      </c>
      <c r="G199" s="46" t="s">
        <v>53</v>
      </c>
      <c r="H199" s="46">
        <v>2</v>
      </c>
      <c r="I199" s="51">
        <v>0</v>
      </c>
      <c r="J199" s="51">
        <v>0</v>
      </c>
      <c r="K199" s="51">
        <f t="shared" si="45"/>
        <v>0</v>
      </c>
      <c r="L199" s="51">
        <v>0</v>
      </c>
      <c r="M199" s="51">
        <v>0</v>
      </c>
      <c r="N199" s="51">
        <f t="shared" si="43"/>
        <v>0</v>
      </c>
      <c r="O199" s="51">
        <v>0</v>
      </c>
      <c r="P199" s="179" t="s">
        <v>1489</v>
      </c>
      <c r="Q199" s="179" t="s">
        <v>1489</v>
      </c>
      <c r="R199" s="179" t="s">
        <v>1489</v>
      </c>
      <c r="S199" s="47"/>
      <c r="T199" s="54"/>
      <c r="U199" s="54"/>
      <c r="AA199">
        <f t="shared" si="46"/>
        <v>220</v>
      </c>
      <c r="AD199" t="str">
        <f t="shared" si="47"/>
        <v>330</v>
      </c>
      <c r="AE199">
        <f t="shared" si="48"/>
        <v>2</v>
      </c>
      <c r="AG199" s="50" t="str">
        <f t="shared" si="49"/>
        <v>Amortissement titres et placements</v>
      </c>
      <c r="AH199" s="244" t="str">
        <f t="shared" si="50"/>
        <v>-</v>
      </c>
      <c r="AI199" s="219"/>
      <c r="AJ199" s="219"/>
      <c r="AK199" s="219" t="str">
        <f t="shared" si="51"/>
        <v>-</v>
      </c>
      <c r="AL199" s="244" t="str">
        <f t="shared" si="52"/>
        <v>-</v>
      </c>
      <c r="AN199" s="219">
        <f t="shared" si="53"/>
        <v>0</v>
      </c>
    </row>
    <row r="200" spans="1:40" ht="15" customHeight="1" x14ac:dyDescent="0.3">
      <c r="A200" s="48">
        <v>0</v>
      </c>
      <c r="B200" s="74" t="s">
        <v>308</v>
      </c>
      <c r="C200" s="67" t="s">
        <v>309</v>
      </c>
      <c r="D200" s="188" t="s">
        <v>1416</v>
      </c>
      <c r="E200" s="188" t="s">
        <v>4</v>
      </c>
      <c r="F200" s="46">
        <v>220</v>
      </c>
      <c r="G200" s="188" t="s">
        <v>5</v>
      </c>
      <c r="H200" s="188"/>
      <c r="I200" s="51">
        <v>7604308</v>
      </c>
      <c r="J200" s="51">
        <v>0</v>
      </c>
      <c r="K200" s="51">
        <f t="shared" si="45"/>
        <v>7604308</v>
      </c>
      <c r="L200" s="51">
        <v>6032000</v>
      </c>
      <c r="M200" s="51">
        <v>0</v>
      </c>
      <c r="N200" s="51">
        <f t="shared" si="43"/>
        <v>6032000</v>
      </c>
      <c r="O200" s="51">
        <v>3015999.5</v>
      </c>
      <c r="P200" s="179" t="s">
        <v>1756</v>
      </c>
      <c r="Q200" s="179" t="s">
        <v>1759</v>
      </c>
      <c r="R200" s="179" t="s">
        <v>2131</v>
      </c>
      <c r="S200" s="47" t="s">
        <v>1757</v>
      </c>
      <c r="T200" s="54">
        <f>+I200</f>
        <v>7604308</v>
      </c>
      <c r="U200" s="218">
        <v>7254113</v>
      </c>
      <c r="W200" t="s">
        <v>1883</v>
      </c>
      <c r="AA200">
        <f t="shared" si="46"/>
        <v>220</v>
      </c>
      <c r="AD200" t="str">
        <f t="shared" si="47"/>
        <v>352</v>
      </c>
      <c r="AE200">
        <f t="shared" si="48"/>
        <v>0</v>
      </c>
      <c r="AG200" s="50" t="str">
        <f t="shared" si="49"/>
        <v>Péréquation</v>
      </c>
      <c r="AH200" s="244" t="str">
        <f t="shared" si="50"/>
        <v>93000</v>
      </c>
      <c r="AI200" s="219"/>
      <c r="AJ200" s="219"/>
      <c r="AK200" s="219" t="str">
        <f t="shared" si="51"/>
        <v>3622</v>
      </c>
      <c r="AL200" s="244" t="str">
        <f t="shared" si="52"/>
        <v>00</v>
      </c>
      <c r="AN200" s="219" t="str">
        <f t="shared" si="53"/>
        <v>Péréquation financière - compensation charges aux communes</v>
      </c>
    </row>
    <row r="201" spans="1:40" ht="15" customHeight="1" x14ac:dyDescent="0.3">
      <c r="A201" s="48"/>
      <c r="B201" s="74" t="s">
        <v>308</v>
      </c>
      <c r="C201" s="67" t="s">
        <v>309</v>
      </c>
      <c r="D201" s="188" t="s">
        <v>1416</v>
      </c>
      <c r="E201" s="188" t="s">
        <v>4</v>
      </c>
      <c r="F201" s="46">
        <v>220</v>
      </c>
      <c r="G201" s="188" t="s">
        <v>5</v>
      </c>
      <c r="H201" s="188"/>
      <c r="I201" s="51"/>
      <c r="J201" s="51"/>
      <c r="K201" s="51">
        <f t="shared" si="45"/>
        <v>0</v>
      </c>
      <c r="L201" s="51"/>
      <c r="M201" s="51"/>
      <c r="N201" s="51">
        <f t="shared" si="43"/>
        <v>0</v>
      </c>
      <c r="O201" s="51"/>
      <c r="P201" s="179" t="s">
        <v>1756</v>
      </c>
      <c r="Q201" s="179" t="s">
        <v>1759</v>
      </c>
      <c r="R201" s="179" t="s">
        <v>2132</v>
      </c>
      <c r="S201" s="47" t="s">
        <v>1758</v>
      </c>
      <c r="T201" s="54"/>
      <c r="U201" s="54"/>
      <c r="AA201">
        <f t="shared" si="46"/>
        <v>220</v>
      </c>
      <c r="AD201" t="str">
        <f t="shared" si="47"/>
        <v>352</v>
      </c>
      <c r="AE201">
        <f t="shared" si="48"/>
        <v>0</v>
      </c>
      <c r="AG201" s="50" t="str">
        <f t="shared" si="49"/>
        <v>Péréquation</v>
      </c>
      <c r="AH201" s="244" t="str">
        <f t="shared" si="50"/>
        <v>93000</v>
      </c>
      <c r="AI201" s="219"/>
      <c r="AJ201" s="219"/>
      <c r="AK201" s="219" t="str">
        <f t="shared" si="51"/>
        <v>3622</v>
      </c>
      <c r="AL201" s="244" t="str">
        <f t="shared" si="52"/>
        <v>01</v>
      </c>
      <c r="AN201" s="219" t="str">
        <f t="shared" si="53"/>
        <v>Péréquation financière - compensation charges aux communes N-1</v>
      </c>
    </row>
    <row r="202" spans="1:40" ht="15" customHeight="1" x14ac:dyDescent="0.3">
      <c r="A202" s="48"/>
      <c r="B202" s="74" t="s">
        <v>308</v>
      </c>
      <c r="C202" s="67" t="s">
        <v>309</v>
      </c>
      <c r="D202" s="188" t="s">
        <v>1416</v>
      </c>
      <c r="E202" s="188" t="s">
        <v>4</v>
      </c>
      <c r="F202" s="46">
        <v>220</v>
      </c>
      <c r="G202" s="188" t="s">
        <v>5</v>
      </c>
      <c r="H202" s="188"/>
      <c r="I202" s="51"/>
      <c r="J202" s="51"/>
      <c r="K202" s="51">
        <f t="shared" si="45"/>
        <v>0</v>
      </c>
      <c r="L202" s="51"/>
      <c r="M202" s="51"/>
      <c r="N202" s="51">
        <f t="shared" si="43"/>
        <v>0</v>
      </c>
      <c r="O202" s="51"/>
      <c r="P202" s="179" t="s">
        <v>1756</v>
      </c>
      <c r="Q202" s="179" t="s">
        <v>1760</v>
      </c>
      <c r="R202" s="179" t="s">
        <v>2131</v>
      </c>
      <c r="S202" s="47" t="s">
        <v>1757</v>
      </c>
      <c r="T202" s="54"/>
      <c r="U202" s="54"/>
      <c r="AA202">
        <f t="shared" si="46"/>
        <v>220</v>
      </c>
      <c r="AD202" t="str">
        <f t="shared" si="47"/>
        <v>352</v>
      </c>
      <c r="AE202">
        <f t="shared" si="48"/>
        <v>0</v>
      </c>
      <c r="AG202" s="50" t="str">
        <f t="shared" si="49"/>
        <v>Péréquation</v>
      </c>
      <c r="AH202" s="244" t="str">
        <f t="shared" si="50"/>
        <v>93000</v>
      </c>
      <c r="AI202" s="219"/>
      <c r="AJ202" s="219"/>
      <c r="AK202" s="219" t="str">
        <f t="shared" si="51"/>
        <v>4622</v>
      </c>
      <c r="AL202" s="244" t="str">
        <f t="shared" si="52"/>
        <v>00</v>
      </c>
      <c r="AN202" s="219" t="str">
        <f t="shared" si="53"/>
        <v>Péréquation financière - compensation charges aux communes</v>
      </c>
    </row>
    <row r="203" spans="1:40" ht="15" customHeight="1" x14ac:dyDescent="0.3">
      <c r="A203" s="48"/>
      <c r="B203" s="74" t="s">
        <v>308</v>
      </c>
      <c r="C203" s="67" t="s">
        <v>309</v>
      </c>
      <c r="D203" s="188" t="s">
        <v>1416</v>
      </c>
      <c r="E203" s="188" t="s">
        <v>4</v>
      </c>
      <c r="F203" s="46">
        <v>220</v>
      </c>
      <c r="G203" s="188" t="s">
        <v>5</v>
      </c>
      <c r="H203" s="188"/>
      <c r="I203" s="51"/>
      <c r="J203" s="51"/>
      <c r="K203" s="51">
        <f t="shared" si="45"/>
        <v>0</v>
      </c>
      <c r="L203" s="51"/>
      <c r="M203" s="51"/>
      <c r="N203" s="51">
        <f t="shared" si="43"/>
        <v>0</v>
      </c>
      <c r="O203" s="51"/>
      <c r="P203" s="179" t="s">
        <v>1756</v>
      </c>
      <c r="Q203" s="179" t="s">
        <v>1760</v>
      </c>
      <c r="R203" s="179" t="s">
        <v>2132</v>
      </c>
      <c r="S203" s="47" t="s">
        <v>1758</v>
      </c>
      <c r="T203" s="54"/>
      <c r="U203" s="54"/>
      <c r="AA203">
        <f t="shared" si="46"/>
        <v>220</v>
      </c>
      <c r="AD203" t="str">
        <f t="shared" si="47"/>
        <v>352</v>
      </c>
      <c r="AE203">
        <f t="shared" si="48"/>
        <v>0</v>
      </c>
      <c r="AG203" s="50" t="str">
        <f t="shared" si="49"/>
        <v>Péréquation</v>
      </c>
      <c r="AH203" s="244" t="str">
        <f t="shared" si="50"/>
        <v>93000</v>
      </c>
      <c r="AI203" s="219"/>
      <c r="AJ203" s="219"/>
      <c r="AK203" s="219" t="str">
        <f t="shared" si="51"/>
        <v>4622</v>
      </c>
      <c r="AL203" s="244" t="str">
        <f t="shared" si="52"/>
        <v>01</v>
      </c>
      <c r="AN203" s="219" t="str">
        <f t="shared" si="53"/>
        <v>Péréquation financière - compensation charges aux communes N-1</v>
      </c>
    </row>
    <row r="204" spans="1:40" ht="15" customHeight="1" x14ac:dyDescent="0.3">
      <c r="A204" s="48">
        <v>0</v>
      </c>
      <c r="B204" s="49" t="s">
        <v>310</v>
      </c>
      <c r="C204" s="50" t="s">
        <v>311</v>
      </c>
      <c r="D204" s="46" t="s">
        <v>1416</v>
      </c>
      <c r="E204" s="46" t="s">
        <v>4</v>
      </c>
      <c r="F204" s="46">
        <v>220</v>
      </c>
      <c r="G204" s="46" t="s">
        <v>5</v>
      </c>
      <c r="H204" s="46">
        <v>1</v>
      </c>
      <c r="I204" s="51">
        <v>0</v>
      </c>
      <c r="J204" s="51">
        <v>0</v>
      </c>
      <c r="K204" s="51">
        <f t="shared" ref="K204:K235" si="54">+I204+J204</f>
        <v>0</v>
      </c>
      <c r="L204" s="51">
        <v>0</v>
      </c>
      <c r="M204" s="51">
        <v>0</v>
      </c>
      <c r="N204" s="51">
        <f t="shared" ref="N204:N267" si="55">+L204+M204</f>
        <v>0</v>
      </c>
      <c r="O204" s="51">
        <v>0</v>
      </c>
      <c r="P204" s="179" t="s">
        <v>1489</v>
      </c>
      <c r="Q204" s="179" t="s">
        <v>1489</v>
      </c>
      <c r="R204" s="179" t="s">
        <v>1489</v>
      </c>
      <c r="S204" s="47"/>
      <c r="T204" s="54"/>
      <c r="U204" s="54"/>
      <c r="AA204">
        <f t="shared" si="46"/>
        <v>220</v>
      </c>
      <c r="AD204" t="str">
        <f t="shared" si="47"/>
        <v>352</v>
      </c>
      <c r="AE204">
        <f t="shared" si="48"/>
        <v>1</v>
      </c>
      <c r="AG204" s="50" t="str">
        <f t="shared" si="49"/>
        <v>Péréquation année précédente</v>
      </c>
      <c r="AH204" s="244" t="str">
        <f t="shared" si="50"/>
        <v>-</v>
      </c>
      <c r="AI204" s="219"/>
      <c r="AJ204" s="219"/>
      <c r="AK204" s="219" t="str">
        <f t="shared" si="51"/>
        <v>-</v>
      </c>
      <c r="AL204" s="244" t="str">
        <f t="shared" si="52"/>
        <v>-</v>
      </c>
      <c r="AN204" s="219">
        <f t="shared" si="53"/>
        <v>0</v>
      </c>
    </row>
    <row r="205" spans="1:40" ht="15" customHeight="1" x14ac:dyDescent="0.3">
      <c r="A205" s="48">
        <v>0</v>
      </c>
      <c r="B205" s="49" t="s">
        <v>312</v>
      </c>
      <c r="C205" s="50" t="s">
        <v>313</v>
      </c>
      <c r="D205" s="46" t="s">
        <v>1416</v>
      </c>
      <c r="E205" s="46" t="s">
        <v>4</v>
      </c>
      <c r="F205" s="46">
        <v>220</v>
      </c>
      <c r="G205" s="46" t="s">
        <v>99</v>
      </c>
      <c r="H205" s="46"/>
      <c r="I205" s="51">
        <v>0</v>
      </c>
      <c r="J205" s="51">
        <v>0</v>
      </c>
      <c r="K205" s="51">
        <f t="shared" si="54"/>
        <v>0</v>
      </c>
      <c r="L205" s="51">
        <v>0</v>
      </c>
      <c r="M205" s="51">
        <v>0</v>
      </c>
      <c r="N205" s="51">
        <f t="shared" si="55"/>
        <v>0</v>
      </c>
      <c r="O205" s="51">
        <v>0</v>
      </c>
      <c r="P205" s="179" t="s">
        <v>1489</v>
      </c>
      <c r="Q205" s="179" t="s">
        <v>1489</v>
      </c>
      <c r="R205" s="179" t="s">
        <v>1489</v>
      </c>
      <c r="S205" s="47"/>
      <c r="T205" s="54"/>
      <c r="U205" s="54"/>
      <c r="AA205">
        <f t="shared" si="46"/>
        <v>220</v>
      </c>
      <c r="AD205" t="str">
        <f t="shared" si="47"/>
        <v>365</v>
      </c>
      <c r="AE205">
        <f t="shared" si="48"/>
        <v>0</v>
      </c>
      <c r="AG205" s="50" t="str">
        <f t="shared" si="49"/>
        <v>Aides, subventions</v>
      </c>
      <c r="AH205" s="244" t="str">
        <f t="shared" si="50"/>
        <v>-</v>
      </c>
      <c r="AI205" s="219"/>
      <c r="AJ205" s="219"/>
      <c r="AK205" s="219" t="str">
        <f t="shared" si="51"/>
        <v>-</v>
      </c>
      <c r="AL205" s="244" t="str">
        <f t="shared" si="52"/>
        <v>-</v>
      </c>
      <c r="AN205" s="219">
        <f t="shared" si="53"/>
        <v>0</v>
      </c>
    </row>
    <row r="206" spans="1:40" ht="15" customHeight="1" x14ac:dyDescent="0.3">
      <c r="A206" s="48">
        <v>0</v>
      </c>
      <c r="B206" s="49" t="s">
        <v>314</v>
      </c>
      <c r="C206" s="50" t="s">
        <v>315</v>
      </c>
      <c r="D206" s="46" t="s">
        <v>1416</v>
      </c>
      <c r="E206" s="46" t="s">
        <v>4</v>
      </c>
      <c r="F206" s="46">
        <v>220</v>
      </c>
      <c r="G206" s="46" t="s">
        <v>99</v>
      </c>
      <c r="H206" s="46">
        <v>1</v>
      </c>
      <c r="I206" s="51">
        <v>0</v>
      </c>
      <c r="J206" s="51">
        <v>0</v>
      </c>
      <c r="K206" s="51">
        <f t="shared" si="54"/>
        <v>0</v>
      </c>
      <c r="L206" s="51">
        <v>0</v>
      </c>
      <c r="M206" s="51">
        <v>0</v>
      </c>
      <c r="N206" s="51">
        <f t="shared" si="55"/>
        <v>0</v>
      </c>
      <c r="O206" s="51">
        <v>0</v>
      </c>
      <c r="P206" s="179" t="s">
        <v>1489</v>
      </c>
      <c r="Q206" s="179" t="s">
        <v>1489</v>
      </c>
      <c r="R206" s="179" t="s">
        <v>1489</v>
      </c>
      <c r="S206" s="47"/>
      <c r="T206" s="54"/>
      <c r="U206" s="54"/>
      <c r="AA206">
        <f t="shared" si="46"/>
        <v>220</v>
      </c>
      <c r="AD206" t="str">
        <f t="shared" si="47"/>
        <v>365</v>
      </c>
      <c r="AE206">
        <f t="shared" si="48"/>
        <v>1</v>
      </c>
      <c r="AG206" s="50" t="str">
        <f t="shared" si="49"/>
        <v>Subvention énergies renouvelables (amort. 9282.13)</v>
      </c>
      <c r="AH206" s="244" t="str">
        <f t="shared" si="50"/>
        <v>-</v>
      </c>
      <c r="AI206" s="219"/>
      <c r="AJ206" s="219"/>
      <c r="AK206" s="219" t="str">
        <f t="shared" si="51"/>
        <v>-</v>
      </c>
      <c r="AL206" s="244" t="str">
        <f t="shared" si="52"/>
        <v>-</v>
      </c>
      <c r="AN206" s="219">
        <f t="shared" si="53"/>
        <v>0</v>
      </c>
    </row>
    <row r="207" spans="1:40" ht="15" customHeight="1" x14ac:dyDescent="0.3">
      <c r="A207" s="48">
        <v>0</v>
      </c>
      <c r="B207" s="49" t="s">
        <v>316</v>
      </c>
      <c r="C207" s="50" t="s">
        <v>317</v>
      </c>
      <c r="D207" s="46" t="s">
        <v>1416</v>
      </c>
      <c r="E207" s="46" t="s">
        <v>4</v>
      </c>
      <c r="F207" s="46">
        <v>220</v>
      </c>
      <c r="G207" s="46" t="s">
        <v>6</v>
      </c>
      <c r="H207" s="46"/>
      <c r="I207" s="51">
        <v>0</v>
      </c>
      <c r="J207" s="51">
        <v>0</v>
      </c>
      <c r="K207" s="51">
        <f t="shared" si="54"/>
        <v>0</v>
      </c>
      <c r="L207" s="51">
        <v>0</v>
      </c>
      <c r="M207" s="51">
        <v>0</v>
      </c>
      <c r="N207" s="51">
        <f t="shared" si="55"/>
        <v>0</v>
      </c>
      <c r="O207" s="51">
        <v>0</v>
      </c>
      <c r="P207" s="179" t="s">
        <v>1489</v>
      </c>
      <c r="Q207" s="179" t="s">
        <v>1489</v>
      </c>
      <c r="R207" s="179" t="s">
        <v>1489</v>
      </c>
      <c r="S207" s="47"/>
      <c r="T207" s="54"/>
      <c r="U207" s="54"/>
      <c r="AA207">
        <f t="shared" si="46"/>
        <v>220</v>
      </c>
      <c r="AD207" t="str">
        <f t="shared" si="47"/>
        <v>380</v>
      </c>
      <c r="AE207">
        <f t="shared" si="48"/>
        <v>0</v>
      </c>
      <c r="AG207" s="50" t="str">
        <f t="shared" si="49"/>
        <v>Attrib. Au fonds de réserve travaux futurs (9282.1)</v>
      </c>
      <c r="AH207" s="244" t="str">
        <f t="shared" si="50"/>
        <v>-</v>
      </c>
      <c r="AI207" s="219"/>
      <c r="AJ207" s="219"/>
      <c r="AK207" s="219" t="str">
        <f t="shared" si="51"/>
        <v>-</v>
      </c>
      <c r="AL207" s="244" t="str">
        <f t="shared" si="52"/>
        <v>-</v>
      </c>
      <c r="AN207" s="219">
        <f t="shared" si="53"/>
        <v>0</v>
      </c>
    </row>
    <row r="208" spans="1:40" ht="15" customHeight="1" x14ac:dyDescent="0.3">
      <c r="A208" s="48">
        <v>0</v>
      </c>
      <c r="B208" s="49" t="s">
        <v>318</v>
      </c>
      <c r="C208" s="50" t="s">
        <v>319</v>
      </c>
      <c r="D208" s="46" t="s">
        <v>1416</v>
      </c>
      <c r="E208" s="46" t="s">
        <v>4</v>
      </c>
      <c r="F208" s="46">
        <v>220</v>
      </c>
      <c r="G208" s="46" t="s">
        <v>6</v>
      </c>
      <c r="H208" s="46">
        <v>1</v>
      </c>
      <c r="I208" s="51">
        <v>0</v>
      </c>
      <c r="J208" s="51">
        <v>0</v>
      </c>
      <c r="K208" s="51">
        <f t="shared" si="54"/>
        <v>0</v>
      </c>
      <c r="L208" s="51">
        <v>0</v>
      </c>
      <c r="M208" s="51">
        <v>0</v>
      </c>
      <c r="N208" s="51">
        <f t="shared" si="55"/>
        <v>0</v>
      </c>
      <c r="O208" s="51">
        <v>0</v>
      </c>
      <c r="P208" s="179" t="s">
        <v>1489</v>
      </c>
      <c r="Q208" s="179" t="s">
        <v>1489</v>
      </c>
      <c r="R208" s="179" t="s">
        <v>1489</v>
      </c>
      <c r="S208" s="47"/>
      <c r="T208" s="54"/>
      <c r="U208" s="54"/>
      <c r="AA208">
        <f t="shared" si="46"/>
        <v>220</v>
      </c>
      <c r="AD208" t="str">
        <f t="shared" si="47"/>
        <v>380</v>
      </c>
      <c r="AE208">
        <f t="shared" si="48"/>
        <v>1</v>
      </c>
      <c r="AG208" s="50" t="str">
        <f t="shared" si="49"/>
        <v>Attrib. Au fonds de réserve Energies renouvelables (9282.13)</v>
      </c>
      <c r="AH208" s="244" t="str">
        <f t="shared" si="50"/>
        <v>-</v>
      </c>
      <c r="AI208" s="219"/>
      <c r="AJ208" s="219"/>
      <c r="AK208" s="219" t="str">
        <f t="shared" si="51"/>
        <v>-</v>
      </c>
      <c r="AL208" s="244" t="str">
        <f t="shared" si="52"/>
        <v>-</v>
      </c>
      <c r="AN208" s="219">
        <f t="shared" si="53"/>
        <v>0</v>
      </c>
    </row>
    <row r="209" spans="1:40" ht="15" customHeight="1" x14ac:dyDescent="0.3">
      <c r="A209" s="48">
        <v>0</v>
      </c>
      <c r="B209" s="49" t="s">
        <v>320</v>
      </c>
      <c r="C209" s="50" t="s">
        <v>321</v>
      </c>
      <c r="D209" s="46" t="s">
        <v>1416</v>
      </c>
      <c r="E209" s="46" t="s">
        <v>4</v>
      </c>
      <c r="F209" s="46">
        <v>220</v>
      </c>
      <c r="G209" s="46" t="s">
        <v>6</v>
      </c>
      <c r="H209" s="46">
        <v>2</v>
      </c>
      <c r="I209" s="51">
        <v>0</v>
      </c>
      <c r="J209" s="51">
        <v>0</v>
      </c>
      <c r="K209" s="51">
        <f t="shared" si="54"/>
        <v>0</v>
      </c>
      <c r="L209" s="51">
        <v>0</v>
      </c>
      <c r="M209" s="51">
        <v>0</v>
      </c>
      <c r="N209" s="51">
        <f t="shared" si="55"/>
        <v>0</v>
      </c>
      <c r="O209" s="51">
        <v>0</v>
      </c>
      <c r="P209" s="179" t="s">
        <v>1489</v>
      </c>
      <c r="Q209" s="179" t="s">
        <v>1489</v>
      </c>
      <c r="R209" s="179" t="s">
        <v>1489</v>
      </c>
      <c r="S209" s="47"/>
      <c r="T209" s="54"/>
      <c r="U209" s="54"/>
      <c r="AA209">
        <f t="shared" si="46"/>
        <v>220</v>
      </c>
      <c r="AD209" t="str">
        <f t="shared" si="47"/>
        <v>380</v>
      </c>
      <c r="AE209">
        <f t="shared" si="48"/>
        <v>2</v>
      </c>
      <c r="AG209" s="50" t="str">
        <f t="shared" si="49"/>
        <v>Attrib. Au fonds de réserve intérêts publics (9282.14)</v>
      </c>
      <c r="AH209" s="244" t="str">
        <f t="shared" si="50"/>
        <v>-</v>
      </c>
      <c r="AI209" s="219"/>
      <c r="AJ209" s="219"/>
      <c r="AK209" s="219" t="str">
        <f t="shared" si="51"/>
        <v>-</v>
      </c>
      <c r="AL209" s="244" t="str">
        <f t="shared" si="52"/>
        <v>-</v>
      </c>
      <c r="AN209" s="219">
        <f t="shared" si="53"/>
        <v>0</v>
      </c>
    </row>
    <row r="210" spans="1:40" ht="15" customHeight="1" x14ac:dyDescent="0.3">
      <c r="A210" s="48">
        <v>0</v>
      </c>
      <c r="B210" s="74" t="s">
        <v>322</v>
      </c>
      <c r="C210" s="67" t="s">
        <v>323</v>
      </c>
      <c r="D210" s="188" t="s">
        <v>1416</v>
      </c>
      <c r="E210" s="188" t="s">
        <v>4</v>
      </c>
      <c r="F210" s="46">
        <v>220</v>
      </c>
      <c r="G210" s="188" t="s">
        <v>269</v>
      </c>
      <c r="H210" s="188"/>
      <c r="I210" s="51">
        <v>0</v>
      </c>
      <c r="J210" s="51">
        <v>-28440.45</v>
      </c>
      <c r="K210" s="51">
        <f t="shared" si="54"/>
        <v>-28440.45</v>
      </c>
      <c r="L210" s="51">
        <v>0</v>
      </c>
      <c r="M210" s="51">
        <v>0</v>
      </c>
      <c r="N210" s="51">
        <f t="shared" si="55"/>
        <v>0</v>
      </c>
      <c r="O210" s="51">
        <v>-18000</v>
      </c>
      <c r="P210" s="179" t="s">
        <v>1736</v>
      </c>
      <c r="Q210" s="179" t="s">
        <v>1732</v>
      </c>
      <c r="R210" s="179" t="s">
        <v>2132</v>
      </c>
      <c r="S210" s="47" t="s">
        <v>1766</v>
      </c>
      <c r="T210" s="6">
        <f>-1625*2</f>
        <v>-3250</v>
      </c>
      <c r="U210" s="54">
        <v>-1625</v>
      </c>
      <c r="W210" t="s">
        <v>1763</v>
      </c>
      <c r="AA210">
        <f t="shared" si="46"/>
        <v>220</v>
      </c>
      <c r="AD210" t="str">
        <f t="shared" si="47"/>
        <v>422</v>
      </c>
      <c r="AE210">
        <f t="shared" si="48"/>
        <v>0</v>
      </c>
      <c r="AG210" s="50" t="str">
        <f t="shared" si="49"/>
        <v>Revenus du patrimoine financier</v>
      </c>
      <c r="AH210" s="244" t="str">
        <f t="shared" si="50"/>
        <v>96100</v>
      </c>
      <c r="AI210" s="219"/>
      <c r="AJ210" s="219"/>
      <c r="AK210" s="219" t="str">
        <f t="shared" si="51"/>
        <v>4401</v>
      </c>
      <c r="AL210" s="244" t="str">
        <f t="shared" si="52"/>
        <v>01</v>
      </c>
      <c r="AN210" s="219" t="str">
        <f t="shared" si="53"/>
        <v>Intérêts sur créances - CAD</v>
      </c>
    </row>
    <row r="211" spans="1:40" ht="15" customHeight="1" x14ac:dyDescent="0.3">
      <c r="A211" s="48"/>
      <c r="B211" s="74" t="s">
        <v>322</v>
      </c>
      <c r="C211" s="67" t="s">
        <v>323</v>
      </c>
      <c r="D211" s="188" t="s">
        <v>1416</v>
      </c>
      <c r="E211" s="188" t="s">
        <v>4</v>
      </c>
      <c r="F211" s="46">
        <v>220</v>
      </c>
      <c r="G211" s="188" t="s">
        <v>269</v>
      </c>
      <c r="H211" s="188"/>
      <c r="I211" s="51"/>
      <c r="J211" s="51"/>
      <c r="K211" s="51">
        <f t="shared" si="54"/>
        <v>0</v>
      </c>
      <c r="L211" s="51"/>
      <c r="M211" s="51"/>
      <c r="N211" s="51">
        <f t="shared" si="55"/>
        <v>0</v>
      </c>
      <c r="O211" s="51"/>
      <c r="P211" s="179" t="s">
        <v>1736</v>
      </c>
      <c r="Q211" s="179" t="s">
        <v>1764</v>
      </c>
      <c r="R211" s="179" t="s">
        <v>2131</v>
      </c>
      <c r="S211" s="47" t="s">
        <v>1765</v>
      </c>
      <c r="T211" s="54">
        <v>-18000</v>
      </c>
      <c r="U211" s="54">
        <v>-18000</v>
      </c>
      <c r="W211" t="s">
        <v>1768</v>
      </c>
      <c r="AA211">
        <f t="shared" si="46"/>
        <v>220</v>
      </c>
      <c r="AD211" t="str">
        <f t="shared" si="47"/>
        <v>422</v>
      </c>
      <c r="AE211">
        <f t="shared" si="48"/>
        <v>0</v>
      </c>
      <c r="AG211" s="50" t="str">
        <f t="shared" si="49"/>
        <v>Revenus du patrimoine financier</v>
      </c>
      <c r="AH211" s="244" t="str">
        <f t="shared" si="50"/>
        <v>96100</v>
      </c>
      <c r="AI211" s="219"/>
      <c r="AJ211" s="219"/>
      <c r="AK211" s="219" t="str">
        <f t="shared" si="51"/>
        <v>4420</v>
      </c>
      <c r="AL211" s="244" t="str">
        <f t="shared" si="52"/>
        <v>00</v>
      </c>
      <c r="AN211" s="219" t="str">
        <f t="shared" si="53"/>
        <v>Dividendes - actions</v>
      </c>
    </row>
    <row r="212" spans="1:40" ht="15" customHeight="1" x14ac:dyDescent="0.3">
      <c r="A212" s="48"/>
      <c r="B212" s="74" t="s">
        <v>322</v>
      </c>
      <c r="C212" s="67" t="s">
        <v>323</v>
      </c>
      <c r="D212" s="188" t="s">
        <v>1416</v>
      </c>
      <c r="E212" s="188" t="s">
        <v>4</v>
      </c>
      <c r="F212" s="46">
        <v>220</v>
      </c>
      <c r="G212" s="188" t="s">
        <v>269</v>
      </c>
      <c r="H212" s="188"/>
      <c r="I212" s="51"/>
      <c r="J212" s="51"/>
      <c r="K212" s="51">
        <f t="shared" si="54"/>
        <v>0</v>
      </c>
      <c r="L212" s="51"/>
      <c r="M212" s="51"/>
      <c r="N212" s="51">
        <f t="shared" si="55"/>
        <v>0</v>
      </c>
      <c r="O212" s="51"/>
      <c r="P212" s="179" t="s">
        <v>1736</v>
      </c>
      <c r="Q212" s="179" t="s">
        <v>1767</v>
      </c>
      <c r="R212" s="179" t="s">
        <v>2131</v>
      </c>
      <c r="S212" s="47" t="s">
        <v>1770</v>
      </c>
      <c r="T212" s="54">
        <v>-400</v>
      </c>
      <c r="U212" s="54">
        <f>+T212</f>
        <v>-400</v>
      </c>
      <c r="W212" t="s">
        <v>1769</v>
      </c>
      <c r="AA212">
        <f t="shared" si="46"/>
        <v>220</v>
      </c>
      <c r="AD212" t="str">
        <f t="shared" si="47"/>
        <v>422</v>
      </c>
      <c r="AE212">
        <f t="shared" si="48"/>
        <v>0</v>
      </c>
      <c r="AG212" s="50" t="str">
        <f t="shared" si="49"/>
        <v>Revenus du patrimoine financier</v>
      </c>
      <c r="AH212" s="244" t="str">
        <f t="shared" si="50"/>
        <v>96100</v>
      </c>
      <c r="AI212" s="219"/>
      <c r="AJ212" s="219"/>
      <c r="AK212" s="219" t="str">
        <f t="shared" si="51"/>
        <v>4429</v>
      </c>
      <c r="AL212" s="244" t="str">
        <f t="shared" si="52"/>
        <v>00</v>
      </c>
      <c r="AN212" s="219" t="str">
        <f t="shared" si="53"/>
        <v>Autres revenus de participations - Raiffeisen</v>
      </c>
    </row>
    <row r="213" spans="1:40" ht="15" customHeight="1" x14ac:dyDescent="0.3">
      <c r="A213" s="48"/>
      <c r="B213" s="74" t="s">
        <v>322</v>
      </c>
      <c r="C213" s="67" t="s">
        <v>323</v>
      </c>
      <c r="D213" s="188" t="s">
        <v>1416</v>
      </c>
      <c r="E213" s="188" t="s">
        <v>4</v>
      </c>
      <c r="F213" s="46">
        <v>220</v>
      </c>
      <c r="G213" s="188" t="s">
        <v>269</v>
      </c>
      <c r="H213" s="188"/>
      <c r="I213" s="51"/>
      <c r="J213" s="51"/>
      <c r="K213" s="51">
        <f t="shared" si="54"/>
        <v>0</v>
      </c>
      <c r="L213" s="51"/>
      <c r="M213" s="51"/>
      <c r="N213" s="51">
        <f t="shared" si="55"/>
        <v>0</v>
      </c>
      <c r="O213" s="51"/>
      <c r="P213" s="179" t="s">
        <v>1736</v>
      </c>
      <c r="Q213" s="179" t="s">
        <v>1771</v>
      </c>
      <c r="R213" s="179" t="s">
        <v>2131</v>
      </c>
      <c r="S213" s="47" t="s">
        <v>1772</v>
      </c>
      <c r="T213" s="54">
        <f>+J210-T211-T212-T210</f>
        <v>-6790.4500000000007</v>
      </c>
      <c r="U213" s="54"/>
      <c r="W213" t="s">
        <v>1882</v>
      </c>
      <c r="AA213">
        <f t="shared" si="46"/>
        <v>220</v>
      </c>
      <c r="AD213" t="str">
        <f t="shared" si="47"/>
        <v>422</v>
      </c>
      <c r="AE213">
        <f t="shared" si="48"/>
        <v>0</v>
      </c>
      <c r="AG213" s="50" t="str">
        <f t="shared" si="49"/>
        <v>Revenus du patrimoine financier</v>
      </c>
      <c r="AH213" s="244" t="str">
        <f t="shared" si="50"/>
        <v>96100</v>
      </c>
      <c r="AI213" s="219"/>
      <c r="AJ213" s="219"/>
      <c r="AK213" s="219" t="str">
        <f t="shared" si="51"/>
        <v>4400</v>
      </c>
      <c r="AL213" s="244" t="str">
        <f t="shared" si="52"/>
        <v>00</v>
      </c>
      <c r="AN213" s="219" t="str">
        <f t="shared" si="53"/>
        <v>Intérêts des liquidités- comptes courants</v>
      </c>
    </row>
    <row r="214" spans="1:40" ht="15" customHeight="1" x14ac:dyDescent="0.3">
      <c r="A214" s="48">
        <v>0</v>
      </c>
      <c r="B214" s="49" t="s">
        <v>324</v>
      </c>
      <c r="C214" s="50" t="s">
        <v>325</v>
      </c>
      <c r="D214" s="46" t="s">
        <v>1416</v>
      </c>
      <c r="E214" s="46" t="s">
        <v>4</v>
      </c>
      <c r="F214" s="46">
        <v>220</v>
      </c>
      <c r="G214" s="46" t="s">
        <v>326</v>
      </c>
      <c r="H214" s="46"/>
      <c r="I214" s="51">
        <v>0</v>
      </c>
      <c r="J214" s="51">
        <v>0</v>
      </c>
      <c r="K214" s="51">
        <f t="shared" si="54"/>
        <v>0</v>
      </c>
      <c r="L214" s="51">
        <v>0</v>
      </c>
      <c r="M214" s="51">
        <v>0</v>
      </c>
      <c r="N214" s="51">
        <f t="shared" si="55"/>
        <v>0</v>
      </c>
      <c r="O214" s="51">
        <v>0</v>
      </c>
      <c r="P214" s="179" t="s">
        <v>1489</v>
      </c>
      <c r="Q214" s="179" t="s">
        <v>1489</v>
      </c>
      <c r="R214" s="179" t="s">
        <v>1489</v>
      </c>
      <c r="S214" s="47"/>
      <c r="T214" s="54"/>
      <c r="U214" s="54"/>
      <c r="AA214">
        <f t="shared" si="46"/>
        <v>220</v>
      </c>
      <c r="AD214" t="str">
        <f t="shared" si="47"/>
        <v>423</v>
      </c>
      <c r="AE214">
        <f t="shared" si="48"/>
        <v>0</v>
      </c>
      <c r="AG214" s="50" t="str">
        <f t="shared" si="49"/>
        <v>Revenus des droits de superficie</v>
      </c>
      <c r="AH214" s="244" t="str">
        <f t="shared" si="50"/>
        <v>-</v>
      </c>
      <c r="AI214" s="219"/>
      <c r="AJ214" s="219"/>
      <c r="AK214" s="219" t="str">
        <f t="shared" si="51"/>
        <v>-</v>
      </c>
      <c r="AL214" s="244" t="str">
        <f t="shared" si="52"/>
        <v>-</v>
      </c>
      <c r="AN214" s="219">
        <f t="shared" si="53"/>
        <v>0</v>
      </c>
    </row>
    <row r="215" spans="1:40" ht="15" customHeight="1" x14ac:dyDescent="0.3">
      <c r="A215" s="48">
        <v>0</v>
      </c>
      <c r="B215" s="49" t="s">
        <v>327</v>
      </c>
      <c r="C215" s="50" t="s">
        <v>328</v>
      </c>
      <c r="D215" s="46" t="s">
        <v>1416</v>
      </c>
      <c r="E215" s="46" t="s">
        <v>4</v>
      </c>
      <c r="F215" s="46">
        <v>220</v>
      </c>
      <c r="G215" s="46" t="s">
        <v>329</v>
      </c>
      <c r="H215" s="46"/>
      <c r="I215" s="51">
        <v>0</v>
      </c>
      <c r="J215" s="51">
        <v>0</v>
      </c>
      <c r="K215" s="51">
        <f t="shared" si="54"/>
        <v>0</v>
      </c>
      <c r="L215" s="51">
        <v>0</v>
      </c>
      <c r="M215" s="51">
        <v>0</v>
      </c>
      <c r="N215" s="51">
        <f t="shared" si="55"/>
        <v>0</v>
      </c>
      <c r="O215" s="51">
        <v>0</v>
      </c>
      <c r="P215" s="179" t="s">
        <v>1489</v>
      </c>
      <c r="Q215" s="179" t="s">
        <v>1489</v>
      </c>
      <c r="R215" s="179" t="s">
        <v>1489</v>
      </c>
      <c r="S215" s="47"/>
      <c r="T215" s="54"/>
      <c r="U215" s="54"/>
      <c r="AA215">
        <f t="shared" si="46"/>
        <v>220</v>
      </c>
      <c r="AD215" t="str">
        <f t="shared" si="47"/>
        <v>424</v>
      </c>
      <c r="AE215">
        <f t="shared" si="48"/>
        <v>0</v>
      </c>
      <c r="AG215" s="50" t="str">
        <f t="shared" si="49"/>
        <v>Gains comptables patrimoine financier</v>
      </c>
      <c r="AH215" s="244" t="str">
        <f t="shared" si="50"/>
        <v>-</v>
      </c>
      <c r="AI215" s="219"/>
      <c r="AJ215" s="219"/>
      <c r="AK215" s="219" t="str">
        <f t="shared" si="51"/>
        <v>-</v>
      </c>
      <c r="AL215" s="244" t="str">
        <f t="shared" si="52"/>
        <v>-</v>
      </c>
      <c r="AN215" s="219">
        <f t="shared" si="53"/>
        <v>0</v>
      </c>
    </row>
    <row r="216" spans="1:40" ht="15" customHeight="1" x14ac:dyDescent="0.3">
      <c r="A216" s="48">
        <v>0</v>
      </c>
      <c r="B216" s="49" t="s">
        <v>330</v>
      </c>
      <c r="C216" s="50" t="s">
        <v>331</v>
      </c>
      <c r="D216" s="46" t="s">
        <v>1416</v>
      </c>
      <c r="E216" s="46" t="s">
        <v>4</v>
      </c>
      <c r="F216" s="46">
        <v>220</v>
      </c>
      <c r="G216" s="46" t="s">
        <v>332</v>
      </c>
      <c r="H216" s="46"/>
      <c r="I216" s="51">
        <v>0</v>
      </c>
      <c r="J216" s="51">
        <v>0</v>
      </c>
      <c r="K216" s="51">
        <f t="shared" si="54"/>
        <v>0</v>
      </c>
      <c r="L216" s="51">
        <v>0</v>
      </c>
      <c r="M216" s="51">
        <v>0</v>
      </c>
      <c r="N216" s="51">
        <f t="shared" si="55"/>
        <v>0</v>
      </c>
      <c r="O216" s="51">
        <v>0</v>
      </c>
      <c r="P216" s="179" t="s">
        <v>1489</v>
      </c>
      <c r="Q216" s="179" t="s">
        <v>1489</v>
      </c>
      <c r="R216" s="179" t="s">
        <v>1489</v>
      </c>
      <c r="S216" s="47"/>
      <c r="T216" s="54"/>
      <c r="U216" s="54"/>
      <c r="AA216">
        <f t="shared" si="46"/>
        <v>220</v>
      </c>
      <c r="AD216" t="str">
        <f t="shared" si="47"/>
        <v>425</v>
      </c>
      <c r="AE216">
        <f t="shared" si="48"/>
        <v>0</v>
      </c>
      <c r="AG216" s="50" t="str">
        <f t="shared" si="49"/>
        <v>Revenus du patrimoine administratif</v>
      </c>
      <c r="AH216" s="244" t="str">
        <f t="shared" si="50"/>
        <v>-</v>
      </c>
      <c r="AI216" s="219"/>
      <c r="AJ216" s="219"/>
      <c r="AK216" s="219" t="str">
        <f t="shared" si="51"/>
        <v>-</v>
      </c>
      <c r="AL216" s="244" t="str">
        <f t="shared" si="52"/>
        <v>-</v>
      </c>
      <c r="AN216" s="219">
        <f t="shared" si="53"/>
        <v>0</v>
      </c>
    </row>
    <row r="217" spans="1:40" ht="15" customHeight="1" x14ac:dyDescent="0.3">
      <c r="A217" s="48">
        <v>0</v>
      </c>
      <c r="B217" s="49" t="s">
        <v>333</v>
      </c>
      <c r="C217" s="50" t="s">
        <v>334</v>
      </c>
      <c r="D217" s="46" t="s">
        <v>1416</v>
      </c>
      <c r="E217" s="46" t="s">
        <v>4</v>
      </c>
      <c r="F217" s="46">
        <v>220</v>
      </c>
      <c r="G217" s="46" t="s">
        <v>335</v>
      </c>
      <c r="H217" s="46"/>
      <c r="I217" s="51">
        <v>0</v>
      </c>
      <c r="J217" s="51">
        <v>0</v>
      </c>
      <c r="K217" s="51">
        <f t="shared" si="54"/>
        <v>0</v>
      </c>
      <c r="L217" s="51">
        <v>0</v>
      </c>
      <c r="M217" s="51">
        <v>0</v>
      </c>
      <c r="N217" s="51">
        <f t="shared" si="55"/>
        <v>0</v>
      </c>
      <c r="O217" s="51">
        <v>0</v>
      </c>
      <c r="P217" s="179" t="s">
        <v>1489</v>
      </c>
      <c r="Q217" s="179" t="s">
        <v>1489</v>
      </c>
      <c r="R217" s="179" t="s">
        <v>1489</v>
      </c>
      <c r="S217" s="47"/>
      <c r="T217" s="54"/>
      <c r="U217" s="54"/>
      <c r="AA217">
        <f t="shared" si="46"/>
        <v>220</v>
      </c>
      <c r="AD217" t="str">
        <f t="shared" si="47"/>
        <v>427</v>
      </c>
      <c r="AE217">
        <f t="shared" si="48"/>
        <v>0</v>
      </c>
      <c r="AG217" s="50" t="str">
        <f t="shared" si="49"/>
        <v>Revenus des immeubles du patrimoine administratif</v>
      </c>
      <c r="AH217" s="244" t="str">
        <f t="shared" si="50"/>
        <v>-</v>
      </c>
      <c r="AI217" s="219"/>
      <c r="AJ217" s="219"/>
      <c r="AK217" s="219" t="str">
        <f t="shared" si="51"/>
        <v>-</v>
      </c>
      <c r="AL217" s="244" t="str">
        <f t="shared" si="52"/>
        <v>-</v>
      </c>
      <c r="AN217" s="219">
        <f t="shared" si="53"/>
        <v>0</v>
      </c>
    </row>
    <row r="218" spans="1:40" ht="15" customHeight="1" x14ac:dyDescent="0.3">
      <c r="A218" s="48">
        <v>0</v>
      </c>
      <c r="B218" s="49" t="s">
        <v>336</v>
      </c>
      <c r="C218" s="50" t="s">
        <v>337</v>
      </c>
      <c r="D218" s="46" t="s">
        <v>1416</v>
      </c>
      <c r="E218" s="46" t="s">
        <v>4</v>
      </c>
      <c r="F218" s="46">
        <v>220</v>
      </c>
      <c r="G218" s="46" t="s">
        <v>338</v>
      </c>
      <c r="H218" s="46"/>
      <c r="I218" s="51">
        <v>0</v>
      </c>
      <c r="J218" s="51">
        <v>-150308.9</v>
      </c>
      <c r="K218" s="51">
        <f t="shared" si="54"/>
        <v>-150308.9</v>
      </c>
      <c r="L218" s="51">
        <v>0</v>
      </c>
      <c r="M218" s="51">
        <v>-100000</v>
      </c>
      <c r="N218" s="51">
        <f t="shared" si="55"/>
        <v>-100000</v>
      </c>
      <c r="O218" s="51">
        <v>-49500</v>
      </c>
      <c r="P218" s="179" t="s">
        <v>1738</v>
      </c>
      <c r="Q218" s="179" t="s">
        <v>1487</v>
      </c>
      <c r="R218" s="179" t="s">
        <v>2131</v>
      </c>
      <c r="S218" s="47" t="s">
        <v>2071</v>
      </c>
      <c r="T218" s="54">
        <f>+J218</f>
        <v>-150308.9</v>
      </c>
      <c r="U218" s="54">
        <v>-99000</v>
      </c>
      <c r="W218" t="s">
        <v>1773</v>
      </c>
      <c r="AA218">
        <f t="shared" si="46"/>
        <v>220</v>
      </c>
      <c r="AD218" t="str">
        <f t="shared" si="47"/>
        <v>434</v>
      </c>
      <c r="AE218">
        <f t="shared" si="48"/>
        <v>0</v>
      </c>
      <c r="AG218" s="50" t="str">
        <f t="shared" si="49"/>
        <v>Taxe pour usage du sol Romande Energie</v>
      </c>
      <c r="AH218" s="244" t="str">
        <f t="shared" si="50"/>
        <v>95000</v>
      </c>
      <c r="AI218" s="219"/>
      <c r="AJ218" s="219"/>
      <c r="AK218" s="219" t="str">
        <f t="shared" si="51"/>
        <v>4240</v>
      </c>
      <c r="AL218" s="244" t="str">
        <f t="shared" si="52"/>
        <v>00</v>
      </c>
      <c r="AN218" s="219" t="str">
        <f t="shared" si="53"/>
        <v>Taxe d'utilisation - Romande Energie</v>
      </c>
    </row>
    <row r="219" spans="1:40" ht="15" customHeight="1" x14ac:dyDescent="0.3">
      <c r="A219" s="48">
        <v>0</v>
      </c>
      <c r="B219" s="49" t="s">
        <v>339</v>
      </c>
      <c r="C219" s="50" t="s">
        <v>340</v>
      </c>
      <c r="D219" s="46" t="s">
        <v>1416</v>
      </c>
      <c r="E219" s="46" t="s">
        <v>4</v>
      </c>
      <c r="F219" s="46">
        <v>220</v>
      </c>
      <c r="G219" s="46" t="s">
        <v>272</v>
      </c>
      <c r="H219" s="46"/>
      <c r="I219" s="51">
        <v>0</v>
      </c>
      <c r="J219" s="51">
        <v>0</v>
      </c>
      <c r="K219" s="51">
        <f t="shared" si="54"/>
        <v>0</v>
      </c>
      <c r="L219" s="51">
        <v>0</v>
      </c>
      <c r="M219" s="51">
        <v>0</v>
      </c>
      <c r="N219" s="51">
        <f t="shared" si="55"/>
        <v>0</v>
      </c>
      <c r="O219" s="51">
        <v>0</v>
      </c>
      <c r="P219" s="179" t="s">
        <v>1489</v>
      </c>
      <c r="Q219" s="179" t="s">
        <v>1489</v>
      </c>
      <c r="R219" s="179" t="s">
        <v>1489</v>
      </c>
      <c r="S219" s="47"/>
      <c r="T219" s="54"/>
      <c r="U219" s="54"/>
      <c r="AA219">
        <f t="shared" si="46"/>
        <v>220</v>
      </c>
      <c r="AD219" t="str">
        <f t="shared" si="47"/>
        <v>441</v>
      </c>
      <c r="AE219">
        <f t="shared" si="48"/>
        <v>0</v>
      </c>
      <c r="AG219" s="50" t="str">
        <f t="shared" si="49"/>
        <v>Redistribution  taxe CO2</v>
      </c>
      <c r="AH219" s="244" t="str">
        <f t="shared" si="50"/>
        <v>-</v>
      </c>
      <c r="AI219" s="219"/>
      <c r="AJ219" s="219"/>
      <c r="AK219" s="219" t="str">
        <f t="shared" si="51"/>
        <v>-</v>
      </c>
      <c r="AL219" s="244" t="str">
        <f t="shared" si="52"/>
        <v>-</v>
      </c>
      <c r="AN219" s="219">
        <f t="shared" si="53"/>
        <v>0</v>
      </c>
    </row>
    <row r="220" spans="1:40" ht="15" customHeight="1" x14ac:dyDescent="0.3">
      <c r="A220" s="48">
        <v>0</v>
      </c>
      <c r="B220" s="49" t="s">
        <v>341</v>
      </c>
      <c r="C220" s="50" t="s">
        <v>342</v>
      </c>
      <c r="D220" s="46" t="s">
        <v>1416</v>
      </c>
      <c r="E220" s="46" t="s">
        <v>4</v>
      </c>
      <c r="F220" s="46">
        <v>220</v>
      </c>
      <c r="G220" s="46" t="s">
        <v>175</v>
      </c>
      <c r="H220" s="46"/>
      <c r="I220" s="51">
        <v>0</v>
      </c>
      <c r="J220" s="51">
        <v>0</v>
      </c>
      <c r="K220" s="51">
        <f t="shared" si="54"/>
        <v>0</v>
      </c>
      <c r="L220" s="51">
        <v>0</v>
      </c>
      <c r="M220" s="51">
        <v>0</v>
      </c>
      <c r="N220" s="51">
        <f t="shared" si="55"/>
        <v>0</v>
      </c>
      <c r="O220" s="51">
        <v>0</v>
      </c>
      <c r="P220" s="179" t="s">
        <v>1489</v>
      </c>
      <c r="Q220" s="179" t="s">
        <v>1489</v>
      </c>
      <c r="R220" s="179" t="s">
        <v>1489</v>
      </c>
      <c r="S220" s="47"/>
      <c r="T220" s="54"/>
      <c r="U220" s="54"/>
      <c r="AA220">
        <f t="shared" si="46"/>
        <v>220</v>
      </c>
      <c r="AD220" t="str">
        <f t="shared" si="47"/>
        <v>451</v>
      </c>
      <c r="AE220">
        <f t="shared" si="48"/>
        <v>0</v>
      </c>
      <c r="AG220" s="50" t="str">
        <f t="shared" si="49"/>
        <v>Retour Péréquation directe</v>
      </c>
      <c r="AH220" s="244" t="str">
        <f t="shared" si="50"/>
        <v>-</v>
      </c>
      <c r="AI220" s="219"/>
      <c r="AJ220" s="219"/>
      <c r="AK220" s="219" t="str">
        <f t="shared" si="51"/>
        <v>-</v>
      </c>
      <c r="AL220" s="244" t="str">
        <f t="shared" si="52"/>
        <v>-</v>
      </c>
      <c r="AN220" s="219">
        <f t="shared" si="53"/>
        <v>0</v>
      </c>
    </row>
    <row r="221" spans="1:40" ht="15" customHeight="1" x14ac:dyDescent="0.3">
      <c r="A221" s="48">
        <v>0</v>
      </c>
      <c r="B221" s="49" t="s">
        <v>343</v>
      </c>
      <c r="C221" s="50" t="s">
        <v>344</v>
      </c>
      <c r="D221" s="46" t="s">
        <v>1416</v>
      </c>
      <c r="E221" s="46" t="s">
        <v>4</v>
      </c>
      <c r="F221" s="46">
        <v>220</v>
      </c>
      <c r="G221" s="46" t="s">
        <v>345</v>
      </c>
      <c r="H221" s="46"/>
      <c r="I221" s="51">
        <v>0</v>
      </c>
      <c r="J221" s="51">
        <v>0</v>
      </c>
      <c r="K221" s="51">
        <f t="shared" si="54"/>
        <v>0</v>
      </c>
      <c r="L221" s="51">
        <v>0</v>
      </c>
      <c r="M221" s="51">
        <v>0</v>
      </c>
      <c r="N221" s="51">
        <f t="shared" si="55"/>
        <v>0</v>
      </c>
      <c r="O221" s="51">
        <v>0</v>
      </c>
      <c r="P221" s="179" t="s">
        <v>1489</v>
      </c>
      <c r="Q221" s="179" t="s">
        <v>1489</v>
      </c>
      <c r="R221" s="179" t="s">
        <v>1489</v>
      </c>
      <c r="S221" s="47"/>
      <c r="T221" s="54"/>
      <c r="U221" s="54"/>
      <c r="AA221">
        <f t="shared" si="46"/>
        <v>220</v>
      </c>
      <c r="AD221" t="str">
        <f t="shared" si="47"/>
        <v>452</v>
      </c>
      <c r="AE221">
        <f t="shared" si="48"/>
        <v>0</v>
      </c>
      <c r="AG221" s="50" t="str">
        <f t="shared" si="49"/>
        <v>Péréquation horizontale</v>
      </c>
      <c r="AH221" s="244" t="str">
        <f t="shared" si="50"/>
        <v>-</v>
      </c>
      <c r="AI221" s="219"/>
      <c r="AJ221" s="219"/>
      <c r="AK221" s="219" t="str">
        <f t="shared" si="51"/>
        <v>-</v>
      </c>
      <c r="AL221" s="244" t="str">
        <f t="shared" si="52"/>
        <v>-</v>
      </c>
      <c r="AN221" s="219">
        <f t="shared" si="53"/>
        <v>0</v>
      </c>
    </row>
    <row r="222" spans="1:40" ht="15" customHeight="1" x14ac:dyDescent="0.3">
      <c r="A222" s="48">
        <v>0</v>
      </c>
      <c r="B222" s="49" t="s">
        <v>346</v>
      </c>
      <c r="C222" s="50" t="s">
        <v>347</v>
      </c>
      <c r="D222" s="46" t="s">
        <v>1416</v>
      </c>
      <c r="E222" s="46" t="s">
        <v>4</v>
      </c>
      <c r="F222" s="46">
        <v>220</v>
      </c>
      <c r="G222" s="46" t="s">
        <v>345</v>
      </c>
      <c r="H222" s="46">
        <v>1</v>
      </c>
      <c r="I222" s="51">
        <v>0</v>
      </c>
      <c r="J222" s="51">
        <v>-394</v>
      </c>
      <c r="K222" s="51">
        <f t="shared" si="54"/>
        <v>-394</v>
      </c>
      <c r="L222" s="51">
        <v>0</v>
      </c>
      <c r="M222" s="51">
        <v>0</v>
      </c>
      <c r="N222" s="51">
        <f t="shared" si="55"/>
        <v>0</v>
      </c>
      <c r="O222" s="51">
        <v>0</v>
      </c>
      <c r="P222" s="179" t="s">
        <v>1533</v>
      </c>
      <c r="Q222" s="179" t="s">
        <v>1705</v>
      </c>
      <c r="R222" s="179" t="s">
        <v>2132</v>
      </c>
      <c r="S222" s="47" t="s">
        <v>1762</v>
      </c>
      <c r="T222" s="54">
        <f>+J222</f>
        <v>-394</v>
      </c>
      <c r="U222" s="54"/>
      <c r="AA222">
        <f t="shared" si="46"/>
        <v>220</v>
      </c>
      <c r="AD222" t="str">
        <f t="shared" si="47"/>
        <v>452</v>
      </c>
      <c r="AE222">
        <f t="shared" si="48"/>
        <v>1</v>
      </c>
      <c r="AG222" s="50" t="str">
        <f t="shared" si="49"/>
        <v>Solde péréquation année précédente</v>
      </c>
      <c r="AH222" s="244" t="str">
        <f t="shared" si="50"/>
        <v>11100</v>
      </c>
      <c r="AI222" s="219"/>
      <c r="AJ222" s="219"/>
      <c r="AK222" s="219" t="str">
        <f t="shared" si="51"/>
        <v>4611</v>
      </c>
      <c r="AL222" s="244" t="str">
        <f t="shared" si="52"/>
        <v>01</v>
      </c>
      <c r="AN222" s="219" t="str">
        <f t="shared" si="53"/>
        <v>Péréquation - Parts aux Cantons (Réforme) N-1</v>
      </c>
    </row>
    <row r="223" spans="1:40" ht="15" customHeight="1" x14ac:dyDescent="0.3">
      <c r="A223" s="48">
        <v>0</v>
      </c>
      <c r="B223" s="49" t="s">
        <v>348</v>
      </c>
      <c r="C223" s="50" t="s">
        <v>349</v>
      </c>
      <c r="D223" s="46" t="s">
        <v>1416</v>
      </c>
      <c r="E223" s="46" t="s">
        <v>4</v>
      </c>
      <c r="F223" s="46">
        <v>220</v>
      </c>
      <c r="G223" s="46" t="s">
        <v>345</v>
      </c>
      <c r="H223" s="46">
        <v>2</v>
      </c>
      <c r="I223" s="51">
        <v>0</v>
      </c>
      <c r="J223" s="51">
        <v>0</v>
      </c>
      <c r="K223" s="51">
        <f t="shared" si="54"/>
        <v>0</v>
      </c>
      <c r="L223" s="51">
        <v>0</v>
      </c>
      <c r="M223" s="51">
        <v>0</v>
      </c>
      <c r="N223" s="51">
        <f t="shared" si="55"/>
        <v>0</v>
      </c>
      <c r="O223" s="51">
        <v>0</v>
      </c>
      <c r="P223" s="179" t="s">
        <v>1489</v>
      </c>
      <c r="Q223" s="179" t="s">
        <v>1489</v>
      </c>
      <c r="R223" s="179" t="s">
        <v>1489</v>
      </c>
      <c r="S223" s="47"/>
      <c r="T223" s="54"/>
      <c r="U223" s="54"/>
      <c r="AA223">
        <f t="shared" si="46"/>
        <v>220</v>
      </c>
      <c r="AD223" t="str">
        <f t="shared" si="47"/>
        <v>452</v>
      </c>
      <c r="AE223">
        <f t="shared" si="48"/>
        <v>2</v>
      </c>
      <c r="AG223" s="50" t="str">
        <f t="shared" si="49"/>
        <v>Péréquation retour population</v>
      </c>
      <c r="AH223" s="244" t="str">
        <f t="shared" si="50"/>
        <v>-</v>
      </c>
      <c r="AI223" s="219"/>
      <c r="AJ223" s="219"/>
      <c r="AK223" s="219" t="str">
        <f t="shared" si="51"/>
        <v>-</v>
      </c>
      <c r="AL223" s="244" t="str">
        <f t="shared" si="52"/>
        <v>-</v>
      </c>
      <c r="AN223" s="219">
        <f t="shared" si="53"/>
        <v>0</v>
      </c>
    </row>
    <row r="224" spans="1:40" ht="15" customHeight="1" x14ac:dyDescent="0.3">
      <c r="A224" s="48">
        <v>0</v>
      </c>
      <c r="B224" s="49" t="s">
        <v>350</v>
      </c>
      <c r="C224" s="50" t="s">
        <v>60</v>
      </c>
      <c r="D224" s="46" t="s">
        <v>1416</v>
      </c>
      <c r="E224" s="46" t="s">
        <v>4</v>
      </c>
      <c r="F224" s="46">
        <v>220</v>
      </c>
      <c r="G224" s="46" t="s">
        <v>351</v>
      </c>
      <c r="H224" s="46"/>
      <c r="I224" s="51">
        <v>0</v>
      </c>
      <c r="J224" s="51">
        <v>0</v>
      </c>
      <c r="K224" s="51">
        <f t="shared" si="54"/>
        <v>0</v>
      </c>
      <c r="L224" s="51">
        <v>0</v>
      </c>
      <c r="M224" s="51">
        <v>0</v>
      </c>
      <c r="N224" s="51">
        <f t="shared" si="55"/>
        <v>0</v>
      </c>
      <c r="O224" s="51">
        <v>0</v>
      </c>
      <c r="P224" s="179" t="s">
        <v>1489</v>
      </c>
      <c r="Q224" s="179" t="s">
        <v>1489</v>
      </c>
      <c r="R224" s="179" t="s">
        <v>1489</v>
      </c>
      <c r="S224" s="47"/>
      <c r="T224" s="54"/>
      <c r="U224" s="54"/>
      <c r="AA224">
        <f t="shared" si="46"/>
        <v>220</v>
      </c>
      <c r="AD224" t="str">
        <f t="shared" si="47"/>
        <v>465</v>
      </c>
      <c r="AE224">
        <f t="shared" si="48"/>
        <v>0</v>
      </c>
      <c r="AG224" s="50" t="str">
        <f t="shared" si="49"/>
        <v>Participations de tiers</v>
      </c>
      <c r="AH224" s="244" t="str">
        <f t="shared" si="50"/>
        <v>-</v>
      </c>
      <c r="AI224" s="219"/>
      <c r="AJ224" s="219"/>
      <c r="AK224" s="219" t="str">
        <f t="shared" si="51"/>
        <v>-</v>
      </c>
      <c r="AL224" s="244" t="str">
        <f t="shared" si="52"/>
        <v>-</v>
      </c>
      <c r="AN224" s="219">
        <f t="shared" si="53"/>
        <v>0</v>
      </c>
    </row>
    <row r="225" spans="1:40" ht="15" customHeight="1" x14ac:dyDescent="0.3">
      <c r="A225" s="48">
        <v>0</v>
      </c>
      <c r="B225" s="49" t="s">
        <v>352</v>
      </c>
      <c r="C225" s="50" t="s">
        <v>353</v>
      </c>
      <c r="D225" s="46" t="s">
        <v>1416</v>
      </c>
      <c r="E225" s="46" t="s">
        <v>4</v>
      </c>
      <c r="F225" s="46">
        <v>220</v>
      </c>
      <c r="G225" s="46" t="s">
        <v>64</v>
      </c>
      <c r="H225" s="46"/>
      <c r="I225" s="51">
        <v>0</v>
      </c>
      <c r="J225" s="51">
        <v>0</v>
      </c>
      <c r="K225" s="51">
        <f t="shared" si="54"/>
        <v>0</v>
      </c>
      <c r="L225" s="51">
        <v>0</v>
      </c>
      <c r="M225" s="51">
        <v>0</v>
      </c>
      <c r="N225" s="51">
        <f t="shared" si="55"/>
        <v>0</v>
      </c>
      <c r="O225" s="51">
        <v>0</v>
      </c>
      <c r="P225" s="179" t="s">
        <v>1489</v>
      </c>
      <c r="Q225" s="179" t="s">
        <v>1489</v>
      </c>
      <c r="R225" s="179" t="s">
        <v>1489</v>
      </c>
      <c r="S225" s="47"/>
      <c r="T225" s="54"/>
      <c r="U225" s="54"/>
      <c r="AA225">
        <f t="shared" si="46"/>
        <v>220</v>
      </c>
      <c r="AD225" t="str">
        <f t="shared" si="47"/>
        <v>480</v>
      </c>
      <c r="AE225">
        <f t="shared" si="48"/>
        <v>0</v>
      </c>
      <c r="AG225" s="50" t="str">
        <f t="shared" si="49"/>
        <v>Prélèvement au fonds de réserve énergies renouvelables (9282.13)</v>
      </c>
      <c r="AH225" s="244" t="str">
        <f t="shared" si="50"/>
        <v>-</v>
      </c>
      <c r="AI225" s="219"/>
      <c r="AJ225" s="219"/>
      <c r="AK225" s="219" t="str">
        <f t="shared" si="51"/>
        <v>-</v>
      </c>
      <c r="AL225" s="244" t="str">
        <f t="shared" si="52"/>
        <v>-</v>
      </c>
      <c r="AN225" s="219">
        <f t="shared" si="53"/>
        <v>0</v>
      </c>
    </row>
    <row r="226" spans="1:40" ht="15" customHeight="1" x14ac:dyDescent="0.3">
      <c r="A226" s="48">
        <v>0</v>
      </c>
      <c r="B226" s="49" t="s">
        <v>354</v>
      </c>
      <c r="C226" s="50" t="s">
        <v>355</v>
      </c>
      <c r="D226" s="46" t="s">
        <v>1416</v>
      </c>
      <c r="E226" s="46" t="s">
        <v>4</v>
      </c>
      <c r="F226" s="46">
        <v>220</v>
      </c>
      <c r="G226" s="46" t="s">
        <v>67</v>
      </c>
      <c r="H226" s="46">
        <v>2</v>
      </c>
      <c r="I226" s="51">
        <v>0</v>
      </c>
      <c r="J226" s="51">
        <v>0</v>
      </c>
      <c r="K226" s="51">
        <f t="shared" si="54"/>
        <v>0</v>
      </c>
      <c r="L226" s="51">
        <v>0</v>
      </c>
      <c r="M226" s="51">
        <v>0</v>
      </c>
      <c r="N226" s="51">
        <f t="shared" si="55"/>
        <v>0</v>
      </c>
      <c r="O226" s="51">
        <v>0</v>
      </c>
      <c r="P226" s="179" t="s">
        <v>1489</v>
      </c>
      <c r="Q226" s="179" t="s">
        <v>1489</v>
      </c>
      <c r="R226" s="179" t="s">
        <v>1489</v>
      </c>
      <c r="S226" s="47"/>
      <c r="T226" s="54"/>
      <c r="U226" s="54"/>
      <c r="AA226">
        <f t="shared" si="46"/>
        <v>220</v>
      </c>
      <c r="AD226" t="str">
        <f t="shared" si="47"/>
        <v>490</v>
      </c>
      <c r="AE226">
        <f t="shared" si="48"/>
        <v>2</v>
      </c>
      <c r="AG226" s="50" t="str">
        <f t="shared" si="49"/>
        <v>Imputations internes intérêts</v>
      </c>
      <c r="AH226" s="244" t="str">
        <f t="shared" si="50"/>
        <v>-</v>
      </c>
      <c r="AI226" s="219"/>
      <c r="AJ226" s="219"/>
      <c r="AK226" s="219" t="str">
        <f t="shared" si="51"/>
        <v>-</v>
      </c>
      <c r="AL226" s="244" t="str">
        <f t="shared" si="52"/>
        <v>-</v>
      </c>
      <c r="AN226" s="219">
        <f t="shared" si="53"/>
        <v>0</v>
      </c>
    </row>
    <row r="227" spans="1:40" ht="15" customHeight="1" x14ac:dyDescent="0.3">
      <c r="A227" s="48">
        <v>0</v>
      </c>
      <c r="B227" s="49" t="s">
        <v>357</v>
      </c>
      <c r="C227" s="50" t="s">
        <v>358</v>
      </c>
      <c r="D227" s="46" t="s">
        <v>1416</v>
      </c>
      <c r="E227" s="46" t="s">
        <v>356</v>
      </c>
      <c r="F227" s="46">
        <v>230</v>
      </c>
      <c r="G227" s="46" t="s">
        <v>53</v>
      </c>
      <c r="H227" s="46"/>
      <c r="I227" s="51">
        <v>0</v>
      </c>
      <c r="J227" s="51">
        <v>0</v>
      </c>
      <c r="K227" s="51">
        <f t="shared" si="54"/>
        <v>0</v>
      </c>
      <c r="L227" s="51">
        <v>0</v>
      </c>
      <c r="M227" s="51">
        <v>0</v>
      </c>
      <c r="N227" s="51">
        <f t="shared" si="55"/>
        <v>0</v>
      </c>
      <c r="O227" s="51">
        <v>0</v>
      </c>
      <c r="P227" s="179" t="s">
        <v>1489</v>
      </c>
      <c r="Q227" s="179" t="s">
        <v>1489</v>
      </c>
      <c r="R227" s="179" t="s">
        <v>1489</v>
      </c>
      <c r="S227" s="47"/>
      <c r="T227" s="54"/>
      <c r="U227" s="54"/>
      <c r="AA227">
        <f t="shared" si="46"/>
        <v>230</v>
      </c>
      <c r="AD227" t="str">
        <f t="shared" si="47"/>
        <v>330</v>
      </c>
      <c r="AE227">
        <f t="shared" si="48"/>
        <v>0</v>
      </c>
      <c r="AG227" s="50" t="str">
        <f t="shared" si="49"/>
        <v>Amortissement et réserves PF divers</v>
      </c>
      <c r="AH227" s="244" t="str">
        <f t="shared" si="50"/>
        <v>-</v>
      </c>
      <c r="AI227" s="219"/>
      <c r="AJ227" s="219"/>
      <c r="AK227" s="219" t="str">
        <f t="shared" si="51"/>
        <v>-</v>
      </c>
      <c r="AL227" s="244" t="str">
        <f t="shared" si="52"/>
        <v>-</v>
      </c>
      <c r="AN227" s="219">
        <f t="shared" si="53"/>
        <v>0</v>
      </c>
    </row>
    <row r="228" spans="1:40" ht="15" customHeight="1" x14ac:dyDescent="0.3">
      <c r="A228" s="48">
        <v>0</v>
      </c>
      <c r="B228" s="49" t="s">
        <v>359</v>
      </c>
      <c r="C228" s="50" t="s">
        <v>360</v>
      </c>
      <c r="D228" s="46" t="s">
        <v>1416</v>
      </c>
      <c r="E228" s="46" t="s">
        <v>356</v>
      </c>
      <c r="F228" s="46">
        <v>230</v>
      </c>
      <c r="G228" s="46" t="s">
        <v>53</v>
      </c>
      <c r="H228" s="46">
        <v>1</v>
      </c>
      <c r="I228" s="51">
        <v>0</v>
      </c>
      <c r="J228" s="51">
        <v>0</v>
      </c>
      <c r="K228" s="51">
        <f t="shared" si="54"/>
        <v>0</v>
      </c>
      <c r="L228" s="51">
        <v>0</v>
      </c>
      <c r="M228" s="51">
        <v>0</v>
      </c>
      <c r="N228" s="51">
        <f t="shared" si="55"/>
        <v>0</v>
      </c>
      <c r="O228" s="51">
        <v>0</v>
      </c>
      <c r="P228" s="179" t="s">
        <v>1489</v>
      </c>
      <c r="Q228" s="179" t="s">
        <v>1489</v>
      </c>
      <c r="R228" s="179" t="s">
        <v>1489</v>
      </c>
      <c r="S228" s="47"/>
      <c r="T228" s="54"/>
      <c r="U228" s="54"/>
      <c r="AA228">
        <f t="shared" si="46"/>
        <v>230</v>
      </c>
      <c r="AD228" t="str">
        <f t="shared" si="47"/>
        <v>330</v>
      </c>
      <c r="AE228">
        <f t="shared" si="48"/>
        <v>1</v>
      </c>
      <c r="AG228" s="50" t="str">
        <f t="shared" si="49"/>
        <v>PF Terrains et bâtiments</v>
      </c>
      <c r="AH228" s="244" t="str">
        <f t="shared" si="50"/>
        <v>-</v>
      </c>
      <c r="AI228" s="219"/>
      <c r="AJ228" s="219"/>
      <c r="AK228" s="219" t="str">
        <f t="shared" si="51"/>
        <v>-</v>
      </c>
      <c r="AL228" s="244" t="str">
        <f t="shared" si="52"/>
        <v>-</v>
      </c>
      <c r="AN228" s="219">
        <f t="shared" si="53"/>
        <v>0</v>
      </c>
    </row>
    <row r="229" spans="1:40" ht="15" customHeight="1" x14ac:dyDescent="0.3">
      <c r="A229" s="48">
        <v>0</v>
      </c>
      <c r="B229" s="49" t="s">
        <v>361</v>
      </c>
      <c r="C229" s="50" t="s">
        <v>362</v>
      </c>
      <c r="D229" s="46" t="s">
        <v>1416</v>
      </c>
      <c r="E229" s="46" t="s">
        <v>356</v>
      </c>
      <c r="F229" s="46">
        <v>230</v>
      </c>
      <c r="G229" s="46" t="s">
        <v>53</v>
      </c>
      <c r="H229" s="46">
        <v>2</v>
      </c>
      <c r="I229" s="51">
        <v>0</v>
      </c>
      <c r="J229" s="51">
        <v>0</v>
      </c>
      <c r="K229" s="51">
        <f t="shared" si="54"/>
        <v>0</v>
      </c>
      <c r="L229" s="51">
        <v>0</v>
      </c>
      <c r="M229" s="51">
        <v>0</v>
      </c>
      <c r="N229" s="51">
        <f t="shared" si="55"/>
        <v>0</v>
      </c>
      <c r="O229" s="51">
        <v>0</v>
      </c>
      <c r="P229" s="179" t="s">
        <v>1489</v>
      </c>
      <c r="Q229" s="179" t="s">
        <v>1489</v>
      </c>
      <c r="R229" s="179" t="s">
        <v>1489</v>
      </c>
      <c r="S229" s="47"/>
      <c r="T229" s="54"/>
      <c r="U229" s="54"/>
      <c r="AA229">
        <f t="shared" si="46"/>
        <v>230</v>
      </c>
      <c r="AD229" t="str">
        <f t="shared" si="47"/>
        <v>330</v>
      </c>
      <c r="AE229">
        <f t="shared" si="48"/>
        <v>2</v>
      </c>
      <c r="AG229" s="50" t="str">
        <f t="shared" si="49"/>
        <v>Titres et placement financiers</v>
      </c>
      <c r="AH229" s="244" t="str">
        <f t="shared" si="50"/>
        <v>-</v>
      </c>
      <c r="AI229" s="219"/>
      <c r="AJ229" s="219"/>
      <c r="AK229" s="219" t="str">
        <f t="shared" si="51"/>
        <v>-</v>
      </c>
      <c r="AL229" s="244" t="str">
        <f t="shared" si="52"/>
        <v>-</v>
      </c>
      <c r="AN229" s="219">
        <f t="shared" si="53"/>
        <v>0</v>
      </c>
    </row>
    <row r="230" spans="1:40" ht="15" customHeight="1" x14ac:dyDescent="0.3">
      <c r="A230" s="48">
        <v>0</v>
      </c>
      <c r="B230" s="49" t="s">
        <v>363</v>
      </c>
      <c r="C230" s="50" t="s">
        <v>364</v>
      </c>
      <c r="D230" s="46" t="s">
        <v>1416</v>
      </c>
      <c r="E230" s="46" t="s">
        <v>356</v>
      </c>
      <c r="F230" s="46">
        <v>230</v>
      </c>
      <c r="G230" s="46" t="s">
        <v>164</v>
      </c>
      <c r="H230" s="46"/>
      <c r="I230" s="51">
        <v>0</v>
      </c>
      <c r="J230" s="51">
        <v>0</v>
      </c>
      <c r="K230" s="51">
        <f t="shared" si="54"/>
        <v>0</v>
      </c>
      <c r="L230" s="51">
        <v>0</v>
      </c>
      <c r="M230" s="51">
        <v>0</v>
      </c>
      <c r="N230" s="51">
        <f t="shared" si="55"/>
        <v>0</v>
      </c>
      <c r="O230" s="51">
        <v>0</v>
      </c>
      <c r="P230" s="179" t="s">
        <v>1489</v>
      </c>
      <c r="Q230" s="179" t="s">
        <v>1489</v>
      </c>
      <c r="R230" s="179" t="s">
        <v>1489</v>
      </c>
      <c r="S230" s="47"/>
      <c r="T230" s="54"/>
      <c r="U230" s="54"/>
      <c r="AA230">
        <f t="shared" si="46"/>
        <v>230</v>
      </c>
      <c r="AD230" t="str">
        <f t="shared" si="47"/>
        <v>331</v>
      </c>
      <c r="AE230">
        <f t="shared" si="48"/>
        <v>0</v>
      </c>
      <c r="AG230" s="50" t="str">
        <f t="shared" si="49"/>
        <v>Titres et Placements Administrarif</v>
      </c>
      <c r="AH230" s="244" t="str">
        <f t="shared" si="50"/>
        <v>-</v>
      </c>
      <c r="AI230" s="219"/>
      <c r="AJ230" s="219"/>
      <c r="AK230" s="219" t="str">
        <f t="shared" si="51"/>
        <v>-</v>
      </c>
      <c r="AL230" s="244" t="str">
        <f t="shared" si="52"/>
        <v>-</v>
      </c>
      <c r="AN230" s="219">
        <f t="shared" si="53"/>
        <v>0</v>
      </c>
    </row>
    <row r="231" spans="1:40" ht="15" customHeight="1" x14ac:dyDescent="0.3">
      <c r="A231" s="48">
        <v>0</v>
      </c>
      <c r="B231" s="49" t="s">
        <v>365</v>
      </c>
      <c r="C231" s="50" t="s">
        <v>366</v>
      </c>
      <c r="D231" s="46" t="s">
        <v>1416</v>
      </c>
      <c r="E231" s="46" t="s">
        <v>356</v>
      </c>
      <c r="F231" s="46">
        <v>230</v>
      </c>
      <c r="G231" s="46" t="s">
        <v>96</v>
      </c>
      <c r="H231" s="46"/>
      <c r="I231" s="51">
        <v>0</v>
      </c>
      <c r="J231" s="51">
        <v>0</v>
      </c>
      <c r="K231" s="51">
        <f t="shared" si="54"/>
        <v>0</v>
      </c>
      <c r="L231" s="51">
        <v>0</v>
      </c>
      <c r="M231" s="51">
        <v>0</v>
      </c>
      <c r="N231" s="51">
        <f t="shared" si="55"/>
        <v>0</v>
      </c>
      <c r="O231" s="51">
        <v>0</v>
      </c>
      <c r="P231" s="179" t="s">
        <v>1489</v>
      </c>
      <c r="Q231" s="179" t="s">
        <v>1489</v>
      </c>
      <c r="R231" s="179" t="s">
        <v>1489</v>
      </c>
      <c r="S231" s="47"/>
      <c r="T231" s="54"/>
      <c r="U231" s="54"/>
      <c r="AA231">
        <f t="shared" si="46"/>
        <v>230</v>
      </c>
      <c r="AD231" t="str">
        <f t="shared" si="47"/>
        <v>332</v>
      </c>
      <c r="AE231">
        <f t="shared" si="48"/>
        <v>0</v>
      </c>
      <c r="AG231" s="50" t="str">
        <f t="shared" si="49"/>
        <v>Amortissement supplémentairesTitres</v>
      </c>
      <c r="AH231" s="244" t="str">
        <f t="shared" si="50"/>
        <v>-</v>
      </c>
      <c r="AI231" s="219"/>
      <c r="AJ231" s="219"/>
      <c r="AK231" s="219" t="str">
        <f t="shared" si="51"/>
        <v>-</v>
      </c>
      <c r="AL231" s="244" t="str">
        <f t="shared" si="52"/>
        <v>-</v>
      </c>
      <c r="AN231" s="219">
        <f t="shared" si="53"/>
        <v>0</v>
      </c>
    </row>
    <row r="232" spans="1:40" ht="15" customHeight="1" x14ac:dyDescent="0.3">
      <c r="A232" s="48">
        <v>0</v>
      </c>
      <c r="B232" s="49" t="s">
        <v>367</v>
      </c>
      <c r="C232" s="50" t="s">
        <v>368</v>
      </c>
      <c r="D232" s="46" t="s">
        <v>1416</v>
      </c>
      <c r="E232" s="46" t="s">
        <v>356</v>
      </c>
      <c r="F232" s="46">
        <v>230</v>
      </c>
      <c r="G232" s="46" t="s">
        <v>6</v>
      </c>
      <c r="H232" s="46"/>
      <c r="I232" s="51">
        <v>0</v>
      </c>
      <c r="J232" s="51">
        <v>0</v>
      </c>
      <c r="K232" s="51">
        <f t="shared" si="54"/>
        <v>0</v>
      </c>
      <c r="L232" s="51">
        <v>0</v>
      </c>
      <c r="M232" s="51">
        <v>0</v>
      </c>
      <c r="N232" s="51">
        <f t="shared" si="55"/>
        <v>0</v>
      </c>
      <c r="O232" s="51">
        <v>0</v>
      </c>
      <c r="P232" s="179" t="s">
        <v>1489</v>
      </c>
      <c r="Q232" s="179" t="s">
        <v>1489</v>
      </c>
      <c r="R232" s="179" t="s">
        <v>1489</v>
      </c>
      <c r="S232" s="47"/>
      <c r="T232" s="54"/>
      <c r="U232" s="54"/>
      <c r="AA232">
        <f t="shared" si="46"/>
        <v>230</v>
      </c>
      <c r="AD232" t="str">
        <f t="shared" si="47"/>
        <v>380</v>
      </c>
      <c r="AE232">
        <f t="shared" si="48"/>
        <v>0</v>
      </c>
      <c r="AG232" s="50" t="str">
        <f t="shared" si="49"/>
        <v>Fonds de réserve</v>
      </c>
      <c r="AH232" s="244" t="str">
        <f t="shared" si="50"/>
        <v>-</v>
      </c>
      <c r="AI232" s="219"/>
      <c r="AJ232" s="219"/>
      <c r="AK232" s="219" t="str">
        <f t="shared" si="51"/>
        <v>-</v>
      </c>
      <c r="AL232" s="244" t="str">
        <f t="shared" si="52"/>
        <v>-</v>
      </c>
      <c r="AN232" s="219">
        <f t="shared" si="53"/>
        <v>0</v>
      </c>
    </row>
    <row r="233" spans="1:40" ht="15" customHeight="1" x14ac:dyDescent="0.3">
      <c r="A233" s="48">
        <v>0</v>
      </c>
      <c r="B233" s="49" t="s">
        <v>369</v>
      </c>
      <c r="C233" s="50" t="s">
        <v>370</v>
      </c>
      <c r="D233" s="46" t="s">
        <v>1416</v>
      </c>
      <c r="E233" s="46" t="s">
        <v>356</v>
      </c>
      <c r="F233" s="46">
        <v>230</v>
      </c>
      <c r="G233" s="46" t="s">
        <v>6</v>
      </c>
      <c r="H233" s="46">
        <v>8</v>
      </c>
      <c r="I233" s="51">
        <v>0</v>
      </c>
      <c r="J233" s="51">
        <v>0</v>
      </c>
      <c r="K233" s="51">
        <f t="shared" si="54"/>
        <v>0</v>
      </c>
      <c r="L233" s="51">
        <v>0</v>
      </c>
      <c r="M233" s="51">
        <v>0</v>
      </c>
      <c r="N233" s="51">
        <f t="shared" si="55"/>
        <v>0</v>
      </c>
      <c r="O233" s="51">
        <v>0</v>
      </c>
      <c r="P233" s="179" t="s">
        <v>1489</v>
      </c>
      <c r="Q233" s="179" t="s">
        <v>1489</v>
      </c>
      <c r="R233" s="179" t="s">
        <v>1489</v>
      </c>
      <c r="S233" s="47"/>
      <c r="T233" s="54"/>
      <c r="U233" s="54"/>
      <c r="AA233">
        <f t="shared" si="46"/>
        <v>230</v>
      </c>
      <c r="AD233" t="str">
        <f t="shared" si="47"/>
        <v>380</v>
      </c>
      <c r="AE233">
        <f t="shared" si="48"/>
        <v>8</v>
      </c>
      <c r="AG233" s="50" t="str">
        <f t="shared" si="49"/>
        <v>Attrib. Au fonds de réserve Cantonal</v>
      </c>
      <c r="AH233" s="244" t="str">
        <f t="shared" si="50"/>
        <v>-</v>
      </c>
      <c r="AI233" s="219"/>
      <c r="AJ233" s="219"/>
      <c r="AK233" s="219" t="str">
        <f t="shared" si="51"/>
        <v>-</v>
      </c>
      <c r="AL233" s="244" t="str">
        <f t="shared" si="52"/>
        <v>-</v>
      </c>
      <c r="AN233" s="219">
        <f t="shared" si="53"/>
        <v>0</v>
      </c>
    </row>
    <row r="234" spans="1:40" ht="15" customHeight="1" x14ac:dyDescent="0.3">
      <c r="A234" s="48">
        <v>0</v>
      </c>
      <c r="B234" s="49" t="s">
        <v>371</v>
      </c>
      <c r="C234" s="50" t="s">
        <v>372</v>
      </c>
      <c r="D234" s="46" t="s">
        <v>1416</v>
      </c>
      <c r="E234" s="46" t="s">
        <v>356</v>
      </c>
      <c r="F234" s="46">
        <v>230</v>
      </c>
      <c r="G234" s="46" t="s">
        <v>6</v>
      </c>
      <c r="H234" s="46">
        <v>9</v>
      </c>
      <c r="I234" s="51">
        <v>0</v>
      </c>
      <c r="J234" s="51">
        <v>0</v>
      </c>
      <c r="K234" s="51">
        <f t="shared" si="54"/>
        <v>0</v>
      </c>
      <c r="L234" s="51">
        <v>0</v>
      </c>
      <c r="M234" s="51">
        <v>0</v>
      </c>
      <c r="N234" s="51">
        <f t="shared" si="55"/>
        <v>0</v>
      </c>
      <c r="O234" s="51">
        <v>0</v>
      </c>
      <c r="P234" s="179" t="s">
        <v>1489</v>
      </c>
      <c r="Q234" s="179" t="s">
        <v>1489</v>
      </c>
      <c r="R234" s="179" t="s">
        <v>1489</v>
      </c>
      <c r="S234" s="47"/>
      <c r="T234" s="54"/>
      <c r="U234" s="54"/>
      <c r="AA234">
        <f t="shared" si="46"/>
        <v>230</v>
      </c>
      <c r="AD234" t="str">
        <f t="shared" si="47"/>
        <v>380</v>
      </c>
      <c r="AE234">
        <f t="shared" si="48"/>
        <v>9</v>
      </c>
      <c r="AG234" s="50" t="str">
        <f t="shared" si="49"/>
        <v>ATTRIB FDS D'EGAL DES RESULT</v>
      </c>
      <c r="AH234" s="244" t="str">
        <f t="shared" si="50"/>
        <v>-</v>
      </c>
      <c r="AI234" s="219"/>
      <c r="AJ234" s="219"/>
      <c r="AK234" s="219" t="str">
        <f t="shared" si="51"/>
        <v>-</v>
      </c>
      <c r="AL234" s="244" t="str">
        <f t="shared" si="52"/>
        <v>-</v>
      </c>
      <c r="AN234" s="219">
        <f t="shared" si="53"/>
        <v>0</v>
      </c>
    </row>
    <row r="235" spans="1:40" ht="15" customHeight="1" x14ac:dyDescent="0.3">
      <c r="A235" s="48">
        <v>0</v>
      </c>
      <c r="B235" s="49" t="s">
        <v>373</v>
      </c>
      <c r="C235" s="50" t="s">
        <v>374</v>
      </c>
      <c r="D235" s="46" t="s">
        <v>1416</v>
      </c>
      <c r="E235" s="46" t="s">
        <v>356</v>
      </c>
      <c r="F235" s="46">
        <v>230</v>
      </c>
      <c r="G235" s="46" t="s">
        <v>329</v>
      </c>
      <c r="H235" s="46"/>
      <c r="I235" s="51">
        <v>0</v>
      </c>
      <c r="J235" s="51">
        <v>0</v>
      </c>
      <c r="K235" s="51">
        <f t="shared" si="54"/>
        <v>0</v>
      </c>
      <c r="L235" s="51">
        <v>0</v>
      </c>
      <c r="M235" s="51">
        <v>0</v>
      </c>
      <c r="N235" s="51">
        <f t="shared" si="55"/>
        <v>0</v>
      </c>
      <c r="O235" s="51">
        <v>0</v>
      </c>
      <c r="P235" s="179" t="s">
        <v>1489</v>
      </c>
      <c r="Q235" s="179" t="s">
        <v>1489</v>
      </c>
      <c r="R235" s="179" t="s">
        <v>1489</v>
      </c>
      <c r="S235" s="47"/>
      <c r="T235" s="54"/>
      <c r="U235" s="54"/>
      <c r="AA235">
        <f t="shared" si="46"/>
        <v>230</v>
      </c>
      <c r="AD235" t="str">
        <f t="shared" si="47"/>
        <v>424</v>
      </c>
      <c r="AE235">
        <f t="shared" si="48"/>
        <v>0</v>
      </c>
      <c r="AG235" s="50" t="str">
        <f t="shared" si="49"/>
        <v>Gains sur vente immobilière</v>
      </c>
      <c r="AH235" s="244" t="str">
        <f t="shared" si="50"/>
        <v>-</v>
      </c>
      <c r="AI235" s="219"/>
      <c r="AJ235" s="219"/>
      <c r="AK235" s="219" t="str">
        <f t="shared" si="51"/>
        <v>-</v>
      </c>
      <c r="AL235" s="244" t="str">
        <f t="shared" si="52"/>
        <v>-</v>
      </c>
      <c r="AN235" s="219">
        <f t="shared" si="53"/>
        <v>0</v>
      </c>
    </row>
    <row r="236" spans="1:40" ht="15" customHeight="1" x14ac:dyDescent="0.3">
      <c r="A236" s="48">
        <v>0</v>
      </c>
      <c r="B236" s="49" t="s">
        <v>375</v>
      </c>
      <c r="C236" s="50" t="s">
        <v>376</v>
      </c>
      <c r="D236" s="46" t="s">
        <v>1416</v>
      </c>
      <c r="E236" s="46" t="s">
        <v>356</v>
      </c>
      <c r="F236" s="46">
        <v>230</v>
      </c>
      <c r="G236" s="46" t="s">
        <v>61</v>
      </c>
      <c r="H236" s="46">
        <v>1</v>
      </c>
      <c r="I236" s="51">
        <v>0</v>
      </c>
      <c r="J236" s="51">
        <v>0</v>
      </c>
      <c r="K236" s="51">
        <f t="shared" ref="K236:K246" si="56">+I236+J236</f>
        <v>0</v>
      </c>
      <c r="L236" s="51">
        <v>0</v>
      </c>
      <c r="M236" s="51">
        <v>0</v>
      </c>
      <c r="N236" s="51">
        <f t="shared" si="55"/>
        <v>0</v>
      </c>
      <c r="O236" s="51">
        <v>0</v>
      </c>
      <c r="P236" s="179" t="s">
        <v>1489</v>
      </c>
      <c r="Q236" s="179" t="s">
        <v>1489</v>
      </c>
      <c r="R236" s="179" t="s">
        <v>1489</v>
      </c>
      <c r="S236" s="47"/>
      <c r="T236" s="54"/>
      <c r="U236" s="54"/>
      <c r="AA236">
        <f t="shared" si="46"/>
        <v>230</v>
      </c>
      <c r="AD236" t="str">
        <f t="shared" si="47"/>
        <v>436</v>
      </c>
      <c r="AE236">
        <f t="shared" si="48"/>
        <v>1</v>
      </c>
      <c r="AG236" s="50" t="str">
        <f t="shared" si="49"/>
        <v>AMORTISSEMENTS et RESERVES non-ventilés</v>
      </c>
      <c r="AH236" s="244" t="str">
        <f t="shared" si="50"/>
        <v>-</v>
      </c>
      <c r="AI236" s="219"/>
      <c r="AJ236" s="219"/>
      <c r="AK236" s="219" t="str">
        <f t="shared" si="51"/>
        <v>-</v>
      </c>
      <c r="AL236" s="244" t="str">
        <f t="shared" si="52"/>
        <v>-</v>
      </c>
      <c r="AN236" s="219">
        <f t="shared" si="53"/>
        <v>0</v>
      </c>
    </row>
    <row r="237" spans="1:40" ht="15" customHeight="1" x14ac:dyDescent="0.3">
      <c r="A237" s="48">
        <v>0</v>
      </c>
      <c r="B237" s="49" t="s">
        <v>377</v>
      </c>
      <c r="C237" s="50" t="s">
        <v>378</v>
      </c>
      <c r="D237" s="46" t="s">
        <v>1416</v>
      </c>
      <c r="E237" s="46" t="s">
        <v>356</v>
      </c>
      <c r="F237" s="46">
        <v>230</v>
      </c>
      <c r="G237" s="46" t="s">
        <v>64</v>
      </c>
      <c r="H237" s="46"/>
      <c r="I237" s="51">
        <v>0</v>
      </c>
      <c r="J237" s="51">
        <v>0</v>
      </c>
      <c r="K237" s="51">
        <f t="shared" si="56"/>
        <v>0</v>
      </c>
      <c r="L237" s="51">
        <v>0</v>
      </c>
      <c r="M237" s="51">
        <v>0</v>
      </c>
      <c r="N237" s="51">
        <f t="shared" si="55"/>
        <v>0</v>
      </c>
      <c r="O237" s="51">
        <v>0</v>
      </c>
      <c r="P237" s="179" t="s">
        <v>1489</v>
      </c>
      <c r="Q237" s="179" t="s">
        <v>1489</v>
      </c>
      <c r="R237" s="179" t="s">
        <v>1489</v>
      </c>
      <c r="S237" s="47"/>
      <c r="T237" s="54"/>
      <c r="U237" s="54"/>
      <c r="AA237">
        <f t="shared" si="46"/>
        <v>230</v>
      </c>
      <c r="AD237" t="str">
        <f t="shared" si="47"/>
        <v>480</v>
      </c>
      <c r="AE237">
        <f t="shared" si="48"/>
        <v>0</v>
      </c>
      <c r="AG237" s="50" t="str">
        <f t="shared" si="49"/>
        <v>AMORTISSEMENTS et RESERVES  PRELEVEMENT RESERVES</v>
      </c>
      <c r="AH237" s="244" t="str">
        <f t="shared" si="50"/>
        <v>-</v>
      </c>
      <c r="AI237" s="219"/>
      <c r="AJ237" s="219"/>
      <c r="AK237" s="219" t="str">
        <f t="shared" si="51"/>
        <v>-</v>
      </c>
      <c r="AL237" s="244" t="str">
        <f t="shared" si="52"/>
        <v>-</v>
      </c>
      <c r="AN237" s="219">
        <f t="shared" si="53"/>
        <v>0</v>
      </c>
    </row>
    <row r="238" spans="1:40" ht="15" customHeight="1" x14ac:dyDescent="0.3">
      <c r="A238" s="48">
        <v>0</v>
      </c>
      <c r="B238" s="49" t="s">
        <v>380</v>
      </c>
      <c r="C238" s="50" t="s">
        <v>381</v>
      </c>
      <c r="D238" s="178" t="s">
        <v>1458</v>
      </c>
      <c r="E238" s="46" t="s">
        <v>379</v>
      </c>
      <c r="F238" s="46">
        <v>310</v>
      </c>
      <c r="G238" s="46" t="s">
        <v>25</v>
      </c>
      <c r="H238" s="46"/>
      <c r="I238" s="51">
        <v>0</v>
      </c>
      <c r="J238" s="51">
        <v>0</v>
      </c>
      <c r="K238" s="51">
        <f t="shared" si="56"/>
        <v>0</v>
      </c>
      <c r="L238" s="51">
        <v>0</v>
      </c>
      <c r="M238" s="51">
        <v>0</v>
      </c>
      <c r="N238" s="51">
        <f t="shared" si="55"/>
        <v>0</v>
      </c>
      <c r="O238" s="51">
        <v>0</v>
      </c>
      <c r="P238" s="179" t="s">
        <v>1489</v>
      </c>
      <c r="Q238" s="179" t="s">
        <v>1489</v>
      </c>
      <c r="R238" s="179" t="s">
        <v>1489</v>
      </c>
      <c r="S238" s="47"/>
      <c r="T238" s="54"/>
      <c r="U238" s="54"/>
      <c r="AA238">
        <f t="shared" si="46"/>
        <v>310</v>
      </c>
      <c r="AD238" t="str">
        <f t="shared" si="47"/>
        <v>311</v>
      </c>
      <c r="AE238">
        <f t="shared" si="48"/>
        <v>0</v>
      </c>
      <c r="AG238" s="50" t="str">
        <f t="shared" si="49"/>
        <v>TERRAINS  ACHATS MACHINES MATERIEL EXPL</v>
      </c>
      <c r="AH238" s="244" t="str">
        <f t="shared" si="50"/>
        <v>-</v>
      </c>
      <c r="AI238" s="219"/>
      <c r="AJ238" s="219"/>
      <c r="AK238" s="219" t="str">
        <f t="shared" si="51"/>
        <v>-</v>
      </c>
      <c r="AL238" s="244" t="str">
        <f t="shared" si="52"/>
        <v>-</v>
      </c>
      <c r="AN238" s="219">
        <f t="shared" si="53"/>
        <v>0</v>
      </c>
    </row>
    <row r="239" spans="1:40" ht="15" customHeight="1" x14ac:dyDescent="0.3">
      <c r="A239" s="48">
        <v>0</v>
      </c>
      <c r="B239" s="49" t="s">
        <v>382</v>
      </c>
      <c r="C239" s="50" t="s">
        <v>383</v>
      </c>
      <c r="D239" s="178" t="s">
        <v>1458</v>
      </c>
      <c r="E239" s="46" t="s">
        <v>379</v>
      </c>
      <c r="F239" s="46">
        <v>310</v>
      </c>
      <c r="G239" s="46" t="s">
        <v>131</v>
      </c>
      <c r="H239" s="46"/>
      <c r="I239" s="51">
        <v>0</v>
      </c>
      <c r="J239" s="51">
        <v>0</v>
      </c>
      <c r="K239" s="51">
        <f t="shared" si="56"/>
        <v>0</v>
      </c>
      <c r="L239" s="51">
        <v>0</v>
      </c>
      <c r="M239" s="51">
        <v>0</v>
      </c>
      <c r="N239" s="51">
        <f t="shared" si="55"/>
        <v>0</v>
      </c>
      <c r="O239" s="51">
        <v>0</v>
      </c>
      <c r="P239" s="179" t="s">
        <v>1489</v>
      </c>
      <c r="Q239" s="179" t="s">
        <v>1489</v>
      </c>
      <c r="R239" s="179" t="s">
        <v>1489</v>
      </c>
      <c r="S239" s="47"/>
      <c r="T239" s="54"/>
      <c r="U239" s="54"/>
      <c r="AA239">
        <f t="shared" si="46"/>
        <v>310</v>
      </c>
      <c r="AD239" t="str">
        <f t="shared" si="47"/>
        <v>314</v>
      </c>
      <c r="AE239">
        <f t="shared" si="48"/>
        <v>0</v>
      </c>
      <c r="AG239" s="50" t="str">
        <f t="shared" si="49"/>
        <v>TERRAINS  ENTRETIEN</v>
      </c>
      <c r="AH239" s="244" t="str">
        <f t="shared" si="50"/>
        <v>-</v>
      </c>
      <c r="AI239" s="219"/>
      <c r="AJ239" s="219"/>
      <c r="AK239" s="219" t="str">
        <f t="shared" si="51"/>
        <v>-</v>
      </c>
      <c r="AL239" s="244" t="str">
        <f t="shared" si="52"/>
        <v>-</v>
      </c>
      <c r="AN239" s="219">
        <f t="shared" si="53"/>
        <v>0</v>
      </c>
    </row>
    <row r="240" spans="1:40" ht="15" customHeight="1" x14ac:dyDescent="0.3">
      <c r="A240" s="48">
        <v>0</v>
      </c>
      <c r="B240" s="49" t="s">
        <v>384</v>
      </c>
      <c r="C240" s="50" t="s">
        <v>385</v>
      </c>
      <c r="D240" s="178" t="s">
        <v>1458</v>
      </c>
      <c r="E240" s="46" t="s">
        <v>379</v>
      </c>
      <c r="F240" s="46">
        <v>310</v>
      </c>
      <c r="G240" s="46" t="s">
        <v>131</v>
      </c>
      <c r="H240" s="46">
        <v>1</v>
      </c>
      <c r="I240" s="51">
        <v>0</v>
      </c>
      <c r="J240" s="51">
        <v>0</v>
      </c>
      <c r="K240" s="51">
        <f t="shared" si="56"/>
        <v>0</v>
      </c>
      <c r="L240" s="51">
        <v>0</v>
      </c>
      <c r="M240" s="51">
        <v>0</v>
      </c>
      <c r="N240" s="51">
        <f t="shared" si="55"/>
        <v>0</v>
      </c>
      <c r="O240" s="51">
        <v>0</v>
      </c>
      <c r="P240" s="179" t="s">
        <v>1489</v>
      </c>
      <c r="Q240" s="179" t="s">
        <v>1489</v>
      </c>
      <c r="R240" s="179" t="s">
        <v>1489</v>
      </c>
      <c r="S240" s="47"/>
      <c r="T240" s="54"/>
      <c r="U240" s="54"/>
      <c r="AA240">
        <f t="shared" si="46"/>
        <v>310</v>
      </c>
      <c r="AD240" t="str">
        <f t="shared" si="47"/>
        <v>314</v>
      </c>
      <c r="AE240">
        <f t="shared" si="48"/>
        <v>1</v>
      </c>
      <c r="AG240" s="50" t="str">
        <f t="shared" si="49"/>
        <v>TERRAINS  REAMENAGEMENT PLACE PETANQUE (inactif)</v>
      </c>
      <c r="AH240" s="244" t="str">
        <f t="shared" si="50"/>
        <v>-</v>
      </c>
      <c r="AI240" s="219"/>
      <c r="AJ240" s="219"/>
      <c r="AK240" s="219" t="str">
        <f t="shared" si="51"/>
        <v>-</v>
      </c>
      <c r="AL240" s="244" t="str">
        <f t="shared" si="52"/>
        <v>-</v>
      </c>
      <c r="AN240" s="219">
        <f t="shared" si="53"/>
        <v>0</v>
      </c>
    </row>
    <row r="241" spans="1:40" ht="15" customHeight="1" x14ac:dyDescent="0.3">
      <c r="A241" s="48">
        <v>0</v>
      </c>
      <c r="B241" s="49" t="s">
        <v>386</v>
      </c>
      <c r="C241" s="50" t="s">
        <v>387</v>
      </c>
      <c r="D241" s="178" t="s">
        <v>1458</v>
      </c>
      <c r="E241" s="46" t="s">
        <v>379</v>
      </c>
      <c r="F241" s="46">
        <v>310</v>
      </c>
      <c r="G241" s="46" t="s">
        <v>131</v>
      </c>
      <c r="H241" s="46">
        <v>2</v>
      </c>
      <c r="I241" s="51">
        <v>0</v>
      </c>
      <c r="J241" s="51">
        <v>0</v>
      </c>
      <c r="K241" s="51">
        <f t="shared" si="56"/>
        <v>0</v>
      </c>
      <c r="L241" s="51">
        <v>0</v>
      </c>
      <c r="M241" s="51">
        <v>0</v>
      </c>
      <c r="N241" s="51">
        <f t="shared" si="55"/>
        <v>0</v>
      </c>
      <c r="O241" s="51">
        <v>0</v>
      </c>
      <c r="P241" s="179" t="s">
        <v>1489</v>
      </c>
      <c r="Q241" s="179" t="s">
        <v>1489</v>
      </c>
      <c r="R241" s="179" t="s">
        <v>1489</v>
      </c>
      <c r="S241" s="47"/>
      <c r="T241" s="54"/>
      <c r="U241" s="54"/>
      <c r="AA241">
        <f t="shared" si="46"/>
        <v>310</v>
      </c>
      <c r="AD241" t="str">
        <f t="shared" si="47"/>
        <v>314</v>
      </c>
      <c r="AE241">
        <f t="shared" si="48"/>
        <v>2</v>
      </c>
      <c r="AG241" s="50" t="str">
        <f t="shared" si="49"/>
        <v>TERRAINS  SYNDICATS AF et ARROSAGE SANE (inactif)</v>
      </c>
      <c r="AH241" s="244" t="str">
        <f t="shared" si="50"/>
        <v>-</v>
      </c>
      <c r="AI241" s="219"/>
      <c r="AJ241" s="219"/>
      <c r="AK241" s="219" t="str">
        <f t="shared" si="51"/>
        <v>-</v>
      </c>
      <c r="AL241" s="244" t="str">
        <f t="shared" si="52"/>
        <v>-</v>
      </c>
      <c r="AN241" s="219">
        <f t="shared" si="53"/>
        <v>0</v>
      </c>
    </row>
    <row r="242" spans="1:40" ht="15" customHeight="1" x14ac:dyDescent="0.3">
      <c r="A242" s="48">
        <v>0</v>
      </c>
      <c r="B242" s="49" t="s">
        <v>388</v>
      </c>
      <c r="C242" s="50" t="s">
        <v>389</v>
      </c>
      <c r="D242" s="178" t="s">
        <v>1458</v>
      </c>
      <c r="E242" s="46" t="s">
        <v>379</v>
      </c>
      <c r="F242" s="46">
        <v>310</v>
      </c>
      <c r="G242" s="46" t="s">
        <v>48</v>
      </c>
      <c r="H242" s="46"/>
      <c r="I242" s="51">
        <v>0</v>
      </c>
      <c r="J242" s="51">
        <v>0</v>
      </c>
      <c r="K242" s="51">
        <f t="shared" si="56"/>
        <v>0</v>
      </c>
      <c r="L242" s="51">
        <v>0</v>
      </c>
      <c r="M242" s="51">
        <v>0</v>
      </c>
      <c r="N242" s="51">
        <f t="shared" si="55"/>
        <v>0</v>
      </c>
      <c r="O242" s="51">
        <v>0</v>
      </c>
      <c r="P242" s="179" t="s">
        <v>1489</v>
      </c>
      <c r="Q242" s="179" t="s">
        <v>1489</v>
      </c>
      <c r="R242" s="179" t="s">
        <v>1489</v>
      </c>
      <c r="S242" s="47"/>
      <c r="T242" s="54"/>
      <c r="U242" s="54"/>
      <c r="AA242">
        <f t="shared" si="46"/>
        <v>310</v>
      </c>
      <c r="AD242" t="str">
        <f t="shared" si="47"/>
        <v>318</v>
      </c>
      <c r="AE242">
        <f t="shared" si="48"/>
        <v>0</v>
      </c>
      <c r="AG242" s="50" t="str">
        <f t="shared" si="49"/>
        <v>TERRAINS  Honoraires, Prestations services</v>
      </c>
      <c r="AH242" s="244" t="str">
        <f t="shared" si="50"/>
        <v>-</v>
      </c>
      <c r="AI242" s="219"/>
      <c r="AJ242" s="219"/>
      <c r="AK242" s="219" t="str">
        <f t="shared" si="51"/>
        <v>-</v>
      </c>
      <c r="AL242" s="244" t="str">
        <f t="shared" si="52"/>
        <v>-</v>
      </c>
      <c r="AN242" s="219">
        <f t="shared" si="53"/>
        <v>0</v>
      </c>
    </row>
    <row r="243" spans="1:40" ht="15" customHeight="1" x14ac:dyDescent="0.3">
      <c r="A243" s="48">
        <v>0</v>
      </c>
      <c r="B243" s="49" t="s">
        <v>390</v>
      </c>
      <c r="C243" s="50" t="s">
        <v>391</v>
      </c>
      <c r="D243" s="178" t="s">
        <v>1458</v>
      </c>
      <c r="E243" s="46" t="s">
        <v>379</v>
      </c>
      <c r="F243" s="46">
        <v>310</v>
      </c>
      <c r="G243" s="46" t="s">
        <v>183</v>
      </c>
      <c r="H243" s="46"/>
      <c r="I243" s="51">
        <v>3796</v>
      </c>
      <c r="J243" s="51">
        <v>0</v>
      </c>
      <c r="K243" s="51">
        <f t="shared" si="56"/>
        <v>3796</v>
      </c>
      <c r="L243" s="51">
        <v>4000</v>
      </c>
      <c r="M243" s="51">
        <v>0</v>
      </c>
      <c r="N243" s="51">
        <f t="shared" si="55"/>
        <v>4000</v>
      </c>
      <c r="O243" s="51">
        <v>0</v>
      </c>
      <c r="P243" s="179">
        <v>96901</v>
      </c>
      <c r="Q243" s="179" t="s">
        <v>1812</v>
      </c>
      <c r="R243" s="179" t="s">
        <v>2131</v>
      </c>
      <c r="S243" s="47" t="s">
        <v>2171</v>
      </c>
      <c r="T243" s="54">
        <f>+I243</f>
        <v>3796</v>
      </c>
      <c r="U243" s="54"/>
      <c r="W243" t="s">
        <v>1481</v>
      </c>
      <c r="AA243">
        <f t="shared" si="46"/>
        <v>310</v>
      </c>
      <c r="AD243" t="str">
        <f t="shared" si="47"/>
        <v>351</v>
      </c>
      <c r="AE243">
        <f t="shared" si="48"/>
        <v>0</v>
      </c>
      <c r="AG243" s="50" t="str">
        <f t="shared" si="49"/>
        <v>TERRAINS  FEU BACTERIEN / Parasites / Chenilles pros.</v>
      </c>
      <c r="AH243" s="244">
        <f t="shared" si="50"/>
        <v>96901</v>
      </c>
      <c r="AI243" s="219"/>
      <c r="AJ243" s="219"/>
      <c r="AK243" s="219" t="str">
        <f t="shared" si="51"/>
        <v>3431</v>
      </c>
      <c r="AL243" s="244" t="str">
        <f t="shared" si="52"/>
        <v>00</v>
      </c>
      <c r="AN243" s="219" t="str">
        <f t="shared" si="53"/>
        <v>Entretien courant |Terrains |</v>
      </c>
    </row>
    <row r="244" spans="1:40" ht="15" customHeight="1" x14ac:dyDescent="0.3">
      <c r="A244" s="48">
        <v>0</v>
      </c>
      <c r="B244" s="49" t="s">
        <v>392</v>
      </c>
      <c r="C244" s="50" t="s">
        <v>393</v>
      </c>
      <c r="D244" s="178" t="s">
        <v>1458</v>
      </c>
      <c r="E244" s="46" t="s">
        <v>379</v>
      </c>
      <c r="F244" s="46">
        <v>310</v>
      </c>
      <c r="G244" s="46" t="s">
        <v>6</v>
      </c>
      <c r="H244" s="46"/>
      <c r="I244" s="51">
        <v>0</v>
      </c>
      <c r="J244" s="51">
        <v>0</v>
      </c>
      <c r="K244" s="51">
        <f t="shared" si="56"/>
        <v>0</v>
      </c>
      <c r="L244" s="51">
        <v>0</v>
      </c>
      <c r="M244" s="51">
        <v>0</v>
      </c>
      <c r="N244" s="51">
        <f t="shared" si="55"/>
        <v>0</v>
      </c>
      <c r="O244" s="51">
        <v>0</v>
      </c>
      <c r="P244" s="179" t="s">
        <v>1489</v>
      </c>
      <c r="Q244" s="179" t="s">
        <v>1489</v>
      </c>
      <c r="R244" s="179" t="s">
        <v>1489</v>
      </c>
      <c r="S244" s="47"/>
      <c r="T244" s="54"/>
      <c r="U244" s="54"/>
      <c r="AA244">
        <f t="shared" si="46"/>
        <v>310</v>
      </c>
      <c r="AD244" t="str">
        <f t="shared" si="47"/>
        <v>380</v>
      </c>
      <c r="AE244">
        <f t="shared" si="48"/>
        <v>0</v>
      </c>
      <c r="AG244" s="50" t="str">
        <f t="shared" si="49"/>
        <v>TERRAINS  ATTRIBUTION FONDS RESERVE La Chèvrerie</v>
      </c>
      <c r="AH244" s="244" t="str">
        <f t="shared" si="50"/>
        <v>-</v>
      </c>
      <c r="AI244" s="219"/>
      <c r="AJ244" s="219"/>
      <c r="AK244" s="219" t="str">
        <f t="shared" si="51"/>
        <v>-</v>
      </c>
      <c r="AL244" s="244" t="str">
        <f t="shared" si="52"/>
        <v>-</v>
      </c>
      <c r="AN244" s="219">
        <f t="shared" si="53"/>
        <v>0</v>
      </c>
    </row>
    <row r="245" spans="1:40" ht="15" customHeight="1" x14ac:dyDescent="0.3">
      <c r="A245" s="48">
        <v>0</v>
      </c>
      <c r="B245" s="49" t="s">
        <v>394</v>
      </c>
      <c r="C245" s="50" t="s">
        <v>395</v>
      </c>
      <c r="D245" s="178" t="s">
        <v>1458</v>
      </c>
      <c r="E245" s="46" t="s">
        <v>379</v>
      </c>
      <c r="F245" s="46">
        <v>310</v>
      </c>
      <c r="G245" s="46" t="s">
        <v>6</v>
      </c>
      <c r="H245" s="46">
        <v>1</v>
      </c>
      <c r="I245" s="51">
        <v>0</v>
      </c>
      <c r="J245" s="51">
        <v>0</v>
      </c>
      <c r="K245" s="51">
        <f t="shared" si="56"/>
        <v>0</v>
      </c>
      <c r="L245" s="51">
        <v>0</v>
      </c>
      <c r="M245" s="51">
        <v>0</v>
      </c>
      <c r="N245" s="51">
        <f t="shared" si="55"/>
        <v>0</v>
      </c>
      <c r="O245" s="51">
        <v>0</v>
      </c>
      <c r="P245" s="179" t="s">
        <v>1489</v>
      </c>
      <c r="Q245" s="179" t="s">
        <v>1489</v>
      </c>
      <c r="R245" s="179" t="s">
        <v>1489</v>
      </c>
      <c r="S245" s="47"/>
      <c r="T245" s="54"/>
      <c r="U245" s="54"/>
      <c r="AA245">
        <f t="shared" si="46"/>
        <v>310</v>
      </c>
      <c r="AD245" t="str">
        <f t="shared" si="47"/>
        <v>380</v>
      </c>
      <c r="AE245">
        <f t="shared" si="48"/>
        <v>1</v>
      </c>
      <c r="AG245" s="50" t="str">
        <f t="shared" si="49"/>
        <v>TERRAINS  ATTRIBUTION FONDS. RESERVE Ventes</v>
      </c>
      <c r="AH245" s="244" t="str">
        <f t="shared" si="50"/>
        <v>-</v>
      </c>
      <c r="AI245" s="219"/>
      <c r="AJ245" s="219"/>
      <c r="AK245" s="219" t="str">
        <f t="shared" si="51"/>
        <v>-</v>
      </c>
      <c r="AL245" s="244" t="str">
        <f t="shared" si="52"/>
        <v>-</v>
      </c>
      <c r="AN245" s="219">
        <f t="shared" si="53"/>
        <v>0</v>
      </c>
    </row>
    <row r="246" spans="1:40" ht="15" customHeight="1" x14ac:dyDescent="0.3">
      <c r="A246" s="48">
        <v>0</v>
      </c>
      <c r="B246" s="74" t="s">
        <v>396</v>
      </c>
      <c r="C246" s="67" t="s">
        <v>397</v>
      </c>
      <c r="D246" s="196" t="s">
        <v>1458</v>
      </c>
      <c r="E246" s="188" t="s">
        <v>379</v>
      </c>
      <c r="F246" s="46">
        <v>310</v>
      </c>
      <c r="G246" s="188" t="s">
        <v>326</v>
      </c>
      <c r="H246" s="188"/>
      <c r="I246" s="51">
        <v>0</v>
      </c>
      <c r="J246" s="51">
        <v>-82752.149999999994</v>
      </c>
      <c r="K246" s="51">
        <f t="shared" si="56"/>
        <v>-82752.149999999994</v>
      </c>
      <c r="L246" s="51">
        <v>0</v>
      </c>
      <c r="M246" s="51">
        <v>-78000</v>
      </c>
      <c r="N246" s="51">
        <f t="shared" si="55"/>
        <v>-78000</v>
      </c>
      <c r="O246" s="51">
        <v>-7020</v>
      </c>
      <c r="P246" s="179">
        <v>96901</v>
      </c>
      <c r="Q246" s="179" t="s">
        <v>1813</v>
      </c>
      <c r="R246" s="179" t="s">
        <v>2131</v>
      </c>
      <c r="S246" s="47" t="s">
        <v>2172</v>
      </c>
      <c r="T246" s="54">
        <f>+J246-T247-T248</f>
        <v>-73192.149999999994</v>
      </c>
      <c r="U246" s="54"/>
      <c r="W246" s="31" t="s">
        <v>1911</v>
      </c>
      <c r="AA246">
        <f t="shared" si="46"/>
        <v>310</v>
      </c>
      <c r="AD246" t="str">
        <f t="shared" si="47"/>
        <v>423</v>
      </c>
      <c r="AE246">
        <f t="shared" si="48"/>
        <v>0</v>
      </c>
      <c r="AG246" s="50" t="str">
        <f t="shared" si="49"/>
        <v>TERRAINS  LOCATIONS DIVERSES</v>
      </c>
      <c r="AH246" s="244">
        <f t="shared" si="50"/>
        <v>96901</v>
      </c>
      <c r="AI246" s="219"/>
      <c r="AJ246" s="219"/>
      <c r="AK246" s="219" t="str">
        <f t="shared" si="51"/>
        <v>4430</v>
      </c>
      <c r="AL246" s="244" t="str">
        <f t="shared" si="52"/>
        <v>00</v>
      </c>
      <c r="AN246" s="219" t="str">
        <f t="shared" si="53"/>
        <v>Loyers et fermages | Terrains |</v>
      </c>
    </row>
    <row r="247" spans="1:40" ht="15" customHeight="1" x14ac:dyDescent="0.3">
      <c r="A247" s="48"/>
      <c r="B247" s="74" t="s">
        <v>396</v>
      </c>
      <c r="C247" s="67" t="s">
        <v>397</v>
      </c>
      <c r="D247" s="196" t="s">
        <v>1458</v>
      </c>
      <c r="E247" s="188" t="s">
        <v>379</v>
      </c>
      <c r="F247" s="46">
        <v>310</v>
      </c>
      <c r="G247" s="188" t="s">
        <v>326</v>
      </c>
      <c r="H247" s="188"/>
      <c r="I247" s="51"/>
      <c r="J247" s="51"/>
      <c r="K247" s="51"/>
      <c r="L247" s="51"/>
      <c r="M247" s="51"/>
      <c r="N247" s="51">
        <f t="shared" si="55"/>
        <v>0</v>
      </c>
      <c r="O247" s="51"/>
      <c r="P247" s="179" t="s">
        <v>1490</v>
      </c>
      <c r="Q247" s="179" t="s">
        <v>1443</v>
      </c>
      <c r="R247" s="179" t="s">
        <v>2131</v>
      </c>
      <c r="S247" s="131" t="s">
        <v>2076</v>
      </c>
      <c r="T247" s="54">
        <v>-1200</v>
      </c>
      <c r="U247" s="212">
        <v>-1200</v>
      </c>
      <c r="W247" s="97" t="s">
        <v>1913</v>
      </c>
      <c r="AA247">
        <f t="shared" si="46"/>
        <v>310</v>
      </c>
      <c r="AD247" t="str">
        <f t="shared" si="47"/>
        <v>423</v>
      </c>
      <c r="AE247">
        <f t="shared" si="48"/>
        <v>0</v>
      </c>
      <c r="AG247" s="50" t="str">
        <f t="shared" si="49"/>
        <v>TERRAINS  LOCATIONS DIVERSES</v>
      </c>
      <c r="AH247" s="244" t="str">
        <f t="shared" si="50"/>
        <v>34100</v>
      </c>
      <c r="AI247" s="219"/>
      <c r="AJ247" s="219"/>
      <c r="AK247" s="219" t="str">
        <f t="shared" si="51"/>
        <v>4612</v>
      </c>
      <c r="AL247" s="244" t="str">
        <f t="shared" si="52"/>
        <v>00</v>
      </c>
      <c r="AN247" s="219" t="str">
        <f t="shared" si="53"/>
        <v>Dédommagement des communes et associations intercommunales - AISGE - loyers et entretien terrains de sport</v>
      </c>
    </row>
    <row r="248" spans="1:40" ht="15" customHeight="1" x14ac:dyDescent="0.3">
      <c r="A248" s="48"/>
      <c r="B248" s="74" t="s">
        <v>396</v>
      </c>
      <c r="C248" s="67" t="s">
        <v>397</v>
      </c>
      <c r="D248" s="196" t="s">
        <v>1458</v>
      </c>
      <c r="E248" s="188" t="s">
        <v>379</v>
      </c>
      <c r="F248" s="46">
        <v>310</v>
      </c>
      <c r="G248" s="188" t="s">
        <v>326</v>
      </c>
      <c r="H248" s="188"/>
      <c r="I248" s="51"/>
      <c r="J248" s="51"/>
      <c r="K248" s="51"/>
      <c r="L248" s="51"/>
      <c r="M248" s="51"/>
      <c r="N248" s="51">
        <f t="shared" si="55"/>
        <v>0</v>
      </c>
      <c r="O248" s="51"/>
      <c r="P248" s="8" t="s">
        <v>1794</v>
      </c>
      <c r="Q248" s="179" t="s">
        <v>1443</v>
      </c>
      <c r="R248" s="179" t="s">
        <v>2131</v>
      </c>
      <c r="S248" s="131" t="s">
        <v>2301</v>
      </c>
      <c r="T248" s="54">
        <v>-8360</v>
      </c>
      <c r="U248" s="212">
        <v>-8360</v>
      </c>
      <c r="W248" s="97" t="s">
        <v>1915</v>
      </c>
      <c r="AA248">
        <f t="shared" si="46"/>
        <v>310</v>
      </c>
      <c r="AD248" t="str">
        <f t="shared" si="47"/>
        <v>423</v>
      </c>
      <c r="AE248">
        <f t="shared" si="48"/>
        <v>0</v>
      </c>
      <c r="AG248" s="50" t="str">
        <f t="shared" si="49"/>
        <v>TERRAINS  LOCATIONS DIVERSES</v>
      </c>
      <c r="AH248" s="244" t="str">
        <f t="shared" si="50"/>
        <v>02900</v>
      </c>
      <c r="AI248" s="219"/>
      <c r="AJ248" s="219"/>
      <c r="AK248" s="219" t="str">
        <f t="shared" si="51"/>
        <v>4612</v>
      </c>
      <c r="AL248" s="244" t="str">
        <f t="shared" si="52"/>
        <v>00</v>
      </c>
      <c r="AN248" s="219" t="str">
        <f t="shared" si="53"/>
        <v>Dédommagement des communes et associations intercommunales - AISGE - Loyers PA - Bât non mentionnés ailleurs | Salle du 700e / Anc. Station pompage che. De la Source / locaux chaufferie du CAD / Cordex-Oujon |</v>
      </c>
    </row>
    <row r="249" spans="1:40" ht="15" customHeight="1" x14ac:dyDescent="0.3">
      <c r="A249" s="48">
        <v>0</v>
      </c>
      <c r="B249" s="49" t="s">
        <v>398</v>
      </c>
      <c r="C249" s="50" t="s">
        <v>399</v>
      </c>
      <c r="D249" s="178" t="s">
        <v>1458</v>
      </c>
      <c r="E249" s="46" t="s">
        <v>379</v>
      </c>
      <c r="F249" s="46">
        <v>310</v>
      </c>
      <c r="G249" s="46" t="s">
        <v>329</v>
      </c>
      <c r="H249" s="46"/>
      <c r="I249" s="51">
        <v>0</v>
      </c>
      <c r="J249" s="51">
        <v>0</v>
      </c>
      <c r="K249" s="51">
        <f t="shared" ref="K249:K285" si="57">+I249+J249</f>
        <v>0</v>
      </c>
      <c r="L249" s="51">
        <v>0</v>
      </c>
      <c r="M249" s="51">
        <v>0</v>
      </c>
      <c r="N249" s="51">
        <f t="shared" si="55"/>
        <v>0</v>
      </c>
      <c r="O249" s="51">
        <v>-20250</v>
      </c>
      <c r="P249" s="8">
        <v>96901</v>
      </c>
      <c r="Q249" s="179" t="s">
        <v>2124</v>
      </c>
      <c r="R249" s="179" t="s">
        <v>2131</v>
      </c>
      <c r="S249" s="131" t="s">
        <v>2170</v>
      </c>
      <c r="T249" s="54"/>
      <c r="U249" s="54"/>
      <c r="AA249">
        <f t="shared" si="46"/>
        <v>310</v>
      </c>
      <c r="AD249" t="str">
        <f t="shared" si="47"/>
        <v>424</v>
      </c>
      <c r="AE249">
        <f t="shared" si="48"/>
        <v>0</v>
      </c>
      <c r="AG249" s="50" t="str">
        <f t="shared" si="49"/>
        <v>TERRAINS  GAINS COMPTABLE PATR FIN : VENTES</v>
      </c>
      <c r="AH249" s="244">
        <f t="shared" si="50"/>
        <v>96901</v>
      </c>
      <c r="AI249" s="219"/>
      <c r="AJ249" s="219"/>
      <c r="AK249" s="219" t="str">
        <f t="shared" si="51"/>
        <v>4411</v>
      </c>
      <c r="AL249" s="244" t="str">
        <f t="shared" si="52"/>
        <v>00</v>
      </c>
      <c r="AN249" s="219" t="str">
        <f t="shared" si="53"/>
        <v>Gain provenant des ventes des immobilisations PF |Terrains |</v>
      </c>
    </row>
    <row r="250" spans="1:40" ht="15" customHeight="1" x14ac:dyDescent="0.3">
      <c r="A250" s="48">
        <v>0</v>
      </c>
      <c r="B250" s="49" t="s">
        <v>400</v>
      </c>
      <c r="C250" s="50" t="s">
        <v>401</v>
      </c>
      <c r="D250" s="178" t="s">
        <v>1458</v>
      </c>
      <c r="E250" s="46" t="s">
        <v>379</v>
      </c>
      <c r="F250" s="46">
        <v>310</v>
      </c>
      <c r="G250" s="46" t="s">
        <v>329</v>
      </c>
      <c r="H250" s="46">
        <v>1</v>
      </c>
      <c r="I250" s="51">
        <v>0</v>
      </c>
      <c r="J250" s="51">
        <v>0</v>
      </c>
      <c r="K250" s="51">
        <f t="shared" si="57"/>
        <v>0</v>
      </c>
      <c r="L250" s="51">
        <v>0</v>
      </c>
      <c r="M250" s="51">
        <v>0</v>
      </c>
      <c r="N250" s="51">
        <f t="shared" si="55"/>
        <v>0</v>
      </c>
      <c r="O250" s="51">
        <v>0</v>
      </c>
      <c r="P250" s="179" t="s">
        <v>1489</v>
      </c>
      <c r="Q250" s="179" t="s">
        <v>1489</v>
      </c>
      <c r="R250" s="179" t="s">
        <v>1489</v>
      </c>
      <c r="S250" s="47"/>
      <c r="T250" s="54"/>
      <c r="U250" s="54"/>
      <c r="AA250">
        <f t="shared" si="46"/>
        <v>310</v>
      </c>
      <c r="AD250" t="str">
        <f t="shared" si="47"/>
        <v>424</v>
      </c>
      <c r="AE250">
        <f t="shared" si="48"/>
        <v>1</v>
      </c>
      <c r="AG250" s="50" t="str">
        <f t="shared" si="49"/>
        <v>TERRAINS  GAINS COMPTABLE (Vente - prel fnds res)</v>
      </c>
      <c r="AH250" s="244" t="str">
        <f t="shared" si="50"/>
        <v>-</v>
      </c>
      <c r="AI250" s="219"/>
      <c r="AJ250" s="219"/>
      <c r="AK250" s="219" t="str">
        <f t="shared" si="51"/>
        <v>-</v>
      </c>
      <c r="AL250" s="244" t="str">
        <f t="shared" si="52"/>
        <v>-</v>
      </c>
      <c r="AN250" s="219">
        <f t="shared" si="53"/>
        <v>0</v>
      </c>
    </row>
    <row r="251" spans="1:40" ht="15" customHeight="1" x14ac:dyDescent="0.3">
      <c r="A251" s="48">
        <v>0</v>
      </c>
      <c r="B251" s="49" t="s">
        <v>402</v>
      </c>
      <c r="C251" s="50" t="s">
        <v>403</v>
      </c>
      <c r="D251" s="178" t="s">
        <v>1458</v>
      </c>
      <c r="E251" s="46" t="s">
        <v>379</v>
      </c>
      <c r="F251" s="46">
        <v>310</v>
      </c>
      <c r="G251" s="46" t="s">
        <v>335</v>
      </c>
      <c r="H251" s="46"/>
      <c r="I251" s="51">
        <v>0</v>
      </c>
      <c r="J251" s="51">
        <v>0</v>
      </c>
      <c r="K251" s="51">
        <f t="shared" si="57"/>
        <v>0</v>
      </c>
      <c r="L251" s="51">
        <v>0</v>
      </c>
      <c r="M251" s="51">
        <v>0</v>
      </c>
      <c r="N251" s="51">
        <f t="shared" si="55"/>
        <v>0</v>
      </c>
      <c r="O251" s="51">
        <v>0</v>
      </c>
      <c r="P251" s="179" t="s">
        <v>1489</v>
      </c>
      <c r="Q251" s="179" t="s">
        <v>1489</v>
      </c>
      <c r="R251" s="179" t="s">
        <v>1489</v>
      </c>
      <c r="S251" s="47"/>
      <c r="T251" s="54"/>
      <c r="U251" s="54"/>
      <c r="AA251">
        <f t="shared" si="46"/>
        <v>310</v>
      </c>
      <c r="AD251" t="str">
        <f t="shared" si="47"/>
        <v>427</v>
      </c>
      <c r="AE251">
        <f t="shared" si="48"/>
        <v>0</v>
      </c>
      <c r="AG251" s="50" t="str">
        <f t="shared" si="49"/>
        <v>TERRAINS  LOCATION BOIS-DE-CHENES (inactif)</v>
      </c>
      <c r="AH251" s="244" t="str">
        <f t="shared" si="50"/>
        <v>-</v>
      </c>
      <c r="AI251" s="219"/>
      <c r="AJ251" s="219"/>
      <c r="AK251" s="219" t="str">
        <f t="shared" si="51"/>
        <v>-</v>
      </c>
      <c r="AL251" s="244" t="str">
        <f t="shared" si="52"/>
        <v>-</v>
      </c>
      <c r="AN251" s="219">
        <f t="shared" si="53"/>
        <v>0</v>
      </c>
    </row>
    <row r="252" spans="1:40" ht="15" customHeight="1" x14ac:dyDescent="0.3">
      <c r="A252" s="48">
        <v>0</v>
      </c>
      <c r="B252" s="49" t="s">
        <v>404</v>
      </c>
      <c r="C252" s="50" t="s">
        <v>405</v>
      </c>
      <c r="D252" s="178" t="s">
        <v>1458</v>
      </c>
      <c r="E252" s="46" t="s">
        <v>379</v>
      </c>
      <c r="F252" s="46">
        <v>310</v>
      </c>
      <c r="G252" s="46" t="s">
        <v>61</v>
      </c>
      <c r="H252" s="46"/>
      <c r="I252" s="51">
        <v>0</v>
      </c>
      <c r="J252" s="51">
        <v>0</v>
      </c>
      <c r="K252" s="51">
        <f t="shared" si="57"/>
        <v>0</v>
      </c>
      <c r="L252" s="51">
        <v>0</v>
      </c>
      <c r="M252" s="51">
        <v>0</v>
      </c>
      <c r="N252" s="51">
        <f t="shared" si="55"/>
        <v>0</v>
      </c>
      <c r="O252" s="51">
        <v>0</v>
      </c>
      <c r="P252" s="179" t="s">
        <v>1489</v>
      </c>
      <c r="Q252" s="179" t="s">
        <v>1489</v>
      </c>
      <c r="R252" s="179" t="s">
        <v>1489</v>
      </c>
      <c r="S252" s="47"/>
      <c r="T252" s="54"/>
      <c r="U252" s="54"/>
      <c r="AA252">
        <f t="shared" si="46"/>
        <v>310</v>
      </c>
      <c r="AD252" t="str">
        <f t="shared" si="47"/>
        <v>436</v>
      </c>
      <c r="AE252">
        <f t="shared" si="48"/>
        <v>0</v>
      </c>
      <c r="AG252" s="50" t="str">
        <f t="shared" si="49"/>
        <v>TERRAINS  FACTURATION A DES TIERS</v>
      </c>
      <c r="AH252" s="244" t="str">
        <f t="shared" si="50"/>
        <v>-</v>
      </c>
      <c r="AI252" s="219"/>
      <c r="AJ252" s="219"/>
      <c r="AK252" s="219" t="str">
        <f t="shared" si="51"/>
        <v>-</v>
      </c>
      <c r="AL252" s="244" t="str">
        <f t="shared" si="52"/>
        <v>-</v>
      </c>
      <c r="AN252" s="219">
        <f t="shared" si="53"/>
        <v>0</v>
      </c>
    </row>
    <row r="253" spans="1:40" ht="15" customHeight="1" x14ac:dyDescent="0.3">
      <c r="A253" s="48">
        <v>0</v>
      </c>
      <c r="B253" s="49" t="s">
        <v>406</v>
      </c>
      <c r="C253" s="50" t="s">
        <v>407</v>
      </c>
      <c r="D253" s="178" t="s">
        <v>1458</v>
      </c>
      <c r="E253" s="46" t="s">
        <v>379</v>
      </c>
      <c r="F253" s="46">
        <v>310</v>
      </c>
      <c r="G253" s="46" t="s">
        <v>175</v>
      </c>
      <c r="H253" s="46"/>
      <c r="I253" s="51">
        <v>0</v>
      </c>
      <c r="J253" s="51">
        <v>0</v>
      </c>
      <c r="K253" s="51">
        <f t="shared" si="57"/>
        <v>0</v>
      </c>
      <c r="L253" s="51">
        <v>0</v>
      </c>
      <c r="M253" s="51">
        <v>0</v>
      </c>
      <c r="N253" s="51">
        <f t="shared" si="55"/>
        <v>0</v>
      </c>
      <c r="O253" s="51">
        <v>0</v>
      </c>
      <c r="P253" s="179" t="s">
        <v>1489</v>
      </c>
      <c r="Q253" s="179" t="s">
        <v>1489</v>
      </c>
      <c r="R253" s="179" t="s">
        <v>1489</v>
      </c>
      <c r="S253" s="47"/>
      <c r="T253" s="54"/>
      <c r="U253" s="54"/>
      <c r="AA253">
        <f t="shared" si="46"/>
        <v>310</v>
      </c>
      <c r="AD253" t="str">
        <f t="shared" si="47"/>
        <v>451</v>
      </c>
      <c r="AE253">
        <f t="shared" si="48"/>
        <v>0</v>
      </c>
      <c r="AG253" s="50" t="str">
        <f t="shared" si="49"/>
        <v>TERRAINS  REMB FEU BACTERIEN</v>
      </c>
      <c r="AH253" s="244" t="str">
        <f t="shared" si="50"/>
        <v>-</v>
      </c>
      <c r="AI253" s="219"/>
      <c r="AJ253" s="219"/>
      <c r="AK253" s="219" t="str">
        <f t="shared" si="51"/>
        <v>-</v>
      </c>
      <c r="AL253" s="244" t="str">
        <f t="shared" si="52"/>
        <v>-</v>
      </c>
      <c r="AN253" s="219">
        <f t="shared" si="53"/>
        <v>0</v>
      </c>
    </row>
    <row r="254" spans="1:40" ht="15" customHeight="1" x14ac:dyDescent="0.3">
      <c r="A254" s="48">
        <v>0</v>
      </c>
      <c r="B254" s="49" t="s">
        <v>408</v>
      </c>
      <c r="C254" s="50" t="s">
        <v>409</v>
      </c>
      <c r="D254" s="178" t="s">
        <v>1458</v>
      </c>
      <c r="E254" s="46" t="s">
        <v>379</v>
      </c>
      <c r="F254" s="46">
        <v>310</v>
      </c>
      <c r="G254" s="46" t="s">
        <v>351</v>
      </c>
      <c r="H254" s="46"/>
      <c r="I254" s="51">
        <v>0</v>
      </c>
      <c r="J254" s="51">
        <v>0</v>
      </c>
      <c r="K254" s="51">
        <f t="shared" si="57"/>
        <v>0</v>
      </c>
      <c r="L254" s="51">
        <v>0</v>
      </c>
      <c r="M254" s="51">
        <v>0</v>
      </c>
      <c r="N254" s="51">
        <f t="shared" si="55"/>
        <v>0</v>
      </c>
      <c r="O254" s="51">
        <v>0</v>
      </c>
      <c r="P254" s="179" t="s">
        <v>1489</v>
      </c>
      <c r="Q254" s="179" t="s">
        <v>1489</v>
      </c>
      <c r="R254" s="179" t="s">
        <v>1489</v>
      </c>
      <c r="S254" s="47"/>
      <c r="T254" s="54"/>
      <c r="U254" s="54"/>
      <c r="AA254">
        <f t="shared" si="46"/>
        <v>310</v>
      </c>
      <c r="AD254" t="str">
        <f t="shared" si="47"/>
        <v>465</v>
      </c>
      <c r="AE254">
        <f t="shared" si="48"/>
        <v>0</v>
      </c>
      <c r="AG254" s="50" t="str">
        <f t="shared" si="49"/>
        <v>TERRAINS  Subventions cantonales</v>
      </c>
      <c r="AH254" s="244" t="str">
        <f t="shared" si="50"/>
        <v>-</v>
      </c>
      <c r="AI254" s="219"/>
      <c r="AJ254" s="219"/>
      <c r="AK254" s="219" t="str">
        <f t="shared" si="51"/>
        <v>-</v>
      </c>
      <c r="AL254" s="244" t="str">
        <f t="shared" si="52"/>
        <v>-</v>
      </c>
      <c r="AN254" s="219">
        <f t="shared" si="53"/>
        <v>0</v>
      </c>
    </row>
    <row r="255" spans="1:40" ht="15" customHeight="1" x14ac:dyDescent="0.3">
      <c r="A255" s="48">
        <v>0</v>
      </c>
      <c r="B255" s="49" t="s">
        <v>410</v>
      </c>
      <c r="C255" s="50" t="s">
        <v>411</v>
      </c>
      <c r="D255" s="178" t="s">
        <v>1458</v>
      </c>
      <c r="E255" s="46" t="s">
        <v>379</v>
      </c>
      <c r="F255" s="46">
        <v>310</v>
      </c>
      <c r="G255" s="46" t="s">
        <v>64</v>
      </c>
      <c r="H255" s="46"/>
      <c r="I255" s="51">
        <v>0</v>
      </c>
      <c r="J255" s="51">
        <v>0</v>
      </c>
      <c r="K255" s="51">
        <f t="shared" si="57"/>
        <v>0</v>
      </c>
      <c r="L255" s="51">
        <v>0</v>
      </c>
      <c r="M255" s="51">
        <v>0</v>
      </c>
      <c r="N255" s="51">
        <f t="shared" si="55"/>
        <v>0</v>
      </c>
      <c r="O255" s="51">
        <v>0</v>
      </c>
      <c r="P255" s="179" t="s">
        <v>1489</v>
      </c>
      <c r="Q255" s="179" t="s">
        <v>1489</v>
      </c>
      <c r="R255" s="179" t="s">
        <v>1489</v>
      </c>
      <c r="S255" s="47"/>
      <c r="T255" s="54"/>
      <c r="U255" s="54"/>
      <c r="AA255">
        <f t="shared" si="46"/>
        <v>310</v>
      </c>
      <c r="AD255" t="str">
        <f t="shared" si="47"/>
        <v>480</v>
      </c>
      <c r="AE255">
        <f t="shared" si="48"/>
        <v>0</v>
      </c>
      <c r="AG255" s="50" t="str">
        <f t="shared" si="49"/>
        <v>TERRAINS  PREL RESERVE (9280.6)</v>
      </c>
      <c r="AH255" s="244" t="str">
        <f t="shared" si="50"/>
        <v>-</v>
      </c>
      <c r="AI255" s="219"/>
      <c r="AJ255" s="219"/>
      <c r="AK255" s="219" t="str">
        <f t="shared" si="51"/>
        <v>-</v>
      </c>
      <c r="AL255" s="244" t="str">
        <f t="shared" si="52"/>
        <v>-</v>
      </c>
      <c r="AN255" s="219">
        <f t="shared" si="53"/>
        <v>0</v>
      </c>
    </row>
    <row r="256" spans="1:40" ht="15" customHeight="1" x14ac:dyDescent="0.3">
      <c r="A256" s="48">
        <v>0</v>
      </c>
      <c r="B256" s="49" t="s">
        <v>413</v>
      </c>
      <c r="C256" s="50" t="s">
        <v>414</v>
      </c>
      <c r="D256" s="46" t="s">
        <v>1458</v>
      </c>
      <c r="E256" s="46" t="s">
        <v>412</v>
      </c>
      <c r="F256" s="46">
        <v>320</v>
      </c>
      <c r="G256" s="46" t="s">
        <v>131</v>
      </c>
      <c r="H256" s="46"/>
      <c r="I256" s="51">
        <v>46263.42</v>
      </c>
      <c r="J256" s="51">
        <v>0</v>
      </c>
      <c r="K256" s="51">
        <f t="shared" si="57"/>
        <v>46263.42</v>
      </c>
      <c r="L256" s="51">
        <v>15000</v>
      </c>
      <c r="M256" s="51">
        <v>0</v>
      </c>
      <c r="N256" s="51">
        <f t="shared" si="55"/>
        <v>15000</v>
      </c>
      <c r="O256" s="51">
        <v>0</v>
      </c>
      <c r="P256" s="179">
        <v>82000</v>
      </c>
      <c r="Q256" s="179" t="s">
        <v>1814</v>
      </c>
      <c r="R256" s="179" t="s">
        <v>2131</v>
      </c>
      <c r="S256" s="47" t="s">
        <v>1881</v>
      </c>
      <c r="T256" s="54">
        <f>+I256</f>
        <v>46263.42</v>
      </c>
      <c r="U256" s="54"/>
      <c r="W256" t="s">
        <v>1815</v>
      </c>
      <c r="AA256">
        <f t="shared" si="46"/>
        <v>320</v>
      </c>
      <c r="AD256" t="str">
        <f t="shared" si="47"/>
        <v>314</v>
      </c>
      <c r="AE256">
        <f t="shared" si="48"/>
        <v>0</v>
      </c>
      <c r="AG256" s="50" t="str">
        <f t="shared" si="49"/>
        <v>FORETS  ENTRETIEN HORS "COLLINE"</v>
      </c>
      <c r="AH256" s="244">
        <f t="shared" si="50"/>
        <v>82000</v>
      </c>
      <c r="AI256" s="219"/>
      <c r="AJ256" s="219"/>
      <c r="AK256" s="219" t="str">
        <f t="shared" si="51"/>
        <v>3145</v>
      </c>
      <c r="AL256" s="244" t="str">
        <f t="shared" si="52"/>
        <v>00</v>
      </c>
      <c r="AN256" s="219" t="str">
        <f t="shared" si="53"/>
        <v>Entretien des forêts - Autres</v>
      </c>
    </row>
    <row r="257" spans="1:40" ht="15" customHeight="1" x14ac:dyDescent="0.3">
      <c r="A257" s="48"/>
      <c r="B257" s="49" t="s">
        <v>413</v>
      </c>
      <c r="C257" s="50" t="s">
        <v>414</v>
      </c>
      <c r="D257" s="46" t="s">
        <v>1458</v>
      </c>
      <c r="E257" s="46" t="s">
        <v>412</v>
      </c>
      <c r="F257" s="46">
        <v>320</v>
      </c>
      <c r="G257" s="46" t="s">
        <v>131</v>
      </c>
      <c r="H257" s="46"/>
      <c r="I257" s="51"/>
      <c r="J257" s="51"/>
      <c r="K257" s="51">
        <f t="shared" si="57"/>
        <v>0</v>
      </c>
      <c r="L257" s="51"/>
      <c r="M257" s="51"/>
      <c r="N257" s="51">
        <f t="shared" si="55"/>
        <v>0</v>
      </c>
      <c r="O257" s="51"/>
      <c r="P257" s="179">
        <v>82000</v>
      </c>
      <c r="Q257" s="179" t="s">
        <v>1398</v>
      </c>
      <c r="R257" s="179" t="s">
        <v>2131</v>
      </c>
      <c r="S257" s="47" t="s">
        <v>2044</v>
      </c>
      <c r="T257" s="54"/>
      <c r="U257" s="54"/>
      <c r="W257" t="s">
        <v>1482</v>
      </c>
      <c r="AA257">
        <f t="shared" si="46"/>
        <v>320</v>
      </c>
      <c r="AD257" t="str">
        <f t="shared" si="47"/>
        <v>314</v>
      </c>
      <c r="AE257">
        <f t="shared" si="48"/>
        <v>0</v>
      </c>
      <c r="AG257" s="50" t="str">
        <f t="shared" si="49"/>
        <v>FORETS  ENTRETIEN HORS "COLLINE"</v>
      </c>
      <c r="AH257" s="244">
        <f t="shared" si="50"/>
        <v>82000</v>
      </c>
      <c r="AI257" s="219"/>
      <c r="AJ257" s="219"/>
      <c r="AK257" s="219" t="str">
        <f t="shared" si="51"/>
        <v>3612</v>
      </c>
      <c r="AL257" s="244" t="str">
        <f t="shared" si="52"/>
        <v>00</v>
      </c>
      <c r="AN257" s="219" t="str">
        <f t="shared" si="53"/>
        <v>Parts aux communes et assoc intercomm - Entretien des forêts - Group. Forest. La Colline (hors contrat)</v>
      </c>
    </row>
    <row r="258" spans="1:40" ht="15" customHeight="1" x14ac:dyDescent="0.3">
      <c r="A258" s="48">
        <v>0</v>
      </c>
      <c r="B258" s="49" t="s">
        <v>415</v>
      </c>
      <c r="C258" s="50" t="s">
        <v>416</v>
      </c>
      <c r="D258" s="46" t="s">
        <v>1458</v>
      </c>
      <c r="E258" s="46" t="s">
        <v>412</v>
      </c>
      <c r="F258" s="46">
        <v>320</v>
      </c>
      <c r="G258" s="46" t="s">
        <v>48</v>
      </c>
      <c r="H258" s="46"/>
      <c r="I258" s="51">
        <v>20.7</v>
      </c>
      <c r="J258" s="51">
        <v>0</v>
      </c>
      <c r="K258" s="51">
        <f t="shared" si="57"/>
        <v>20.7</v>
      </c>
      <c r="L258" s="51">
        <v>0</v>
      </c>
      <c r="M258" s="51">
        <v>0</v>
      </c>
      <c r="N258" s="51">
        <f t="shared" si="55"/>
        <v>0</v>
      </c>
      <c r="O258" s="51">
        <v>20.7</v>
      </c>
      <c r="P258" s="179">
        <v>82000</v>
      </c>
      <c r="Q258" s="179" t="s">
        <v>1418</v>
      </c>
      <c r="R258" s="179" t="s">
        <v>2131</v>
      </c>
      <c r="S258" s="47" t="s">
        <v>2091</v>
      </c>
      <c r="T258" s="54">
        <f>+I258</f>
        <v>20.7</v>
      </c>
      <c r="U258" s="54"/>
      <c r="AA258">
        <f t="shared" si="46"/>
        <v>320</v>
      </c>
      <c r="AD258" t="str">
        <f t="shared" si="47"/>
        <v>318</v>
      </c>
      <c r="AE258">
        <f t="shared" si="48"/>
        <v>0</v>
      </c>
      <c r="AG258" s="50" t="str">
        <f t="shared" si="49"/>
        <v>FORETS  TAXES VHC COTISATIONS ASS. TEL</v>
      </c>
      <c r="AH258" s="244">
        <f t="shared" si="50"/>
        <v>82000</v>
      </c>
      <c r="AI258" s="219"/>
      <c r="AJ258" s="219"/>
      <c r="AK258" s="219" t="str">
        <f t="shared" si="51"/>
        <v>3134</v>
      </c>
      <c r="AL258" s="244" t="str">
        <f t="shared" si="52"/>
        <v>00</v>
      </c>
      <c r="AN258" s="219" t="str">
        <f t="shared" si="53"/>
        <v>Frais assurances</v>
      </c>
    </row>
    <row r="259" spans="1:40" ht="15" customHeight="1" x14ac:dyDescent="0.3">
      <c r="A259" s="48">
        <v>0</v>
      </c>
      <c r="B259" s="49" t="s">
        <v>417</v>
      </c>
      <c r="C259" s="50" t="s">
        <v>418</v>
      </c>
      <c r="D259" s="46" t="s">
        <v>1458</v>
      </c>
      <c r="E259" s="46" t="s">
        <v>412</v>
      </c>
      <c r="F259" s="46">
        <v>320</v>
      </c>
      <c r="G259" s="46" t="s">
        <v>93</v>
      </c>
      <c r="H259" s="46"/>
      <c r="I259" s="51">
        <v>0</v>
      </c>
      <c r="J259" s="51">
        <v>0</v>
      </c>
      <c r="K259" s="51">
        <f t="shared" si="57"/>
        <v>0</v>
      </c>
      <c r="L259" s="51">
        <v>0</v>
      </c>
      <c r="M259" s="51">
        <v>0</v>
      </c>
      <c r="N259" s="51">
        <f t="shared" si="55"/>
        <v>0</v>
      </c>
      <c r="O259" s="51">
        <v>0</v>
      </c>
      <c r="P259" s="179" t="s">
        <v>1489</v>
      </c>
      <c r="Q259" s="179" t="s">
        <v>1489</v>
      </c>
      <c r="R259" s="179" t="s">
        <v>1489</v>
      </c>
      <c r="S259" s="47"/>
      <c r="T259" s="54"/>
      <c r="U259" s="54"/>
      <c r="AA259">
        <f t="shared" si="46"/>
        <v>320</v>
      </c>
      <c r="AD259" t="str">
        <f t="shared" si="47"/>
        <v>319</v>
      </c>
      <c r="AE259">
        <f t="shared" si="48"/>
        <v>0</v>
      </c>
      <c r="AG259" s="50" t="str">
        <f t="shared" si="49"/>
        <v>FORÊTS  FRAIS DIVERS TAXES TVA</v>
      </c>
      <c r="AH259" s="244" t="str">
        <f t="shared" si="50"/>
        <v>-</v>
      </c>
      <c r="AI259" s="219"/>
      <c r="AJ259" s="219"/>
      <c r="AK259" s="219" t="str">
        <f t="shared" si="51"/>
        <v>-</v>
      </c>
      <c r="AL259" s="244" t="str">
        <f t="shared" si="52"/>
        <v>-</v>
      </c>
      <c r="AN259" s="219">
        <f t="shared" si="53"/>
        <v>0</v>
      </c>
    </row>
    <row r="260" spans="1:40" ht="15" customHeight="1" x14ac:dyDescent="0.3">
      <c r="A260" s="48">
        <v>0</v>
      </c>
      <c r="B260" s="49" t="s">
        <v>419</v>
      </c>
      <c r="C260" s="50" t="s">
        <v>420</v>
      </c>
      <c r="D260" s="46" t="s">
        <v>1458</v>
      </c>
      <c r="E260" s="46" t="s">
        <v>412</v>
      </c>
      <c r="F260" s="46">
        <v>320</v>
      </c>
      <c r="G260" s="46" t="s">
        <v>164</v>
      </c>
      <c r="H260" s="46"/>
      <c r="I260" s="51">
        <v>0</v>
      </c>
      <c r="J260" s="51">
        <v>0</v>
      </c>
      <c r="K260" s="51">
        <f t="shared" si="57"/>
        <v>0</v>
      </c>
      <c r="L260" s="51">
        <v>0</v>
      </c>
      <c r="M260" s="51">
        <v>0</v>
      </c>
      <c r="N260" s="51">
        <f t="shared" si="55"/>
        <v>0</v>
      </c>
      <c r="O260" s="51">
        <v>0</v>
      </c>
      <c r="P260" s="179" t="s">
        <v>1489</v>
      </c>
      <c r="Q260" s="179" t="s">
        <v>1489</v>
      </c>
      <c r="R260" s="179" t="s">
        <v>1489</v>
      </c>
      <c r="S260" s="47"/>
      <c r="T260" s="54"/>
      <c r="U260" s="54"/>
      <c r="AA260">
        <f t="shared" ref="AA260:AA323" si="58">+F260</f>
        <v>320</v>
      </c>
      <c r="AD260" t="str">
        <f t="shared" ref="AD260:AD323" si="59">+G260</f>
        <v>331</v>
      </c>
      <c r="AE260">
        <f t="shared" ref="AE260:AE323" si="60">+H260</f>
        <v>0</v>
      </c>
      <c r="AG260" s="50" t="str">
        <f t="shared" ref="AG260:AG323" si="61">+C260</f>
        <v>Amortissement desserte forestière</v>
      </c>
      <c r="AH260" s="244" t="str">
        <f t="shared" ref="AH260:AH323" si="62">+P260</f>
        <v>-</v>
      </c>
      <c r="AI260" s="219"/>
      <c r="AJ260" s="219"/>
      <c r="AK260" s="219" t="str">
        <f t="shared" ref="AK260:AK323" si="63">+Q260</f>
        <v>-</v>
      </c>
      <c r="AL260" s="244" t="str">
        <f t="shared" ref="AL260:AL323" si="64">+R260</f>
        <v>-</v>
      </c>
      <c r="AN260" s="219">
        <f t="shared" ref="AN260:AN323" si="65">+S260</f>
        <v>0</v>
      </c>
    </row>
    <row r="261" spans="1:40" ht="15" customHeight="1" x14ac:dyDescent="0.3">
      <c r="A261" s="48">
        <v>0</v>
      </c>
      <c r="B261" s="49" t="s">
        <v>421</v>
      </c>
      <c r="C261" s="50" t="s">
        <v>422</v>
      </c>
      <c r="D261" s="46" t="s">
        <v>1458</v>
      </c>
      <c r="E261" s="46" t="s">
        <v>412</v>
      </c>
      <c r="F261" s="46">
        <v>320</v>
      </c>
      <c r="G261" s="46" t="s">
        <v>96</v>
      </c>
      <c r="H261" s="46"/>
      <c r="I261" s="51">
        <v>1</v>
      </c>
      <c r="J261" s="51">
        <v>0</v>
      </c>
      <c r="K261" s="51">
        <f t="shared" si="57"/>
        <v>1</v>
      </c>
      <c r="L261" s="51">
        <v>0</v>
      </c>
      <c r="M261" s="51">
        <v>0</v>
      </c>
      <c r="N261" s="51">
        <f t="shared" si="55"/>
        <v>0</v>
      </c>
      <c r="O261" s="51">
        <v>0</v>
      </c>
      <c r="P261" s="179" t="s">
        <v>1598</v>
      </c>
      <c r="Q261" s="179" t="s">
        <v>1607</v>
      </c>
      <c r="R261" s="179" t="s">
        <v>2139</v>
      </c>
      <c r="S261" s="47" t="s">
        <v>2248</v>
      </c>
      <c r="T261" s="54">
        <f>+I261</f>
        <v>1</v>
      </c>
      <c r="U261" s="54"/>
      <c r="AA261">
        <f t="shared" si="58"/>
        <v>320</v>
      </c>
      <c r="AD261" t="str">
        <f t="shared" si="59"/>
        <v>332</v>
      </c>
      <c r="AE261">
        <f t="shared" si="60"/>
        <v>0</v>
      </c>
      <c r="AG261" s="50" t="str">
        <f t="shared" si="61"/>
        <v>Amortissement Forêts</v>
      </c>
      <c r="AH261" s="244" t="str">
        <f t="shared" si="62"/>
        <v>82000</v>
      </c>
      <c r="AI261" s="219"/>
      <c r="AJ261" s="219"/>
      <c r="AK261" s="219" t="str">
        <f t="shared" si="63"/>
        <v>3301</v>
      </c>
      <c r="AL261" s="244" t="str">
        <f t="shared" si="64"/>
        <v>09</v>
      </c>
      <c r="AN261" s="219" t="str">
        <f t="shared" si="65"/>
        <v>Amortissements non planifiés des immobilisations corporelles PF | Terrains |</v>
      </c>
    </row>
    <row r="262" spans="1:40" ht="15" customHeight="1" x14ac:dyDescent="0.3">
      <c r="A262" s="48">
        <v>0</v>
      </c>
      <c r="B262" s="49" t="s">
        <v>423</v>
      </c>
      <c r="C262" s="50" t="s">
        <v>424</v>
      </c>
      <c r="D262" s="46" t="s">
        <v>1458</v>
      </c>
      <c r="E262" s="46" t="s">
        <v>412</v>
      </c>
      <c r="F262" s="46">
        <v>320</v>
      </c>
      <c r="G262" s="46" t="s">
        <v>5</v>
      </c>
      <c r="H262" s="46"/>
      <c r="I262" s="51">
        <v>85286.85</v>
      </c>
      <c r="J262" s="51">
        <v>0</v>
      </c>
      <c r="K262" s="51">
        <f t="shared" si="57"/>
        <v>85286.85</v>
      </c>
      <c r="L262" s="51">
        <v>100000</v>
      </c>
      <c r="M262" s="51">
        <v>0</v>
      </c>
      <c r="N262" s="51">
        <f t="shared" si="55"/>
        <v>100000</v>
      </c>
      <c r="O262" s="51">
        <v>99087</v>
      </c>
      <c r="P262" s="179">
        <v>82000</v>
      </c>
      <c r="Q262" s="179" t="s">
        <v>1398</v>
      </c>
      <c r="R262" s="179" t="s">
        <v>2132</v>
      </c>
      <c r="S262" s="47" t="s">
        <v>2045</v>
      </c>
      <c r="T262" s="54">
        <f>+I262</f>
        <v>85286.85</v>
      </c>
      <c r="U262" s="54"/>
      <c r="W262" t="s">
        <v>1483</v>
      </c>
      <c r="AA262">
        <f t="shared" si="58"/>
        <v>320</v>
      </c>
      <c r="AD262" t="str">
        <f t="shared" si="59"/>
        <v>352</v>
      </c>
      <c r="AE262">
        <f t="shared" si="60"/>
        <v>0</v>
      </c>
      <c r="AG262" s="50" t="str">
        <f t="shared" si="61"/>
        <v>FORETS  FRAIS TRIAGE "LA COLLINE"</v>
      </c>
      <c r="AH262" s="244">
        <f t="shared" si="62"/>
        <v>82000</v>
      </c>
      <c r="AI262" s="219"/>
      <c r="AJ262" s="219"/>
      <c r="AK262" s="219" t="str">
        <f t="shared" si="63"/>
        <v>3612</v>
      </c>
      <c r="AL262" s="244" t="str">
        <f t="shared" si="64"/>
        <v>01</v>
      </c>
      <c r="AN262" s="219" t="str">
        <f t="shared" si="65"/>
        <v>Parts aux communes et assoc intercomm - Entretien des forêts - Frais de triage - Contrat Group. Forest. La Colline</v>
      </c>
    </row>
    <row r="263" spans="1:40" ht="15" customHeight="1" x14ac:dyDescent="0.3">
      <c r="A263" s="48">
        <v>0</v>
      </c>
      <c r="B263" s="49" t="s">
        <v>425</v>
      </c>
      <c r="C263" s="50" t="s">
        <v>426</v>
      </c>
      <c r="D263" s="46" t="s">
        <v>1458</v>
      </c>
      <c r="E263" s="46" t="s">
        <v>412</v>
      </c>
      <c r="F263" s="46">
        <v>320</v>
      </c>
      <c r="G263" s="46" t="s">
        <v>5</v>
      </c>
      <c r="H263" s="46">
        <v>1</v>
      </c>
      <c r="I263" s="51">
        <v>22217</v>
      </c>
      <c r="J263" s="51">
        <v>0</v>
      </c>
      <c r="K263" s="51">
        <f t="shared" si="57"/>
        <v>22217</v>
      </c>
      <c r="L263" s="51">
        <v>20000</v>
      </c>
      <c r="M263" s="51">
        <v>0</v>
      </c>
      <c r="N263" s="51">
        <f t="shared" si="55"/>
        <v>20000</v>
      </c>
      <c r="O263" s="51">
        <v>0</v>
      </c>
      <c r="P263" s="179">
        <v>82000</v>
      </c>
      <c r="Q263" s="179" t="s">
        <v>1552</v>
      </c>
      <c r="R263" s="179" t="s">
        <v>2131</v>
      </c>
      <c r="S263" s="47" t="s">
        <v>1816</v>
      </c>
      <c r="T263" s="54">
        <f>+I263</f>
        <v>22217</v>
      </c>
      <c r="U263" s="54"/>
      <c r="W263" t="s">
        <v>1484</v>
      </c>
      <c r="AA263">
        <f t="shared" si="58"/>
        <v>320</v>
      </c>
      <c r="AD263" t="str">
        <f t="shared" si="59"/>
        <v>352</v>
      </c>
      <c r="AE263">
        <f t="shared" si="60"/>
        <v>1</v>
      </c>
      <c r="AG263" s="50" t="str">
        <f t="shared" si="61"/>
        <v>FORETS  Participation exploitation Bois-de-Chênes</v>
      </c>
      <c r="AH263" s="244">
        <f t="shared" si="62"/>
        <v>82000</v>
      </c>
      <c r="AI263" s="219"/>
      <c r="AJ263" s="219"/>
      <c r="AK263" s="219" t="str">
        <f t="shared" si="63"/>
        <v>3632</v>
      </c>
      <c r="AL263" s="244" t="str">
        <f t="shared" si="64"/>
        <v>00</v>
      </c>
      <c r="AN263" s="219" t="str">
        <f t="shared" si="65"/>
        <v>Subventions accordées aux communes et associations  - Fondation du Bois de Chênes</v>
      </c>
    </row>
    <row r="264" spans="1:40" ht="15" customHeight="1" x14ac:dyDescent="0.3">
      <c r="A264" s="48">
        <v>0</v>
      </c>
      <c r="B264" s="49" t="s">
        <v>427</v>
      </c>
      <c r="C264" s="50" t="s">
        <v>428</v>
      </c>
      <c r="D264" s="46" t="s">
        <v>1458</v>
      </c>
      <c r="E264" s="46" t="s">
        <v>412</v>
      </c>
      <c r="F264" s="46">
        <v>320</v>
      </c>
      <c r="G264" s="46" t="s">
        <v>6</v>
      </c>
      <c r="H264" s="46"/>
      <c r="I264" s="51">
        <v>0</v>
      </c>
      <c r="J264" s="51">
        <v>0</v>
      </c>
      <c r="K264" s="51">
        <f t="shared" si="57"/>
        <v>0</v>
      </c>
      <c r="L264" s="51">
        <v>0</v>
      </c>
      <c r="M264" s="51">
        <v>0</v>
      </c>
      <c r="N264" s="51">
        <f t="shared" si="55"/>
        <v>0</v>
      </c>
      <c r="O264" s="51">
        <v>0</v>
      </c>
      <c r="P264" s="179" t="s">
        <v>1489</v>
      </c>
      <c r="Q264" s="179" t="s">
        <v>1489</v>
      </c>
      <c r="R264" s="179" t="s">
        <v>1489</v>
      </c>
      <c r="S264" s="47"/>
      <c r="T264" s="54"/>
      <c r="U264" s="54"/>
      <c r="AA264">
        <f t="shared" si="58"/>
        <v>320</v>
      </c>
      <c r="AD264" t="str">
        <f t="shared" si="59"/>
        <v>380</v>
      </c>
      <c r="AE264">
        <f t="shared" si="60"/>
        <v>0</v>
      </c>
      <c r="AG264" s="50" t="str">
        <f t="shared" si="61"/>
        <v>FORETS  ATTRIB FONDS RESERVE BOIS DE CHÊNES</v>
      </c>
      <c r="AH264" s="244" t="str">
        <f t="shared" si="62"/>
        <v>-</v>
      </c>
      <c r="AI264" s="219"/>
      <c r="AJ264" s="219"/>
      <c r="AK264" s="219" t="str">
        <f t="shared" si="63"/>
        <v>-</v>
      </c>
      <c r="AL264" s="244" t="str">
        <f t="shared" si="64"/>
        <v>-</v>
      </c>
      <c r="AN264" s="219">
        <f t="shared" si="65"/>
        <v>0</v>
      </c>
    </row>
    <row r="265" spans="1:40" ht="15" customHeight="1" x14ac:dyDescent="0.3">
      <c r="A265" s="48">
        <v>0</v>
      </c>
      <c r="B265" s="49" t="s">
        <v>429</v>
      </c>
      <c r="C265" s="50" t="s">
        <v>430</v>
      </c>
      <c r="D265" s="46" t="s">
        <v>1458</v>
      </c>
      <c r="E265" s="46" t="s">
        <v>412</v>
      </c>
      <c r="F265" s="46">
        <v>320</v>
      </c>
      <c r="G265" s="46" t="s">
        <v>58</v>
      </c>
      <c r="H265" s="46"/>
      <c r="I265" s="51">
        <v>0</v>
      </c>
      <c r="J265" s="51">
        <v>0</v>
      </c>
      <c r="K265" s="51">
        <f t="shared" si="57"/>
        <v>0</v>
      </c>
      <c r="L265" s="51">
        <v>0</v>
      </c>
      <c r="M265" s="51">
        <v>0</v>
      </c>
      <c r="N265" s="51">
        <f t="shared" si="55"/>
        <v>0</v>
      </c>
      <c r="O265" s="51">
        <v>0</v>
      </c>
      <c r="P265" s="179" t="s">
        <v>1489</v>
      </c>
      <c r="Q265" s="179" t="s">
        <v>1489</v>
      </c>
      <c r="R265" s="179" t="s">
        <v>1489</v>
      </c>
      <c r="S265" s="47"/>
      <c r="T265" s="54"/>
      <c r="U265" s="54"/>
      <c r="AA265">
        <f t="shared" si="58"/>
        <v>320</v>
      </c>
      <c r="AD265" t="str">
        <f t="shared" si="59"/>
        <v>435</v>
      </c>
      <c r="AE265">
        <f t="shared" si="60"/>
        <v>0</v>
      </c>
      <c r="AG265" s="50" t="str">
        <f t="shared" si="61"/>
        <v>FORETS  VENTE BOIS</v>
      </c>
      <c r="AH265" s="244" t="str">
        <f t="shared" si="62"/>
        <v>-</v>
      </c>
      <c r="AI265" s="219"/>
      <c r="AJ265" s="219"/>
      <c r="AK265" s="219" t="str">
        <f t="shared" si="63"/>
        <v>-</v>
      </c>
      <c r="AL265" s="244" t="str">
        <f t="shared" si="64"/>
        <v>-</v>
      </c>
      <c r="AN265" s="219">
        <f t="shared" si="65"/>
        <v>0</v>
      </c>
    </row>
    <row r="266" spans="1:40" ht="15" customHeight="1" x14ac:dyDescent="0.3">
      <c r="A266" s="48">
        <v>0</v>
      </c>
      <c r="B266" s="49" t="s">
        <v>431</v>
      </c>
      <c r="C266" s="50" t="s">
        <v>432</v>
      </c>
      <c r="D266" s="46" t="s">
        <v>1458</v>
      </c>
      <c r="E266" s="46" t="s">
        <v>412</v>
      </c>
      <c r="F266" s="46">
        <v>320</v>
      </c>
      <c r="G266" s="46" t="s">
        <v>351</v>
      </c>
      <c r="H266" s="46"/>
      <c r="I266" s="51">
        <v>0</v>
      </c>
      <c r="J266" s="51">
        <v>-37554.050000000003</v>
      </c>
      <c r="K266" s="51">
        <f t="shared" si="57"/>
        <v>-37554.050000000003</v>
      </c>
      <c r="L266" s="51">
        <v>0</v>
      </c>
      <c r="M266" s="51">
        <v>0</v>
      </c>
      <c r="N266" s="51">
        <f t="shared" si="55"/>
        <v>0</v>
      </c>
      <c r="O266" s="51">
        <v>0</v>
      </c>
      <c r="P266" s="179">
        <v>82000</v>
      </c>
      <c r="Q266" s="179" t="s">
        <v>1817</v>
      </c>
      <c r="R266" s="179" t="s">
        <v>2131</v>
      </c>
      <c r="S266" s="47" t="s">
        <v>1818</v>
      </c>
      <c r="T266" s="54">
        <f>+J266</f>
        <v>-37554.050000000003</v>
      </c>
      <c r="U266" s="54"/>
      <c r="W266" t="s">
        <v>1485</v>
      </c>
      <c r="AA266">
        <f t="shared" si="58"/>
        <v>320</v>
      </c>
      <c r="AD266" t="str">
        <f t="shared" si="59"/>
        <v>465</v>
      </c>
      <c r="AE266">
        <f t="shared" si="60"/>
        <v>0</v>
      </c>
      <c r="AG266" s="50" t="str">
        <f t="shared" si="61"/>
        <v>FORETS  PARTICIPATIONS et SUBVENTIONS DE TIERS</v>
      </c>
      <c r="AH266" s="244">
        <f t="shared" si="62"/>
        <v>82000</v>
      </c>
      <c r="AI266" s="219"/>
      <c r="AJ266" s="219"/>
      <c r="AK266" s="219" t="str">
        <f t="shared" si="63"/>
        <v>4631</v>
      </c>
      <c r="AL266" s="244" t="str">
        <f t="shared" si="64"/>
        <v>00</v>
      </c>
      <c r="AN266" s="219" t="str">
        <f t="shared" si="65"/>
        <v>Subvention des cantons et concordats</v>
      </c>
    </row>
    <row r="267" spans="1:40" ht="15" customHeight="1" x14ac:dyDescent="0.3">
      <c r="A267" s="48"/>
      <c r="B267" s="49" t="s">
        <v>431</v>
      </c>
      <c r="C267" s="50" t="s">
        <v>432</v>
      </c>
      <c r="D267" s="46" t="s">
        <v>1458</v>
      </c>
      <c r="E267" s="46" t="s">
        <v>412</v>
      </c>
      <c r="F267" s="46">
        <v>320</v>
      </c>
      <c r="G267" s="46" t="s">
        <v>351</v>
      </c>
      <c r="H267" s="46"/>
      <c r="I267" s="51"/>
      <c r="J267" s="51"/>
      <c r="K267" s="51">
        <f t="shared" si="57"/>
        <v>0</v>
      </c>
      <c r="L267" s="51"/>
      <c r="M267" s="51"/>
      <c r="N267" s="51">
        <f t="shared" si="55"/>
        <v>0</v>
      </c>
      <c r="O267" s="51">
        <v>0</v>
      </c>
      <c r="P267" s="179">
        <v>82000</v>
      </c>
      <c r="Q267" s="179" t="s">
        <v>1819</v>
      </c>
      <c r="R267" s="179" t="s">
        <v>2131</v>
      </c>
      <c r="S267" s="47" t="s">
        <v>1820</v>
      </c>
      <c r="T267" s="54"/>
      <c r="U267" s="54"/>
      <c r="W267" t="s">
        <v>1821</v>
      </c>
      <c r="AA267">
        <f t="shared" si="58"/>
        <v>320</v>
      </c>
      <c r="AD267" t="str">
        <f t="shared" si="59"/>
        <v>465</v>
      </c>
      <c r="AE267">
        <f t="shared" si="60"/>
        <v>0</v>
      </c>
      <c r="AG267" s="50" t="str">
        <f t="shared" si="61"/>
        <v>FORETS  PARTICIPATIONS et SUBVENTIONS DE TIERS</v>
      </c>
      <c r="AH267" s="244">
        <f t="shared" si="62"/>
        <v>82000</v>
      </c>
      <c r="AI267" s="219"/>
      <c r="AJ267" s="219"/>
      <c r="AK267" s="219" t="str">
        <f t="shared" si="63"/>
        <v>4632</v>
      </c>
      <c r="AL267" s="244" t="str">
        <f t="shared" si="64"/>
        <v>00</v>
      </c>
      <c r="AN267" s="219" t="str">
        <f t="shared" si="65"/>
        <v>Subvention des communes et associations intercommunales</v>
      </c>
    </row>
    <row r="268" spans="1:40" ht="15" customHeight="1" x14ac:dyDescent="0.3">
      <c r="A268" s="48">
        <v>0</v>
      </c>
      <c r="B268" s="49" t="s">
        <v>433</v>
      </c>
      <c r="C268" s="50" t="s">
        <v>434</v>
      </c>
      <c r="D268" s="46" t="s">
        <v>1458</v>
      </c>
      <c r="E268" s="46" t="s">
        <v>412</v>
      </c>
      <c r="F268" s="46">
        <v>320</v>
      </c>
      <c r="G268" s="46" t="s">
        <v>64</v>
      </c>
      <c r="H268" s="46"/>
      <c r="I268" s="51">
        <v>0</v>
      </c>
      <c r="J268" s="51">
        <v>-1</v>
      </c>
      <c r="K268" s="51">
        <f t="shared" si="57"/>
        <v>-1</v>
      </c>
      <c r="L268" s="51">
        <v>0</v>
      </c>
      <c r="M268" s="51">
        <v>0</v>
      </c>
      <c r="N268" s="51">
        <f t="shared" ref="N268:N331" si="66">+L268+M268</f>
        <v>0</v>
      </c>
      <c r="O268" s="51">
        <v>0</v>
      </c>
      <c r="P268" s="179" t="s">
        <v>1710</v>
      </c>
      <c r="Q268" s="179" t="s">
        <v>1711</v>
      </c>
      <c r="R268" s="179" t="s">
        <v>2131</v>
      </c>
      <c r="S268" s="47" t="s">
        <v>1712</v>
      </c>
      <c r="T268" s="54">
        <f>+J268</f>
        <v>-1</v>
      </c>
      <c r="U268" s="54"/>
      <c r="AA268">
        <f t="shared" si="58"/>
        <v>320</v>
      </c>
      <c r="AD268" t="str">
        <f t="shared" si="59"/>
        <v>480</v>
      </c>
      <c r="AE268">
        <f t="shared" si="60"/>
        <v>0</v>
      </c>
      <c r="AG268" s="50" t="str">
        <f t="shared" si="61"/>
        <v>FORETS Prélèvement fonds de reserve BDC (9282.6)</v>
      </c>
      <c r="AH268" s="244" t="str">
        <f t="shared" si="62"/>
        <v>99000</v>
      </c>
      <c r="AI268" s="219"/>
      <c r="AJ268" s="219"/>
      <c r="AK268" s="219" t="str">
        <f t="shared" si="63"/>
        <v>4894</v>
      </c>
      <c r="AL268" s="244" t="str">
        <f t="shared" si="64"/>
        <v>00</v>
      </c>
      <c r="AN268" s="219" t="str">
        <f t="shared" si="65"/>
        <v>Prélèvement sur la réserve de politique budgétaire</v>
      </c>
    </row>
    <row r="269" spans="1:40" ht="15" customHeight="1" x14ac:dyDescent="0.3">
      <c r="A269" s="48">
        <v>0</v>
      </c>
      <c r="B269" s="49" t="s">
        <v>435</v>
      </c>
      <c r="C269" s="50" t="s">
        <v>436</v>
      </c>
      <c r="D269" s="46" t="s">
        <v>1458</v>
      </c>
      <c r="E269" s="46" t="s">
        <v>282</v>
      </c>
      <c r="F269" s="46">
        <v>321</v>
      </c>
      <c r="G269" s="46" t="s">
        <v>25</v>
      </c>
      <c r="H269" s="46"/>
      <c r="I269" s="51">
        <v>0</v>
      </c>
      <c r="J269" s="51">
        <v>0</v>
      </c>
      <c r="K269" s="51">
        <f t="shared" si="57"/>
        <v>0</v>
      </c>
      <c r="L269" s="51">
        <v>0</v>
      </c>
      <c r="M269" s="51">
        <v>0</v>
      </c>
      <c r="N269" s="51">
        <f t="shared" si="66"/>
        <v>0</v>
      </c>
      <c r="O269" s="51">
        <v>0</v>
      </c>
      <c r="P269" s="179" t="s">
        <v>1489</v>
      </c>
      <c r="Q269" s="179" t="s">
        <v>1489</v>
      </c>
      <c r="R269" s="179" t="s">
        <v>1489</v>
      </c>
      <c r="S269" s="47"/>
      <c r="T269" s="54"/>
      <c r="U269" s="54"/>
      <c r="AA269">
        <f t="shared" si="58"/>
        <v>321</v>
      </c>
      <c r="AD269" t="str">
        <f t="shared" si="59"/>
        <v>311</v>
      </c>
      <c r="AE269">
        <f t="shared" si="60"/>
        <v>0</v>
      </c>
      <c r="AG269" s="50" t="str">
        <f t="shared" si="61"/>
        <v>PATURAGES  ACHATS MACHINE MATERIEL</v>
      </c>
      <c r="AH269" s="244" t="str">
        <f t="shared" si="62"/>
        <v>-</v>
      </c>
      <c r="AI269" s="219"/>
      <c r="AJ269" s="219"/>
      <c r="AK269" s="219" t="str">
        <f t="shared" si="63"/>
        <v>-</v>
      </c>
      <c r="AL269" s="244" t="str">
        <f t="shared" si="64"/>
        <v>-</v>
      </c>
      <c r="AN269" s="219">
        <f t="shared" si="65"/>
        <v>0</v>
      </c>
    </row>
    <row r="270" spans="1:40" ht="15" customHeight="1" x14ac:dyDescent="0.3">
      <c r="A270" s="48">
        <v>0</v>
      </c>
      <c r="B270" s="49" t="s">
        <v>437</v>
      </c>
      <c r="C270" s="50" t="s">
        <v>438</v>
      </c>
      <c r="D270" s="46" t="s">
        <v>1458</v>
      </c>
      <c r="E270" s="46" t="s">
        <v>282</v>
      </c>
      <c r="F270" s="46">
        <v>321</v>
      </c>
      <c r="G270" s="46" t="s">
        <v>439</v>
      </c>
      <c r="H270" s="46"/>
      <c r="I270" s="51">
        <v>0</v>
      </c>
      <c r="J270" s="51">
        <v>0</v>
      </c>
      <c r="K270" s="51">
        <f t="shared" si="57"/>
        <v>0</v>
      </c>
      <c r="L270" s="51">
        <v>0</v>
      </c>
      <c r="M270" s="51">
        <v>0</v>
      </c>
      <c r="N270" s="51">
        <f t="shared" si="66"/>
        <v>0</v>
      </c>
      <c r="O270" s="51">
        <v>0</v>
      </c>
      <c r="P270" s="179" t="s">
        <v>1489</v>
      </c>
      <c r="Q270" s="179" t="s">
        <v>1489</v>
      </c>
      <c r="R270" s="179" t="s">
        <v>1489</v>
      </c>
      <c r="S270" s="47"/>
      <c r="T270" s="54"/>
      <c r="U270" s="54"/>
      <c r="AA270">
        <f t="shared" si="58"/>
        <v>321</v>
      </c>
      <c r="AD270" t="str">
        <f t="shared" si="59"/>
        <v>313</v>
      </c>
      <c r="AE270">
        <f t="shared" si="60"/>
        <v>0</v>
      </c>
      <c r="AG270" s="50" t="str">
        <f t="shared" si="61"/>
        <v>PATURAGES  ACHATS MARCHANDISES</v>
      </c>
      <c r="AH270" s="244" t="str">
        <f t="shared" si="62"/>
        <v>-</v>
      </c>
      <c r="AI270" s="219"/>
      <c r="AJ270" s="219"/>
      <c r="AK270" s="219" t="str">
        <f t="shared" si="63"/>
        <v>-</v>
      </c>
      <c r="AL270" s="244" t="str">
        <f t="shared" si="64"/>
        <v>-</v>
      </c>
      <c r="AN270" s="219">
        <f t="shared" si="65"/>
        <v>0</v>
      </c>
    </row>
    <row r="271" spans="1:40" ht="15" customHeight="1" x14ac:dyDescent="0.3">
      <c r="A271" s="48">
        <v>0</v>
      </c>
      <c r="B271" s="74" t="s">
        <v>440</v>
      </c>
      <c r="C271" s="67" t="s">
        <v>441</v>
      </c>
      <c r="D271" s="188" t="s">
        <v>1458</v>
      </c>
      <c r="E271" s="188" t="s">
        <v>282</v>
      </c>
      <c r="F271" s="46">
        <v>321</v>
      </c>
      <c r="G271" s="188" t="s">
        <v>131</v>
      </c>
      <c r="H271" s="188"/>
      <c r="I271" s="56">
        <v>26616.87</v>
      </c>
      <c r="J271" s="51">
        <v>0</v>
      </c>
      <c r="K271" s="51">
        <f t="shared" si="57"/>
        <v>26616.87</v>
      </c>
      <c r="L271" s="51">
        <v>15000</v>
      </c>
      <c r="M271" s="51">
        <v>0</v>
      </c>
      <c r="N271" s="51">
        <f t="shared" si="66"/>
        <v>15000</v>
      </c>
      <c r="O271" s="51">
        <v>575.75</v>
      </c>
      <c r="P271" s="179">
        <v>96902</v>
      </c>
      <c r="Q271" s="179" t="s">
        <v>1812</v>
      </c>
      <c r="R271" s="179" t="s">
        <v>2131</v>
      </c>
      <c r="S271" s="47" t="s">
        <v>2174</v>
      </c>
      <c r="T271" s="62">
        <f>+I271</f>
        <v>26616.87</v>
      </c>
      <c r="U271" s="54"/>
      <c r="W271" t="s">
        <v>1823</v>
      </c>
      <c r="AA271">
        <f t="shared" si="58"/>
        <v>321</v>
      </c>
      <c r="AD271" t="str">
        <f t="shared" si="59"/>
        <v>314</v>
      </c>
      <c r="AE271">
        <f t="shared" si="60"/>
        <v>0</v>
      </c>
      <c r="AG271" s="50" t="str">
        <f t="shared" si="61"/>
        <v>PATURAGES  ENT CHALETS CLÔTURES ROUTES ALPAGES MURETS</v>
      </c>
      <c r="AH271" s="244">
        <f t="shared" si="62"/>
        <v>96902</v>
      </c>
      <c r="AI271" s="219"/>
      <c r="AJ271" s="219"/>
      <c r="AK271" s="219" t="str">
        <f t="shared" si="63"/>
        <v>3431</v>
      </c>
      <c r="AL271" s="244" t="str">
        <f t="shared" si="64"/>
        <v>00</v>
      </c>
      <c r="AN271" s="219" t="str">
        <f t="shared" si="65"/>
        <v>Entretien courant | Terrains et Pâturages |</v>
      </c>
    </row>
    <row r="272" spans="1:40" ht="15" customHeight="1" x14ac:dyDescent="0.3">
      <c r="A272" s="48"/>
      <c r="B272" s="74" t="s">
        <v>440</v>
      </c>
      <c r="C272" s="67" t="s">
        <v>441</v>
      </c>
      <c r="D272" s="188" t="s">
        <v>1458</v>
      </c>
      <c r="E272" s="188" t="s">
        <v>282</v>
      </c>
      <c r="F272" s="46">
        <v>321</v>
      </c>
      <c r="G272" s="188" t="s">
        <v>131</v>
      </c>
      <c r="H272" s="188"/>
      <c r="I272" s="51"/>
      <c r="J272" s="51"/>
      <c r="K272" s="51">
        <f t="shared" si="57"/>
        <v>0</v>
      </c>
      <c r="L272" s="51"/>
      <c r="M272" s="51"/>
      <c r="N272" s="51">
        <f t="shared" si="66"/>
        <v>0</v>
      </c>
      <c r="O272" s="51"/>
      <c r="P272" s="179">
        <v>96902</v>
      </c>
      <c r="Q272" s="179" t="s">
        <v>1822</v>
      </c>
      <c r="R272" s="179" t="s">
        <v>2131</v>
      </c>
      <c r="S272" s="47" t="s">
        <v>2175</v>
      </c>
      <c r="T272" s="54"/>
      <c r="U272" s="54"/>
      <c r="AA272">
        <f t="shared" si="58"/>
        <v>321</v>
      </c>
      <c r="AD272" t="str">
        <f t="shared" si="59"/>
        <v>314</v>
      </c>
      <c r="AE272">
        <f t="shared" si="60"/>
        <v>0</v>
      </c>
      <c r="AG272" s="50" t="str">
        <f t="shared" si="61"/>
        <v>PATURAGES  ENT CHALETS CLÔTURES ROUTES ALPAGES MURETS</v>
      </c>
      <c r="AH272" s="244">
        <f t="shared" si="62"/>
        <v>96902</v>
      </c>
      <c r="AI272" s="219"/>
      <c r="AJ272" s="219"/>
      <c r="AK272" s="219" t="str">
        <f t="shared" si="63"/>
        <v>3430</v>
      </c>
      <c r="AL272" s="244" t="str">
        <f t="shared" si="64"/>
        <v>00</v>
      </c>
      <c r="AN272" s="219" t="str">
        <f t="shared" si="65"/>
        <v>Entretien ponctuel | Terrains et Pâturages |</v>
      </c>
    </row>
    <row r="273" spans="1:40" ht="15" customHeight="1" x14ac:dyDescent="0.3">
      <c r="A273" s="48">
        <v>0</v>
      </c>
      <c r="B273" s="49" t="s">
        <v>442</v>
      </c>
      <c r="C273" s="50" t="s">
        <v>443</v>
      </c>
      <c r="D273" s="46" t="s">
        <v>1458</v>
      </c>
      <c r="E273" s="46" t="s">
        <v>282</v>
      </c>
      <c r="F273" s="46">
        <v>321</v>
      </c>
      <c r="G273" s="46" t="s">
        <v>131</v>
      </c>
      <c r="H273" s="46">
        <v>1</v>
      </c>
      <c r="I273" s="56">
        <v>10524</v>
      </c>
      <c r="J273" s="51">
        <v>0</v>
      </c>
      <c r="K273" s="51">
        <f t="shared" si="57"/>
        <v>10524</v>
      </c>
      <c r="L273" s="51">
        <v>10500</v>
      </c>
      <c r="M273" s="51">
        <v>0</v>
      </c>
      <c r="N273" s="51">
        <f t="shared" si="66"/>
        <v>10500</v>
      </c>
      <c r="O273" s="51">
        <v>0</v>
      </c>
      <c r="P273" s="179">
        <v>96902</v>
      </c>
      <c r="Q273" s="179" t="s">
        <v>1812</v>
      </c>
      <c r="R273" s="179" t="s">
        <v>2131</v>
      </c>
      <c r="S273" s="47" t="s">
        <v>2174</v>
      </c>
      <c r="T273" s="62">
        <f>+I273</f>
        <v>10524</v>
      </c>
      <c r="U273" s="54"/>
      <c r="AA273">
        <f t="shared" si="58"/>
        <v>321</v>
      </c>
      <c r="AD273" t="str">
        <f t="shared" si="59"/>
        <v>314</v>
      </c>
      <c r="AE273">
        <f t="shared" si="60"/>
        <v>1</v>
      </c>
      <c r="AG273" s="50" t="str">
        <f t="shared" si="61"/>
        <v>PATURAGES  PART AUX AMODIATAIRES P/ENTRETIEN</v>
      </c>
      <c r="AH273" s="244">
        <f t="shared" si="62"/>
        <v>96902</v>
      </c>
      <c r="AI273" s="219"/>
      <c r="AJ273" s="219"/>
      <c r="AK273" s="219" t="str">
        <f t="shared" si="63"/>
        <v>3431</v>
      </c>
      <c r="AL273" s="244" t="str">
        <f t="shared" si="64"/>
        <v>00</v>
      </c>
      <c r="AN273" s="219" t="str">
        <f t="shared" si="65"/>
        <v>Entretien courant | Terrains et Pâturages |</v>
      </c>
    </row>
    <row r="274" spans="1:40" ht="15" customHeight="1" x14ac:dyDescent="0.3">
      <c r="A274" s="48">
        <v>0</v>
      </c>
      <c r="B274" s="49" t="s">
        <v>444</v>
      </c>
      <c r="C274" s="50" t="s">
        <v>445</v>
      </c>
      <c r="D274" s="46" t="s">
        <v>1458</v>
      </c>
      <c r="E274" s="46" t="s">
        <v>282</v>
      </c>
      <c r="F274" s="46">
        <v>321</v>
      </c>
      <c r="G274" s="46" t="s">
        <v>48</v>
      </c>
      <c r="H274" s="46"/>
      <c r="I274" s="51">
        <v>3771.1</v>
      </c>
      <c r="J274" s="51">
        <v>0</v>
      </c>
      <c r="K274" s="51">
        <f t="shared" si="57"/>
        <v>3771.1</v>
      </c>
      <c r="L274" s="51">
        <v>3900</v>
      </c>
      <c r="M274" s="51">
        <v>0</v>
      </c>
      <c r="N274" s="51">
        <f t="shared" si="66"/>
        <v>3900</v>
      </c>
      <c r="O274" s="51">
        <v>3823.1</v>
      </c>
      <c r="P274" s="179">
        <v>96902</v>
      </c>
      <c r="Q274" s="179" t="s">
        <v>1504</v>
      </c>
      <c r="R274" s="179" t="s">
        <v>2131</v>
      </c>
      <c r="S274" s="57" t="s">
        <v>2173</v>
      </c>
      <c r="T274" s="54">
        <f>+I274</f>
        <v>3771.1</v>
      </c>
      <c r="U274" s="54"/>
      <c r="AA274">
        <f t="shared" si="58"/>
        <v>321</v>
      </c>
      <c r="AD274" t="str">
        <f t="shared" si="59"/>
        <v>318</v>
      </c>
      <c r="AE274">
        <f t="shared" si="60"/>
        <v>0</v>
      </c>
      <c r="AG274" s="50" t="str">
        <f t="shared" si="61"/>
        <v>PATURAGES  ASSURANCES RC ECA</v>
      </c>
      <c r="AH274" s="244">
        <f t="shared" si="62"/>
        <v>96902</v>
      </c>
      <c r="AI274" s="219"/>
      <c r="AJ274" s="219"/>
      <c r="AK274" s="219" t="str">
        <f t="shared" si="63"/>
        <v>3439</v>
      </c>
      <c r="AL274" s="244" t="str">
        <f t="shared" si="64"/>
        <v>00</v>
      </c>
      <c r="AN274" s="219" t="str">
        <f t="shared" si="65"/>
        <v>Autres charges de biens-fonds PF | Terrains et Pâturages | Assurances</v>
      </c>
    </row>
    <row r="275" spans="1:40" ht="15" customHeight="1" x14ac:dyDescent="0.3">
      <c r="A275" s="48">
        <v>0</v>
      </c>
      <c r="B275" s="49" t="s">
        <v>446</v>
      </c>
      <c r="C275" s="50" t="s">
        <v>447</v>
      </c>
      <c r="D275" s="46" t="s">
        <v>1458</v>
      </c>
      <c r="E275" s="46" t="s">
        <v>282</v>
      </c>
      <c r="F275" s="46">
        <v>321</v>
      </c>
      <c r="G275" s="46" t="s">
        <v>164</v>
      </c>
      <c r="H275" s="46"/>
      <c r="I275" s="51">
        <v>0</v>
      </c>
      <c r="J275" s="51">
        <v>0</v>
      </c>
      <c r="K275" s="51">
        <f t="shared" si="57"/>
        <v>0</v>
      </c>
      <c r="L275" s="51">
        <v>0</v>
      </c>
      <c r="M275" s="51">
        <v>0</v>
      </c>
      <c r="N275" s="51">
        <f t="shared" si="66"/>
        <v>0</v>
      </c>
      <c r="O275" s="51">
        <v>0</v>
      </c>
      <c r="P275" s="179" t="s">
        <v>1489</v>
      </c>
      <c r="Q275" s="179" t="s">
        <v>1489</v>
      </c>
      <c r="R275" s="179" t="s">
        <v>1489</v>
      </c>
      <c r="S275" s="47"/>
      <c r="T275" s="54"/>
      <c r="U275" s="54"/>
      <c r="AA275">
        <f t="shared" si="58"/>
        <v>321</v>
      </c>
      <c r="AD275" t="str">
        <f t="shared" si="59"/>
        <v>331</v>
      </c>
      <c r="AE275">
        <f t="shared" si="60"/>
        <v>0</v>
      </c>
      <c r="AG275" s="50" t="str">
        <f t="shared" si="61"/>
        <v>PATURAGES  AMORTISSEMENT P ADM</v>
      </c>
      <c r="AH275" s="244" t="str">
        <f t="shared" si="62"/>
        <v>-</v>
      </c>
      <c r="AI275" s="219"/>
      <c r="AJ275" s="219"/>
      <c r="AK275" s="219" t="str">
        <f t="shared" si="63"/>
        <v>-</v>
      </c>
      <c r="AL275" s="244" t="str">
        <f t="shared" si="64"/>
        <v>-</v>
      </c>
      <c r="AN275" s="219">
        <f t="shared" si="65"/>
        <v>0</v>
      </c>
    </row>
    <row r="276" spans="1:40" ht="15" customHeight="1" x14ac:dyDescent="0.3">
      <c r="A276" s="48">
        <v>0</v>
      </c>
      <c r="B276" s="49" t="s">
        <v>448</v>
      </c>
      <c r="C276" s="50" t="s">
        <v>449</v>
      </c>
      <c r="D276" s="46" t="s">
        <v>1458</v>
      </c>
      <c r="E276" s="46" t="s">
        <v>282</v>
      </c>
      <c r="F276" s="46">
        <v>321</v>
      </c>
      <c r="G276" s="46" t="s">
        <v>96</v>
      </c>
      <c r="H276" s="46"/>
      <c r="I276" s="51">
        <v>0</v>
      </c>
      <c r="J276" s="51">
        <v>0</v>
      </c>
      <c r="K276" s="51">
        <f t="shared" si="57"/>
        <v>0</v>
      </c>
      <c r="L276" s="51">
        <v>0</v>
      </c>
      <c r="M276" s="51">
        <v>0</v>
      </c>
      <c r="N276" s="51">
        <f t="shared" si="66"/>
        <v>0</v>
      </c>
      <c r="O276" s="51">
        <v>0</v>
      </c>
      <c r="P276" s="179" t="s">
        <v>1489</v>
      </c>
      <c r="Q276" s="179" t="s">
        <v>1489</v>
      </c>
      <c r="R276" s="179" t="s">
        <v>1489</v>
      </c>
      <c r="S276" s="47"/>
      <c r="T276" s="54"/>
      <c r="U276" s="54"/>
      <c r="AA276">
        <f t="shared" si="58"/>
        <v>321</v>
      </c>
      <c r="AD276" t="str">
        <f t="shared" si="59"/>
        <v>332</v>
      </c>
      <c r="AE276">
        <f t="shared" si="60"/>
        <v>0</v>
      </c>
      <c r="AG276" s="50" t="str">
        <f t="shared" si="61"/>
        <v>PATURAGES  AMORTISSEMENT SUPPL P ADM</v>
      </c>
      <c r="AH276" s="244" t="str">
        <f t="shared" si="62"/>
        <v>-</v>
      </c>
      <c r="AI276" s="219"/>
      <c r="AJ276" s="219"/>
      <c r="AK276" s="219" t="str">
        <f t="shared" si="63"/>
        <v>-</v>
      </c>
      <c r="AL276" s="244" t="str">
        <f t="shared" si="64"/>
        <v>-</v>
      </c>
      <c r="AN276" s="219">
        <f t="shared" si="65"/>
        <v>0</v>
      </c>
    </row>
    <row r="277" spans="1:40" ht="15" customHeight="1" x14ac:dyDescent="0.3">
      <c r="A277" s="48">
        <v>0</v>
      </c>
      <c r="B277" s="49" t="s">
        <v>450</v>
      </c>
      <c r="C277" s="50" t="s">
        <v>451</v>
      </c>
      <c r="D277" s="46" t="s">
        <v>1458</v>
      </c>
      <c r="E277" s="46" t="s">
        <v>282</v>
      </c>
      <c r="F277" s="46">
        <v>321</v>
      </c>
      <c r="G277" s="46" t="s">
        <v>6</v>
      </c>
      <c r="H277" s="46">
        <v>1</v>
      </c>
      <c r="I277" s="51">
        <v>0</v>
      </c>
      <c r="J277" s="51">
        <v>0</v>
      </c>
      <c r="K277" s="51">
        <f t="shared" si="57"/>
        <v>0</v>
      </c>
      <c r="L277" s="51">
        <v>0</v>
      </c>
      <c r="M277" s="51">
        <v>0</v>
      </c>
      <c r="N277" s="51">
        <f t="shared" si="66"/>
        <v>0</v>
      </c>
      <c r="O277" s="51">
        <v>0</v>
      </c>
      <c r="P277" s="179" t="s">
        <v>1489</v>
      </c>
      <c r="Q277" s="179" t="s">
        <v>1489</v>
      </c>
      <c r="R277" s="179" t="s">
        <v>1489</v>
      </c>
      <c r="S277" s="47"/>
      <c r="T277" s="54"/>
      <c r="U277" s="54"/>
      <c r="AA277">
        <f t="shared" si="58"/>
        <v>321</v>
      </c>
      <c r="AD277" t="str">
        <f t="shared" si="59"/>
        <v>380</v>
      </c>
      <c r="AE277">
        <f t="shared" si="60"/>
        <v>1</v>
      </c>
      <c r="AG277" s="50" t="str">
        <f t="shared" si="61"/>
        <v>PATURAGES  ATTRB. FONDS DE RESERVE CHALETS, PATURAGES</v>
      </c>
      <c r="AH277" s="244" t="str">
        <f t="shared" si="62"/>
        <v>-</v>
      </c>
      <c r="AI277" s="219"/>
      <c r="AJ277" s="219"/>
      <c r="AK277" s="219" t="str">
        <f t="shared" si="63"/>
        <v>-</v>
      </c>
      <c r="AL277" s="244" t="str">
        <f t="shared" si="64"/>
        <v>-</v>
      </c>
      <c r="AN277" s="219">
        <f t="shared" si="65"/>
        <v>0</v>
      </c>
    </row>
    <row r="278" spans="1:40" ht="15" customHeight="1" x14ac:dyDescent="0.3">
      <c r="A278" s="48">
        <v>0</v>
      </c>
      <c r="B278" s="49" t="s">
        <v>452</v>
      </c>
      <c r="C278" s="50" t="s">
        <v>453</v>
      </c>
      <c r="D278" s="46" t="s">
        <v>1458</v>
      </c>
      <c r="E278" s="46" t="s">
        <v>282</v>
      </c>
      <c r="F278" s="46">
        <v>321</v>
      </c>
      <c r="G278" s="46" t="s">
        <v>326</v>
      </c>
      <c r="H278" s="46"/>
      <c r="I278" s="51">
        <v>0</v>
      </c>
      <c r="J278" s="63">
        <v>-40035</v>
      </c>
      <c r="K278" s="51">
        <f t="shared" si="57"/>
        <v>-40035</v>
      </c>
      <c r="L278" s="51">
        <v>0</v>
      </c>
      <c r="M278" s="51">
        <v>-41500</v>
      </c>
      <c r="N278" s="51">
        <f t="shared" si="66"/>
        <v>-41500</v>
      </c>
      <c r="O278" s="51">
        <v>0</v>
      </c>
      <c r="P278" s="179">
        <v>96902</v>
      </c>
      <c r="Q278" s="179" t="s">
        <v>1813</v>
      </c>
      <c r="R278" s="179" t="s">
        <v>2131</v>
      </c>
      <c r="S278" s="57" t="s">
        <v>2169</v>
      </c>
      <c r="T278" s="64">
        <f>+J278</f>
        <v>-40035</v>
      </c>
      <c r="U278" s="54"/>
      <c r="AA278">
        <f t="shared" si="58"/>
        <v>321</v>
      </c>
      <c r="AD278" t="str">
        <f t="shared" si="59"/>
        <v>423</v>
      </c>
      <c r="AE278">
        <f t="shared" si="60"/>
        <v>0</v>
      </c>
      <c r="AG278" s="50" t="str">
        <f t="shared" si="61"/>
        <v>PATURAGES  LOCATIONS PATURAGES</v>
      </c>
      <c r="AH278" s="244">
        <f t="shared" si="62"/>
        <v>96902</v>
      </c>
      <c r="AI278" s="219"/>
      <c r="AJ278" s="219"/>
      <c r="AK278" s="219" t="str">
        <f t="shared" si="63"/>
        <v>4430</v>
      </c>
      <c r="AL278" s="244" t="str">
        <f t="shared" si="64"/>
        <v>00</v>
      </c>
      <c r="AN278" s="219" t="str">
        <f t="shared" si="65"/>
        <v>Loyers et fermages, immeubles du PF | Terrains et Pâturages |</v>
      </c>
    </row>
    <row r="279" spans="1:40" ht="15" customHeight="1" x14ac:dyDescent="0.3">
      <c r="A279" s="48">
        <v>0</v>
      </c>
      <c r="B279" s="49" t="s">
        <v>454</v>
      </c>
      <c r="C279" s="50" t="s">
        <v>455</v>
      </c>
      <c r="D279" s="46" t="s">
        <v>1458</v>
      </c>
      <c r="E279" s="46" t="s">
        <v>282</v>
      </c>
      <c r="F279" s="46">
        <v>321</v>
      </c>
      <c r="G279" s="46" t="s">
        <v>58</v>
      </c>
      <c r="H279" s="46"/>
      <c r="I279" s="51">
        <v>0</v>
      </c>
      <c r="J279" s="51">
        <v>0</v>
      </c>
      <c r="K279" s="51">
        <f t="shared" si="57"/>
        <v>0</v>
      </c>
      <c r="L279" s="51">
        <v>0</v>
      </c>
      <c r="M279" s="51">
        <v>0</v>
      </c>
      <c r="N279" s="51">
        <f t="shared" si="66"/>
        <v>0</v>
      </c>
      <c r="O279" s="51">
        <v>0</v>
      </c>
      <c r="P279" s="179" t="s">
        <v>1489</v>
      </c>
      <c r="Q279" s="179" t="s">
        <v>1489</v>
      </c>
      <c r="R279" s="179" t="s">
        <v>1489</v>
      </c>
      <c r="S279" s="47"/>
      <c r="T279" s="54"/>
      <c r="U279" s="54"/>
      <c r="AA279">
        <f t="shared" si="58"/>
        <v>321</v>
      </c>
      <c r="AD279" t="str">
        <f t="shared" si="59"/>
        <v>435</v>
      </c>
      <c r="AE279">
        <f t="shared" si="60"/>
        <v>0</v>
      </c>
      <c r="AG279" s="50" t="str">
        <f t="shared" si="61"/>
        <v>PATURAGES  VENTE BOIS &amp; Divers</v>
      </c>
      <c r="AH279" s="244" t="str">
        <f t="shared" si="62"/>
        <v>-</v>
      </c>
      <c r="AI279" s="219"/>
      <c r="AJ279" s="219"/>
      <c r="AK279" s="219" t="str">
        <f t="shared" si="63"/>
        <v>-</v>
      </c>
      <c r="AL279" s="244" t="str">
        <f t="shared" si="64"/>
        <v>-</v>
      </c>
      <c r="AN279" s="219">
        <f t="shared" si="65"/>
        <v>0</v>
      </c>
    </row>
    <row r="280" spans="1:40" ht="15" customHeight="1" x14ac:dyDescent="0.3">
      <c r="A280" s="48">
        <v>0</v>
      </c>
      <c r="B280" s="49" t="s">
        <v>456</v>
      </c>
      <c r="C280" s="50" t="s">
        <v>457</v>
      </c>
      <c r="D280" s="46" t="s">
        <v>1458</v>
      </c>
      <c r="E280" s="46" t="s">
        <v>282</v>
      </c>
      <c r="F280" s="46">
        <v>321</v>
      </c>
      <c r="G280" s="46" t="s">
        <v>61</v>
      </c>
      <c r="H280" s="46"/>
      <c r="I280" s="51">
        <v>0</v>
      </c>
      <c r="J280" s="63">
        <v>-15786</v>
      </c>
      <c r="K280" s="51">
        <f t="shared" si="57"/>
        <v>-15786</v>
      </c>
      <c r="L280" s="51">
        <v>0</v>
      </c>
      <c r="M280" s="51">
        <v>-16000</v>
      </c>
      <c r="N280" s="51">
        <f t="shared" si="66"/>
        <v>-16000</v>
      </c>
      <c r="O280" s="51">
        <v>0</v>
      </c>
      <c r="P280" s="179">
        <v>96902</v>
      </c>
      <c r="Q280" s="179" t="s">
        <v>1813</v>
      </c>
      <c r="R280" s="179" t="s">
        <v>2131</v>
      </c>
      <c r="S280" s="57" t="s">
        <v>2169</v>
      </c>
      <c r="T280" s="64">
        <f>+J280</f>
        <v>-15786</v>
      </c>
      <c r="U280" s="54"/>
      <c r="W280" t="s">
        <v>1827</v>
      </c>
      <c r="AA280">
        <f t="shared" si="58"/>
        <v>321</v>
      </c>
      <c r="AD280" t="str">
        <f t="shared" si="59"/>
        <v>436</v>
      </c>
      <c r="AE280">
        <f t="shared" si="60"/>
        <v>0</v>
      </c>
      <c r="AG280" s="50" t="str">
        <f t="shared" si="61"/>
        <v>PATURAGES  PART AMODIATAIRES ENT ALPAGES, CLÔTURES</v>
      </c>
      <c r="AH280" s="244">
        <f t="shared" si="62"/>
        <v>96902</v>
      </c>
      <c r="AI280" s="219"/>
      <c r="AJ280" s="219"/>
      <c r="AK280" s="219" t="str">
        <f t="shared" si="63"/>
        <v>4430</v>
      </c>
      <c r="AL280" s="244" t="str">
        <f t="shared" si="64"/>
        <v>00</v>
      </c>
      <c r="AN280" s="219" t="str">
        <f t="shared" si="65"/>
        <v>Loyers et fermages, immeubles du PF | Terrains et Pâturages |</v>
      </c>
    </row>
    <row r="281" spans="1:40" ht="15" customHeight="1" x14ac:dyDescent="0.3">
      <c r="A281" s="48">
        <v>0</v>
      </c>
      <c r="B281" s="49" t="s">
        <v>458</v>
      </c>
      <c r="C281" s="50" t="s">
        <v>459</v>
      </c>
      <c r="D281" s="46" t="s">
        <v>1458</v>
      </c>
      <c r="E281" s="46" t="s">
        <v>282</v>
      </c>
      <c r="F281" s="46">
        <v>321</v>
      </c>
      <c r="G281" s="46" t="s">
        <v>61</v>
      </c>
      <c r="H281" s="46">
        <v>1</v>
      </c>
      <c r="I281" s="51">
        <v>0</v>
      </c>
      <c r="J281" s="51">
        <v>0</v>
      </c>
      <c r="K281" s="51">
        <f t="shared" si="57"/>
        <v>0</v>
      </c>
      <c r="L281" s="51">
        <v>0</v>
      </c>
      <c r="M281" s="51">
        <v>0</v>
      </c>
      <c r="N281" s="51">
        <f t="shared" si="66"/>
        <v>0</v>
      </c>
      <c r="O281" s="51">
        <v>0</v>
      </c>
      <c r="P281" s="179" t="s">
        <v>1489</v>
      </c>
      <c r="Q281" s="179" t="s">
        <v>1489</v>
      </c>
      <c r="R281" s="179" t="s">
        <v>1489</v>
      </c>
      <c r="S281" s="47"/>
      <c r="T281" s="54"/>
      <c r="U281" s="54"/>
      <c r="AA281">
        <f t="shared" si="58"/>
        <v>321</v>
      </c>
      <c r="AD281" t="str">
        <f t="shared" si="59"/>
        <v>436</v>
      </c>
      <c r="AE281">
        <f t="shared" si="60"/>
        <v>1</v>
      </c>
      <c r="AG281" s="50" t="str">
        <f t="shared" si="61"/>
        <v>PATURAGES  PART DE TIERS ASSURANCES ECA</v>
      </c>
      <c r="AH281" s="244" t="str">
        <f t="shared" si="62"/>
        <v>-</v>
      </c>
      <c r="AI281" s="219"/>
      <c r="AJ281" s="219"/>
      <c r="AK281" s="219" t="str">
        <f t="shared" si="63"/>
        <v>-</v>
      </c>
      <c r="AL281" s="244" t="str">
        <f t="shared" si="64"/>
        <v>-</v>
      </c>
      <c r="AN281" s="219">
        <f t="shared" si="65"/>
        <v>0</v>
      </c>
    </row>
    <row r="282" spans="1:40" ht="15" customHeight="1" x14ac:dyDescent="0.3">
      <c r="A282" s="48">
        <v>0</v>
      </c>
      <c r="B282" s="49" t="s">
        <v>460</v>
      </c>
      <c r="C282" s="50" t="s">
        <v>461</v>
      </c>
      <c r="D282" s="46" t="s">
        <v>1458</v>
      </c>
      <c r="E282" s="46" t="s">
        <v>282</v>
      </c>
      <c r="F282" s="46">
        <v>321</v>
      </c>
      <c r="G282" s="46" t="s">
        <v>175</v>
      </c>
      <c r="H282" s="46"/>
      <c r="I282" s="51">
        <v>0</v>
      </c>
      <c r="J282" s="51">
        <v>0</v>
      </c>
      <c r="K282" s="51">
        <f t="shared" si="57"/>
        <v>0</v>
      </c>
      <c r="L282" s="51">
        <v>0</v>
      </c>
      <c r="M282" s="51">
        <v>0</v>
      </c>
      <c r="N282" s="51">
        <f t="shared" si="66"/>
        <v>0</v>
      </c>
      <c r="O282" s="51">
        <v>0</v>
      </c>
      <c r="P282" s="179" t="s">
        <v>1489</v>
      </c>
      <c r="Q282" s="179" t="s">
        <v>1489</v>
      </c>
      <c r="R282" s="179" t="s">
        <v>1489</v>
      </c>
      <c r="S282" s="47"/>
      <c r="T282" s="54"/>
      <c r="U282" s="54"/>
      <c r="AA282">
        <f t="shared" si="58"/>
        <v>321</v>
      </c>
      <c r="AD282" t="str">
        <f t="shared" si="59"/>
        <v>451</v>
      </c>
      <c r="AE282">
        <f t="shared" si="60"/>
        <v>0</v>
      </c>
      <c r="AG282" s="50" t="str">
        <f t="shared" si="61"/>
        <v>PATURAGES  PART DU CANTON, SUBVENTION</v>
      </c>
      <c r="AH282" s="244" t="str">
        <f t="shared" si="62"/>
        <v>-</v>
      </c>
      <c r="AI282" s="219"/>
      <c r="AJ282" s="219"/>
      <c r="AK282" s="219" t="str">
        <f t="shared" si="63"/>
        <v>-</v>
      </c>
      <c r="AL282" s="244" t="str">
        <f t="shared" si="64"/>
        <v>-</v>
      </c>
      <c r="AN282" s="219">
        <f t="shared" si="65"/>
        <v>0</v>
      </c>
    </row>
    <row r="283" spans="1:40" ht="15" customHeight="1" x14ac:dyDescent="0.3">
      <c r="A283" s="48">
        <v>0</v>
      </c>
      <c r="B283" s="49" t="s">
        <v>462</v>
      </c>
      <c r="C283" s="50" t="s">
        <v>463</v>
      </c>
      <c r="D283" s="46" t="s">
        <v>1458</v>
      </c>
      <c r="E283" s="46" t="s">
        <v>282</v>
      </c>
      <c r="F283" s="46">
        <v>321</v>
      </c>
      <c r="G283" s="46" t="s">
        <v>351</v>
      </c>
      <c r="H283" s="46"/>
      <c r="I283" s="51">
        <v>0</v>
      </c>
      <c r="J283" s="51">
        <v>0</v>
      </c>
      <c r="K283" s="51">
        <f t="shared" si="57"/>
        <v>0</v>
      </c>
      <c r="L283" s="51">
        <v>0</v>
      </c>
      <c r="M283" s="51">
        <v>0</v>
      </c>
      <c r="N283" s="51">
        <f t="shared" si="66"/>
        <v>0</v>
      </c>
      <c r="O283" s="51">
        <v>0</v>
      </c>
      <c r="P283" s="179" t="s">
        <v>1489</v>
      </c>
      <c r="Q283" s="179" t="s">
        <v>1489</v>
      </c>
      <c r="R283" s="179" t="s">
        <v>1489</v>
      </c>
      <c r="S283" s="47"/>
      <c r="T283" s="54"/>
      <c r="U283" s="54"/>
      <c r="AA283">
        <f t="shared" si="58"/>
        <v>321</v>
      </c>
      <c r="AD283" t="str">
        <f t="shared" si="59"/>
        <v>465</v>
      </c>
      <c r="AE283">
        <f t="shared" si="60"/>
        <v>0</v>
      </c>
      <c r="AG283" s="50" t="str">
        <f t="shared" si="61"/>
        <v>PATURAGES  Subventions et participations de tiers</v>
      </c>
      <c r="AH283" s="244" t="str">
        <f t="shared" si="62"/>
        <v>-</v>
      </c>
      <c r="AI283" s="219"/>
      <c r="AJ283" s="219"/>
      <c r="AK283" s="219" t="str">
        <f t="shared" si="63"/>
        <v>-</v>
      </c>
      <c r="AL283" s="244" t="str">
        <f t="shared" si="64"/>
        <v>-</v>
      </c>
      <c r="AN283" s="219">
        <f t="shared" si="65"/>
        <v>0</v>
      </c>
    </row>
    <row r="284" spans="1:40" ht="15" customHeight="1" x14ac:dyDescent="0.3">
      <c r="A284" s="48">
        <v>0</v>
      </c>
      <c r="B284" s="49" t="s">
        <v>464</v>
      </c>
      <c r="C284" s="50" t="s">
        <v>465</v>
      </c>
      <c r="D284" s="46" t="s">
        <v>1458</v>
      </c>
      <c r="E284" s="46" t="s">
        <v>282</v>
      </c>
      <c r="F284" s="46">
        <v>321</v>
      </c>
      <c r="G284" s="46" t="s">
        <v>64</v>
      </c>
      <c r="H284" s="46"/>
      <c r="I284" s="51">
        <v>0</v>
      </c>
      <c r="J284" s="51">
        <v>0</v>
      </c>
      <c r="K284" s="51">
        <f t="shared" si="57"/>
        <v>0</v>
      </c>
      <c r="L284" s="51">
        <v>0</v>
      </c>
      <c r="M284" s="51">
        <v>0</v>
      </c>
      <c r="N284" s="51">
        <f t="shared" si="66"/>
        <v>0</v>
      </c>
      <c r="O284" s="51">
        <v>0</v>
      </c>
      <c r="P284" s="179" t="s">
        <v>1489</v>
      </c>
      <c r="Q284" s="179" t="s">
        <v>1489</v>
      </c>
      <c r="R284" s="179" t="s">
        <v>1489</v>
      </c>
      <c r="S284" s="47"/>
      <c r="T284" s="54"/>
      <c r="U284" s="54"/>
      <c r="AA284">
        <f t="shared" si="58"/>
        <v>321</v>
      </c>
      <c r="AD284" t="str">
        <f t="shared" si="59"/>
        <v>480</v>
      </c>
      <c r="AE284">
        <f t="shared" si="60"/>
        <v>0</v>
      </c>
      <c r="AG284" s="50" t="str">
        <f t="shared" si="61"/>
        <v>PATURAGES  PRELEVEMENT RESERVE</v>
      </c>
      <c r="AH284" s="244" t="str">
        <f t="shared" si="62"/>
        <v>-</v>
      </c>
      <c r="AI284" s="219"/>
      <c r="AJ284" s="219"/>
      <c r="AK284" s="219" t="str">
        <f t="shared" si="63"/>
        <v>-</v>
      </c>
      <c r="AL284" s="244" t="str">
        <f t="shared" si="64"/>
        <v>-</v>
      </c>
      <c r="AN284" s="219">
        <f t="shared" si="65"/>
        <v>0</v>
      </c>
    </row>
    <row r="285" spans="1:40" ht="15" customHeight="1" x14ac:dyDescent="0.3">
      <c r="A285" s="48">
        <v>0</v>
      </c>
      <c r="B285" s="74" t="s">
        <v>467</v>
      </c>
      <c r="C285" s="67" t="s">
        <v>468</v>
      </c>
      <c r="D285" s="188" t="s">
        <v>1459</v>
      </c>
      <c r="E285" s="46" t="s">
        <v>466</v>
      </c>
      <c r="F285" s="46">
        <v>3500</v>
      </c>
      <c r="G285" s="46" t="s">
        <v>3</v>
      </c>
      <c r="H285" s="46"/>
      <c r="I285" s="51">
        <v>24900.3</v>
      </c>
      <c r="J285" s="51">
        <v>0</v>
      </c>
      <c r="K285" s="51">
        <f t="shared" si="57"/>
        <v>24900.3</v>
      </c>
      <c r="L285" s="51">
        <v>23000</v>
      </c>
      <c r="M285" s="51">
        <v>0</v>
      </c>
      <c r="N285" s="51">
        <f t="shared" si="66"/>
        <v>23000</v>
      </c>
      <c r="O285" s="51">
        <v>15076.95</v>
      </c>
      <c r="P285" s="185" t="s">
        <v>1587</v>
      </c>
      <c r="Q285" s="179" t="s">
        <v>1410</v>
      </c>
      <c r="R285" s="179" t="s">
        <v>2131</v>
      </c>
      <c r="S285" s="52" t="s">
        <v>1411</v>
      </c>
      <c r="T285" s="54">
        <f>+I285</f>
        <v>24900.3</v>
      </c>
      <c r="U285" s="54">
        <v>0</v>
      </c>
      <c r="V285" s="7" t="s">
        <v>2021</v>
      </c>
      <c r="W285" t="s">
        <v>1828</v>
      </c>
      <c r="AA285">
        <f t="shared" si="58"/>
        <v>3500</v>
      </c>
      <c r="AD285" t="str">
        <f t="shared" si="59"/>
        <v>301</v>
      </c>
      <c r="AE285">
        <f t="shared" si="60"/>
        <v>0</v>
      </c>
      <c r="AG285" s="50" t="str">
        <f t="shared" si="61"/>
        <v>BATI. COMM CONCIERGERIE</v>
      </c>
      <c r="AH285" s="244" t="str">
        <f t="shared" si="62"/>
        <v>61500</v>
      </c>
      <c r="AI285" s="219"/>
      <c r="AJ285" s="219"/>
      <c r="AK285" s="219" t="str">
        <f t="shared" si="63"/>
        <v>3010</v>
      </c>
      <c r="AL285" s="244" t="str">
        <f t="shared" si="64"/>
        <v>00</v>
      </c>
      <c r="AN285" s="219" t="str">
        <f t="shared" si="65"/>
        <v>Salaire du personnel administratif</v>
      </c>
    </row>
    <row r="286" spans="1:40" ht="15" customHeight="1" x14ac:dyDescent="0.3">
      <c r="A286" s="48"/>
      <c r="B286" s="74" t="s">
        <v>467</v>
      </c>
      <c r="C286" s="67" t="s">
        <v>468</v>
      </c>
      <c r="D286" s="188" t="s">
        <v>1459</v>
      </c>
      <c r="E286" s="46" t="s">
        <v>466</v>
      </c>
      <c r="F286" s="46">
        <v>3500</v>
      </c>
      <c r="G286" s="46" t="s">
        <v>3</v>
      </c>
      <c r="H286" s="46"/>
      <c r="I286" s="51"/>
      <c r="J286" s="51"/>
      <c r="K286" s="51"/>
      <c r="L286" s="51"/>
      <c r="M286" s="51"/>
      <c r="N286" s="51">
        <f t="shared" si="66"/>
        <v>0</v>
      </c>
      <c r="O286" s="51"/>
      <c r="P286" s="185" t="s">
        <v>1587</v>
      </c>
      <c r="Q286" s="179" t="s">
        <v>1410</v>
      </c>
      <c r="R286" s="179" t="s">
        <v>2138</v>
      </c>
      <c r="S286" s="47" t="s">
        <v>1424</v>
      </c>
      <c r="T286" s="54"/>
      <c r="U286" s="54"/>
      <c r="AA286">
        <f t="shared" si="58"/>
        <v>3500</v>
      </c>
      <c r="AD286" t="str">
        <f t="shared" si="59"/>
        <v>301</v>
      </c>
      <c r="AE286">
        <f t="shared" si="60"/>
        <v>0</v>
      </c>
      <c r="AG286" s="50" t="str">
        <f t="shared" si="61"/>
        <v>BATI. COMM CONCIERGERIE</v>
      </c>
      <c r="AH286" s="244" t="str">
        <f t="shared" si="62"/>
        <v>61500</v>
      </c>
      <c r="AI286" s="219"/>
      <c r="AJ286" s="219"/>
      <c r="AK286" s="219" t="str">
        <f t="shared" si="63"/>
        <v>3010</v>
      </c>
      <c r="AL286" s="244" t="str">
        <f t="shared" si="64"/>
        <v>99</v>
      </c>
      <c r="AN286" s="219" t="str">
        <f t="shared" si="65"/>
        <v>Remboursements IJM</v>
      </c>
    </row>
    <row r="287" spans="1:40" ht="15" customHeight="1" x14ac:dyDescent="0.3">
      <c r="A287" s="48">
        <v>0</v>
      </c>
      <c r="B287" s="81" t="s">
        <v>469</v>
      </c>
      <c r="C287" s="82" t="s">
        <v>470</v>
      </c>
      <c r="D287" s="183" t="s">
        <v>1459</v>
      </c>
      <c r="E287" s="183" t="s">
        <v>466</v>
      </c>
      <c r="F287" s="46">
        <v>3500</v>
      </c>
      <c r="G287" s="183" t="s">
        <v>16</v>
      </c>
      <c r="H287" s="183"/>
      <c r="I287" s="51">
        <v>2347.75</v>
      </c>
      <c r="J287" s="51">
        <v>0</v>
      </c>
      <c r="K287" s="51">
        <f>+I287+J287</f>
        <v>2347.75</v>
      </c>
      <c r="L287" s="51">
        <v>2000</v>
      </c>
      <c r="M287" s="51">
        <v>0</v>
      </c>
      <c r="N287" s="51">
        <f t="shared" si="66"/>
        <v>2000</v>
      </c>
      <c r="O287" s="51">
        <v>1426.6</v>
      </c>
      <c r="P287" s="185" t="s">
        <v>1587</v>
      </c>
      <c r="Q287" s="179" t="s">
        <v>1367</v>
      </c>
      <c r="R287" s="179" t="s">
        <v>2131</v>
      </c>
      <c r="S287" s="52" t="s">
        <v>1378</v>
      </c>
      <c r="T287" s="54">
        <f>+I287</f>
        <v>2347.75</v>
      </c>
      <c r="U287" s="54"/>
      <c r="AA287">
        <f t="shared" si="58"/>
        <v>3500</v>
      </c>
      <c r="AD287" t="str">
        <f t="shared" si="59"/>
        <v>303</v>
      </c>
      <c r="AE287">
        <f t="shared" si="60"/>
        <v>0</v>
      </c>
      <c r="AG287" s="50" t="str">
        <f t="shared" si="61"/>
        <v>BATI. COMM COTISATIONS AVS AC AF</v>
      </c>
      <c r="AH287" s="244" t="str">
        <f t="shared" si="62"/>
        <v>61500</v>
      </c>
      <c r="AI287" s="219"/>
      <c r="AJ287" s="219"/>
      <c r="AK287" s="219" t="str">
        <f t="shared" si="63"/>
        <v>3050</v>
      </c>
      <c r="AL287" s="244" t="str">
        <f t="shared" si="64"/>
        <v>00</v>
      </c>
      <c r="AN287" s="219" t="str">
        <f t="shared" si="65"/>
        <v>Cotisations AVS, AI, APG, AC, frais adm</v>
      </c>
    </row>
    <row r="288" spans="1:40" ht="15" customHeight="1" x14ac:dyDescent="0.3">
      <c r="A288" s="48"/>
      <c r="B288" s="81" t="s">
        <v>469</v>
      </c>
      <c r="C288" s="82" t="s">
        <v>470</v>
      </c>
      <c r="D288" s="183" t="s">
        <v>1459</v>
      </c>
      <c r="E288" s="183" t="s">
        <v>466</v>
      </c>
      <c r="F288" s="46">
        <v>3500</v>
      </c>
      <c r="G288" s="183" t="s">
        <v>16</v>
      </c>
      <c r="H288" s="183"/>
      <c r="I288" s="51"/>
      <c r="J288" s="51"/>
      <c r="K288" s="51"/>
      <c r="L288" s="51"/>
      <c r="M288" s="51"/>
      <c r="N288" s="51">
        <f t="shared" si="66"/>
        <v>0</v>
      </c>
      <c r="O288" s="51"/>
      <c r="P288" s="185" t="s">
        <v>1587</v>
      </c>
      <c r="Q288" s="179" t="s">
        <v>1413</v>
      </c>
      <c r="R288" s="179" t="s">
        <v>2131</v>
      </c>
      <c r="S288" s="52" t="s">
        <v>1414</v>
      </c>
      <c r="T288" s="54"/>
      <c r="U288" s="54"/>
      <c r="AA288">
        <f t="shared" si="58"/>
        <v>3500</v>
      </c>
      <c r="AD288" t="str">
        <f t="shared" si="59"/>
        <v>303</v>
      </c>
      <c r="AE288">
        <f t="shared" si="60"/>
        <v>0</v>
      </c>
      <c r="AG288" s="50" t="str">
        <f t="shared" si="61"/>
        <v>BATI. COMM COTISATIONS AVS AC AF</v>
      </c>
      <c r="AH288" s="244" t="str">
        <f t="shared" si="62"/>
        <v>61500</v>
      </c>
      <c r="AI288" s="219"/>
      <c r="AJ288" s="219"/>
      <c r="AK288" s="219" t="str">
        <f t="shared" si="63"/>
        <v>3054</v>
      </c>
      <c r="AL288" s="244" t="str">
        <f t="shared" si="64"/>
        <v>00</v>
      </c>
      <c r="AN288" s="219" t="str">
        <f t="shared" si="65"/>
        <v>Cotisations CAF</v>
      </c>
    </row>
    <row r="289" spans="1:40" ht="15" customHeight="1" x14ac:dyDescent="0.3">
      <c r="A289" s="48">
        <v>0</v>
      </c>
      <c r="B289" s="49" t="s">
        <v>471</v>
      </c>
      <c r="C289" s="50" t="s">
        <v>472</v>
      </c>
      <c r="D289" s="46" t="s">
        <v>1459</v>
      </c>
      <c r="E289" s="46" t="s">
        <v>466</v>
      </c>
      <c r="F289" s="46">
        <v>3500</v>
      </c>
      <c r="G289" s="46" t="s">
        <v>38</v>
      </c>
      <c r="H289" s="46"/>
      <c r="I289" s="51">
        <v>1046.5</v>
      </c>
      <c r="J289" s="51">
        <v>0</v>
      </c>
      <c r="K289" s="51">
        <f>+I289+J289</f>
        <v>1046.5</v>
      </c>
      <c r="L289" s="51">
        <v>850</v>
      </c>
      <c r="M289" s="51">
        <v>0</v>
      </c>
      <c r="N289" s="51">
        <f t="shared" si="66"/>
        <v>850</v>
      </c>
      <c r="O289" s="51">
        <v>1426.5</v>
      </c>
      <c r="P289" s="185" t="s">
        <v>1587</v>
      </c>
      <c r="Q289" s="179" t="s">
        <v>1386</v>
      </c>
      <c r="R289" s="179" t="s">
        <v>2131</v>
      </c>
      <c r="S289" s="52" t="s">
        <v>1387</v>
      </c>
      <c r="T289" s="54">
        <f>+I289</f>
        <v>1046.5</v>
      </c>
      <c r="U289" s="54"/>
      <c r="AA289">
        <f t="shared" si="58"/>
        <v>3500</v>
      </c>
      <c r="AD289" t="str">
        <f t="shared" si="59"/>
        <v>304</v>
      </c>
      <c r="AE289">
        <f t="shared" si="60"/>
        <v>0</v>
      </c>
      <c r="AG289" s="50" t="str">
        <f t="shared" si="61"/>
        <v>BATI. COMM CAISSE PREVOYANCE LPP</v>
      </c>
      <c r="AH289" s="244" t="str">
        <f t="shared" si="62"/>
        <v>61500</v>
      </c>
      <c r="AI289" s="219"/>
      <c r="AJ289" s="219"/>
      <c r="AK289" s="219" t="str">
        <f t="shared" si="63"/>
        <v>3052</v>
      </c>
      <c r="AL289" s="244" t="str">
        <f t="shared" si="64"/>
        <v>00</v>
      </c>
      <c r="AN289" s="219" t="str">
        <f t="shared" si="65"/>
        <v>Cotisations patronales aux caisses de pensions</v>
      </c>
    </row>
    <row r="290" spans="1:40" ht="15" customHeight="1" x14ac:dyDescent="0.3">
      <c r="A290" s="48">
        <v>0</v>
      </c>
      <c r="B290" s="49" t="s">
        <v>473</v>
      </c>
      <c r="C290" s="50" t="s">
        <v>474</v>
      </c>
      <c r="D290" s="46" t="s">
        <v>1459</v>
      </c>
      <c r="E290" s="46" t="s">
        <v>466</v>
      </c>
      <c r="F290" s="46">
        <v>3500</v>
      </c>
      <c r="G290" s="46" t="s">
        <v>19</v>
      </c>
      <c r="H290" s="46"/>
      <c r="I290" s="51">
        <v>579.70000000000005</v>
      </c>
      <c r="J290" s="51">
        <v>0</v>
      </c>
      <c r="K290" s="51">
        <f>+I290+J290</f>
        <v>579.70000000000005</v>
      </c>
      <c r="L290" s="51">
        <v>500</v>
      </c>
      <c r="M290" s="51">
        <v>0</v>
      </c>
      <c r="N290" s="51">
        <f t="shared" si="66"/>
        <v>500</v>
      </c>
      <c r="O290" s="51">
        <v>360.5</v>
      </c>
      <c r="P290" s="185" t="s">
        <v>1587</v>
      </c>
      <c r="Q290" s="179" t="s">
        <v>1375</v>
      </c>
      <c r="R290" s="179" t="s">
        <v>2131</v>
      </c>
      <c r="S290" s="52" t="s">
        <v>1379</v>
      </c>
      <c r="T290" s="54">
        <f>+I290</f>
        <v>579.70000000000005</v>
      </c>
      <c r="U290" s="54"/>
      <c r="AA290">
        <f t="shared" si="58"/>
        <v>3500</v>
      </c>
      <c r="AD290" t="str">
        <f t="shared" si="59"/>
        <v>305</v>
      </c>
      <c r="AE290">
        <f t="shared" si="60"/>
        <v>0</v>
      </c>
      <c r="AG290" s="50" t="str">
        <f t="shared" si="61"/>
        <v>BATI. COMM ASS ACCIDENTS et MALADIE</v>
      </c>
      <c r="AH290" s="244" t="str">
        <f t="shared" si="62"/>
        <v>61500</v>
      </c>
      <c r="AI290" s="219"/>
      <c r="AJ290" s="219"/>
      <c r="AK290" s="219" t="str">
        <f t="shared" si="63"/>
        <v>3053</v>
      </c>
      <c r="AL290" s="244" t="str">
        <f t="shared" si="64"/>
        <v>00</v>
      </c>
      <c r="AN290" s="219" t="str">
        <f t="shared" si="65"/>
        <v>Cotisations patronales aux assurance-accidents</v>
      </c>
    </row>
    <row r="291" spans="1:40" ht="15" customHeight="1" x14ac:dyDescent="0.3">
      <c r="A291" s="48">
        <v>0</v>
      </c>
      <c r="B291" s="74" t="s">
        <v>475</v>
      </c>
      <c r="C291" s="67" t="s">
        <v>476</v>
      </c>
      <c r="D291" s="188" t="s">
        <v>1459</v>
      </c>
      <c r="E291" s="188" t="s">
        <v>466</v>
      </c>
      <c r="F291" s="46">
        <v>3500</v>
      </c>
      <c r="G291" s="188" t="s">
        <v>22</v>
      </c>
      <c r="H291" s="188"/>
      <c r="I291" s="51">
        <v>0</v>
      </c>
      <c r="J291" s="51">
        <v>0</v>
      </c>
      <c r="K291" s="51">
        <f>+I291+J291</f>
        <v>0</v>
      </c>
      <c r="L291" s="51">
        <v>0</v>
      </c>
      <c r="M291" s="51">
        <v>0</v>
      </c>
      <c r="N291" s="51">
        <f t="shared" si="66"/>
        <v>0</v>
      </c>
      <c r="O291" s="51">
        <v>0</v>
      </c>
      <c r="P291" s="179" t="s">
        <v>1489</v>
      </c>
      <c r="Q291" s="179" t="s">
        <v>1489</v>
      </c>
      <c r="R291" s="179" t="s">
        <v>1489</v>
      </c>
      <c r="S291" s="47"/>
      <c r="T291" s="54"/>
      <c r="U291" s="54"/>
      <c r="AA291">
        <f t="shared" si="58"/>
        <v>3500</v>
      </c>
      <c r="AD291" t="str">
        <f t="shared" si="59"/>
        <v>306</v>
      </c>
      <c r="AE291">
        <f t="shared" si="60"/>
        <v>0</v>
      </c>
      <c r="AG291" s="50" t="str">
        <f t="shared" si="61"/>
        <v>BATI. COMMUNAUX  FRAIS DU PERSONNEL</v>
      </c>
      <c r="AH291" s="244" t="str">
        <f t="shared" si="62"/>
        <v>-</v>
      </c>
      <c r="AI291" s="219"/>
      <c r="AJ291" s="219"/>
      <c r="AK291" s="219" t="str">
        <f t="shared" si="63"/>
        <v>-</v>
      </c>
      <c r="AL291" s="244" t="str">
        <f t="shared" si="64"/>
        <v>-</v>
      </c>
      <c r="AN291" s="219">
        <f t="shared" si="65"/>
        <v>0</v>
      </c>
    </row>
    <row r="292" spans="1:40" ht="15" customHeight="1" x14ac:dyDescent="0.3">
      <c r="A292" s="48"/>
      <c r="B292" s="74" t="s">
        <v>475</v>
      </c>
      <c r="C292" s="67" t="s">
        <v>476</v>
      </c>
      <c r="D292" s="188" t="s">
        <v>1459</v>
      </c>
      <c r="E292" s="188" t="s">
        <v>466</v>
      </c>
      <c r="F292" s="46">
        <v>3500</v>
      </c>
      <c r="G292" s="188" t="s">
        <v>22</v>
      </c>
      <c r="H292" s="188"/>
      <c r="I292" s="51"/>
      <c r="J292" s="51"/>
      <c r="K292" s="51"/>
      <c r="L292" s="51"/>
      <c r="M292" s="51"/>
      <c r="N292" s="51">
        <f t="shared" si="66"/>
        <v>0</v>
      </c>
      <c r="O292" s="51"/>
      <c r="P292" s="185" t="s">
        <v>1587</v>
      </c>
      <c r="Q292" s="179" t="s">
        <v>1382</v>
      </c>
      <c r="R292" s="179" t="s">
        <v>2131</v>
      </c>
      <c r="S292" s="52" t="s">
        <v>1383</v>
      </c>
      <c r="T292" s="54"/>
      <c r="U292" s="54"/>
      <c r="AA292">
        <f t="shared" si="58"/>
        <v>3500</v>
      </c>
      <c r="AD292" t="str">
        <f t="shared" si="59"/>
        <v>306</v>
      </c>
      <c r="AE292">
        <f t="shared" si="60"/>
        <v>0</v>
      </c>
      <c r="AG292" s="50" t="str">
        <f t="shared" si="61"/>
        <v>BATI. COMMUNAUX  FRAIS DU PERSONNEL</v>
      </c>
      <c r="AH292" s="244" t="str">
        <f t="shared" si="62"/>
        <v>61500</v>
      </c>
      <c r="AI292" s="219"/>
      <c r="AJ292" s="219"/>
      <c r="AK292" s="219" t="str">
        <f t="shared" si="63"/>
        <v>3049</v>
      </c>
      <c r="AL292" s="244" t="str">
        <f t="shared" si="64"/>
        <v>00</v>
      </c>
      <c r="AN292" s="219" t="str">
        <f t="shared" si="65"/>
        <v>Autres indemnités forfaitaires - natels</v>
      </c>
    </row>
    <row r="293" spans="1:40" ht="15" customHeight="1" x14ac:dyDescent="0.3">
      <c r="A293" s="48"/>
      <c r="B293" s="74" t="s">
        <v>475</v>
      </c>
      <c r="C293" s="67" t="s">
        <v>476</v>
      </c>
      <c r="D293" s="188" t="s">
        <v>1459</v>
      </c>
      <c r="E293" s="188" t="s">
        <v>466</v>
      </c>
      <c r="F293" s="46">
        <v>3500</v>
      </c>
      <c r="G293" s="188" t="s">
        <v>22</v>
      </c>
      <c r="H293" s="188"/>
      <c r="I293" s="51"/>
      <c r="J293" s="51"/>
      <c r="K293" s="51"/>
      <c r="L293" s="51"/>
      <c r="M293" s="51"/>
      <c r="N293" s="51">
        <f t="shared" si="66"/>
        <v>0</v>
      </c>
      <c r="O293" s="51"/>
      <c r="P293" s="185" t="s">
        <v>1587</v>
      </c>
      <c r="Q293" s="179" t="s">
        <v>1393</v>
      </c>
      <c r="R293" s="179" t="s">
        <v>2131</v>
      </c>
      <c r="S293" s="52" t="s">
        <v>2073</v>
      </c>
      <c r="T293" s="54"/>
      <c r="U293" s="54"/>
      <c r="AA293">
        <f t="shared" si="58"/>
        <v>3500</v>
      </c>
      <c r="AD293" t="str">
        <f t="shared" si="59"/>
        <v>306</v>
      </c>
      <c r="AE293">
        <f t="shared" si="60"/>
        <v>0</v>
      </c>
      <c r="AG293" s="50" t="str">
        <f t="shared" si="61"/>
        <v>BATI. COMMUNAUX  FRAIS DU PERSONNEL</v>
      </c>
      <c r="AH293" s="244" t="str">
        <f t="shared" si="62"/>
        <v>61500</v>
      </c>
      <c r="AI293" s="219"/>
      <c r="AJ293" s="219"/>
      <c r="AK293" s="219" t="str">
        <f t="shared" si="63"/>
        <v>3170</v>
      </c>
      <c r="AL293" s="244" t="str">
        <f t="shared" si="64"/>
        <v>00</v>
      </c>
      <c r="AN293" s="219" t="str">
        <f t="shared" si="65"/>
        <v>Remboursements de frais effectifs km</v>
      </c>
    </row>
    <row r="294" spans="1:40" ht="15" customHeight="1" x14ac:dyDescent="0.3">
      <c r="A294" s="48"/>
      <c r="B294" s="74" t="s">
        <v>475</v>
      </c>
      <c r="C294" s="67" t="s">
        <v>476</v>
      </c>
      <c r="D294" s="188" t="s">
        <v>1459</v>
      </c>
      <c r="E294" s="188" t="s">
        <v>466</v>
      </c>
      <c r="F294" s="46">
        <v>3500</v>
      </c>
      <c r="G294" s="188" t="s">
        <v>22</v>
      </c>
      <c r="H294" s="188"/>
      <c r="I294" s="51"/>
      <c r="J294" s="51"/>
      <c r="K294" s="51"/>
      <c r="L294" s="51"/>
      <c r="M294" s="51"/>
      <c r="N294" s="51">
        <f t="shared" si="66"/>
        <v>0</v>
      </c>
      <c r="O294" s="51"/>
      <c r="P294" s="185" t="s">
        <v>1587</v>
      </c>
      <c r="Q294" s="179" t="s">
        <v>1368</v>
      </c>
      <c r="R294" s="179" t="s">
        <v>2131</v>
      </c>
      <c r="S294" s="47" t="s">
        <v>1392</v>
      </c>
      <c r="T294" s="54"/>
      <c r="U294" s="54"/>
      <c r="AA294">
        <f t="shared" si="58"/>
        <v>3500</v>
      </c>
      <c r="AD294" t="str">
        <f t="shared" si="59"/>
        <v>306</v>
      </c>
      <c r="AE294">
        <f t="shared" si="60"/>
        <v>0</v>
      </c>
      <c r="AG294" s="50" t="str">
        <f t="shared" si="61"/>
        <v>BATI. COMMUNAUX  FRAIS DU PERSONNEL</v>
      </c>
      <c r="AH294" s="244" t="str">
        <f t="shared" si="62"/>
        <v>61500</v>
      </c>
      <c r="AI294" s="219"/>
      <c r="AJ294" s="219"/>
      <c r="AK294" s="219" t="str">
        <f t="shared" si="63"/>
        <v>3090</v>
      </c>
      <c r="AL294" s="244" t="str">
        <f t="shared" si="64"/>
        <v>00</v>
      </c>
      <c r="AN294" s="219" t="str">
        <f t="shared" si="65"/>
        <v>Formation et perfectionnement</v>
      </c>
    </row>
    <row r="295" spans="1:40" ht="15" customHeight="1" x14ac:dyDescent="0.3">
      <c r="A295" s="48"/>
      <c r="B295" s="74" t="s">
        <v>475</v>
      </c>
      <c r="C295" s="67" t="s">
        <v>476</v>
      </c>
      <c r="D295" s="188" t="s">
        <v>1459</v>
      </c>
      <c r="E295" s="188" t="s">
        <v>466</v>
      </c>
      <c r="F295" s="46">
        <v>3500</v>
      </c>
      <c r="G295" s="188" t="s">
        <v>22</v>
      </c>
      <c r="H295" s="188"/>
      <c r="I295" s="51"/>
      <c r="J295" s="51"/>
      <c r="K295" s="51"/>
      <c r="L295" s="51"/>
      <c r="M295" s="51"/>
      <c r="N295" s="51">
        <f t="shared" si="66"/>
        <v>0</v>
      </c>
      <c r="O295" s="51"/>
      <c r="P295" s="185" t="s">
        <v>1587</v>
      </c>
      <c r="Q295" s="179" t="s">
        <v>1540</v>
      </c>
      <c r="R295" s="179" t="s">
        <v>2131</v>
      </c>
      <c r="S295" s="52" t="s">
        <v>1543</v>
      </c>
      <c r="T295" s="54"/>
      <c r="U295" s="54"/>
      <c r="AA295">
        <f t="shared" si="58"/>
        <v>3500</v>
      </c>
      <c r="AD295" t="str">
        <f t="shared" si="59"/>
        <v>306</v>
      </c>
      <c r="AE295">
        <f t="shared" si="60"/>
        <v>0</v>
      </c>
      <c r="AG295" s="50" t="str">
        <f t="shared" si="61"/>
        <v>BATI. COMMUNAUX  FRAIS DU PERSONNEL</v>
      </c>
      <c r="AH295" s="244" t="str">
        <f t="shared" si="62"/>
        <v>61500</v>
      </c>
      <c r="AI295" s="219"/>
      <c r="AJ295" s="219"/>
      <c r="AK295" s="219" t="str">
        <f t="shared" si="63"/>
        <v>3091</v>
      </c>
      <c r="AL295" s="244" t="str">
        <f t="shared" si="64"/>
        <v>00</v>
      </c>
      <c r="AN295" s="219" t="str">
        <f t="shared" si="65"/>
        <v>Recrutement</v>
      </c>
    </row>
    <row r="296" spans="1:40" ht="15" customHeight="1" x14ac:dyDescent="0.3">
      <c r="A296" s="48"/>
      <c r="B296" s="74" t="s">
        <v>475</v>
      </c>
      <c r="C296" s="67" t="s">
        <v>476</v>
      </c>
      <c r="D296" s="188" t="s">
        <v>1459</v>
      </c>
      <c r="E296" s="188" t="s">
        <v>466</v>
      </c>
      <c r="F296" s="46">
        <v>3500</v>
      </c>
      <c r="G296" s="188" t="s">
        <v>22</v>
      </c>
      <c r="H296" s="188"/>
      <c r="I296" s="51"/>
      <c r="J296" s="51"/>
      <c r="K296" s="51"/>
      <c r="L296" s="51"/>
      <c r="M296" s="51"/>
      <c r="N296" s="51">
        <f t="shared" si="66"/>
        <v>0</v>
      </c>
      <c r="O296" s="51"/>
      <c r="P296" s="185" t="s">
        <v>1587</v>
      </c>
      <c r="Q296" s="179" t="s">
        <v>1380</v>
      </c>
      <c r="R296" s="179" t="s">
        <v>2131</v>
      </c>
      <c r="S296" s="52" t="s">
        <v>1381</v>
      </c>
      <c r="T296" s="54"/>
      <c r="U296" s="54"/>
      <c r="AA296">
        <f t="shared" si="58"/>
        <v>3500</v>
      </c>
      <c r="AD296" t="str">
        <f t="shared" si="59"/>
        <v>306</v>
      </c>
      <c r="AE296">
        <f t="shared" si="60"/>
        <v>0</v>
      </c>
      <c r="AG296" s="50" t="str">
        <f t="shared" si="61"/>
        <v>BATI. COMMUNAUX  FRAIS DU PERSONNEL</v>
      </c>
      <c r="AH296" s="244" t="str">
        <f t="shared" si="62"/>
        <v>61500</v>
      </c>
      <c r="AI296" s="219"/>
      <c r="AJ296" s="219"/>
      <c r="AK296" s="219" t="str">
        <f t="shared" si="63"/>
        <v>3099</v>
      </c>
      <c r="AL296" s="244" t="str">
        <f t="shared" si="64"/>
        <v>00</v>
      </c>
      <c r="AN296" s="219" t="str">
        <f t="shared" si="65"/>
        <v>Autres charges du personnel</v>
      </c>
    </row>
    <row r="297" spans="1:40" ht="15" customHeight="1" x14ac:dyDescent="0.3">
      <c r="A297" s="48">
        <v>0</v>
      </c>
      <c r="B297" s="77" t="s">
        <v>477</v>
      </c>
      <c r="C297" s="78" t="s">
        <v>478</v>
      </c>
      <c r="D297" s="182" t="s">
        <v>1459</v>
      </c>
      <c r="E297" s="46" t="s">
        <v>466</v>
      </c>
      <c r="F297" s="46">
        <v>3500</v>
      </c>
      <c r="G297" s="46" t="s">
        <v>25</v>
      </c>
      <c r="H297" s="46"/>
      <c r="I297" s="63">
        <v>862.65</v>
      </c>
      <c r="J297" s="51">
        <v>0</v>
      </c>
      <c r="K297" s="51">
        <f t="shared" ref="K297:K328" si="67">+I297+J297</f>
        <v>862.65</v>
      </c>
      <c r="L297" s="51">
        <v>1500</v>
      </c>
      <c r="M297" s="51">
        <v>0</v>
      </c>
      <c r="N297" s="51">
        <f t="shared" si="66"/>
        <v>1500</v>
      </c>
      <c r="O297" s="51">
        <v>0</v>
      </c>
      <c r="P297" s="179" t="s">
        <v>1795</v>
      </c>
      <c r="Q297" s="179" t="s">
        <v>1426</v>
      </c>
      <c r="R297" s="179" t="s">
        <v>2131</v>
      </c>
      <c r="S297" s="55" t="s">
        <v>1830</v>
      </c>
      <c r="T297" s="64">
        <f>+I297</f>
        <v>862.65</v>
      </c>
      <c r="U297" s="54"/>
      <c r="AA297">
        <f t="shared" si="58"/>
        <v>3500</v>
      </c>
      <c r="AD297" t="str">
        <f t="shared" si="59"/>
        <v>311</v>
      </c>
      <c r="AE297">
        <f t="shared" si="60"/>
        <v>0</v>
      </c>
      <c r="AG297" s="50" t="str">
        <f t="shared" si="61"/>
        <v>BATI. COMM ACHATS MOBILIER MACH. MATERIEL COMMUNAL</v>
      </c>
      <c r="AH297" s="244" t="str">
        <f t="shared" si="62"/>
        <v>02901</v>
      </c>
      <c r="AI297" s="219"/>
      <c r="AJ297" s="219"/>
      <c r="AK297" s="219" t="str">
        <f t="shared" si="63"/>
        <v>3101</v>
      </c>
      <c r="AL297" s="244" t="str">
        <f t="shared" si="64"/>
        <v>00</v>
      </c>
      <c r="AN297" s="219" t="str">
        <f t="shared" si="65"/>
        <v>Matériel d'exploitation, petites fournitures</v>
      </c>
    </row>
    <row r="298" spans="1:40" ht="15" customHeight="1" x14ac:dyDescent="0.3">
      <c r="A298" s="48"/>
      <c r="B298" s="77" t="s">
        <v>477</v>
      </c>
      <c r="C298" s="78" t="s">
        <v>478</v>
      </c>
      <c r="D298" s="182" t="s">
        <v>1459</v>
      </c>
      <c r="E298" s="46"/>
      <c r="F298" s="46">
        <v>3500</v>
      </c>
      <c r="G298" s="46" t="s">
        <v>25</v>
      </c>
      <c r="H298" s="46"/>
      <c r="I298" s="51"/>
      <c r="J298" s="51"/>
      <c r="K298" s="51">
        <f t="shared" si="67"/>
        <v>0</v>
      </c>
      <c r="L298" s="51"/>
      <c r="M298" s="51"/>
      <c r="N298" s="51">
        <f t="shared" si="66"/>
        <v>0</v>
      </c>
      <c r="O298" s="51"/>
      <c r="P298" s="179" t="s">
        <v>1794</v>
      </c>
      <c r="Q298" s="179" t="s">
        <v>1831</v>
      </c>
      <c r="R298" s="179" t="s">
        <v>2131</v>
      </c>
      <c r="S298" s="55" t="s">
        <v>1832</v>
      </c>
      <c r="T298" s="54"/>
      <c r="U298" s="54"/>
      <c r="AA298">
        <f t="shared" si="58"/>
        <v>3500</v>
      </c>
      <c r="AD298" t="str">
        <f t="shared" si="59"/>
        <v>311</v>
      </c>
      <c r="AE298">
        <f t="shared" si="60"/>
        <v>0</v>
      </c>
      <c r="AG298" s="50" t="str">
        <f t="shared" si="61"/>
        <v>BATI. COMM ACHATS MOBILIER MACH. MATERIEL COMMUNAL</v>
      </c>
      <c r="AH298" s="244" t="str">
        <f t="shared" si="62"/>
        <v>02900</v>
      </c>
      <c r="AI298" s="219"/>
      <c r="AJ298" s="219"/>
      <c r="AK298" s="219" t="str">
        <f t="shared" si="63"/>
        <v>3110</v>
      </c>
      <c r="AL298" s="244" t="str">
        <f t="shared" si="64"/>
        <v>00</v>
      </c>
      <c r="AN298" s="219" t="str">
        <f t="shared" si="65"/>
        <v>Meubles et appareils de bureau</v>
      </c>
    </row>
    <row r="299" spans="1:40" ht="15" customHeight="1" x14ac:dyDescent="0.3">
      <c r="A299" s="48"/>
      <c r="B299" s="77" t="s">
        <v>477</v>
      </c>
      <c r="C299" s="78" t="s">
        <v>478</v>
      </c>
      <c r="D299" s="182" t="s">
        <v>1459</v>
      </c>
      <c r="E299" s="46"/>
      <c r="F299" s="46">
        <v>3500</v>
      </c>
      <c r="G299" s="46" t="s">
        <v>25</v>
      </c>
      <c r="H299" s="46"/>
      <c r="I299" s="51"/>
      <c r="J299" s="51"/>
      <c r="K299" s="51">
        <f t="shared" si="67"/>
        <v>0</v>
      </c>
      <c r="L299" s="51"/>
      <c r="M299" s="51"/>
      <c r="N299" s="51">
        <f t="shared" si="66"/>
        <v>0</v>
      </c>
      <c r="O299" s="51"/>
      <c r="P299" s="179" t="s">
        <v>1794</v>
      </c>
      <c r="Q299" s="179" t="s">
        <v>1493</v>
      </c>
      <c r="R299" s="179" t="s">
        <v>2131</v>
      </c>
      <c r="S299" s="47" t="s">
        <v>1494</v>
      </c>
      <c r="T299" s="54"/>
      <c r="U299" s="54"/>
      <c r="AA299">
        <f t="shared" si="58"/>
        <v>3500</v>
      </c>
      <c r="AD299" t="str">
        <f t="shared" si="59"/>
        <v>311</v>
      </c>
      <c r="AE299">
        <f t="shared" si="60"/>
        <v>0</v>
      </c>
      <c r="AG299" s="50" t="str">
        <f t="shared" si="61"/>
        <v>BATI. COMM ACHATS MOBILIER MACH. MATERIEL COMMUNAL</v>
      </c>
      <c r="AH299" s="244" t="str">
        <f t="shared" si="62"/>
        <v>02900</v>
      </c>
      <c r="AI299" s="219"/>
      <c r="AJ299" s="219"/>
      <c r="AK299" s="219" t="str">
        <f t="shared" si="63"/>
        <v>3111</v>
      </c>
      <c r="AL299" s="244" t="str">
        <f t="shared" si="64"/>
        <v>00</v>
      </c>
      <c r="AN299" s="219" t="str">
        <f t="shared" si="65"/>
        <v>Machines, appareils et véhicules</v>
      </c>
    </row>
    <row r="300" spans="1:40" ht="15" customHeight="1" x14ac:dyDescent="0.3">
      <c r="A300" s="48">
        <v>0</v>
      </c>
      <c r="B300" s="74" t="s">
        <v>479</v>
      </c>
      <c r="C300" s="67" t="s">
        <v>480</v>
      </c>
      <c r="D300" s="188" t="s">
        <v>1459</v>
      </c>
      <c r="E300" s="188" t="s">
        <v>466</v>
      </c>
      <c r="F300" s="46">
        <v>3500</v>
      </c>
      <c r="G300" s="188" t="s">
        <v>159</v>
      </c>
      <c r="H300" s="188"/>
      <c r="I300" s="51">
        <v>2134.35</v>
      </c>
      <c r="J300" s="51">
        <v>0</v>
      </c>
      <c r="K300" s="51">
        <f t="shared" si="67"/>
        <v>2134.35</v>
      </c>
      <c r="L300" s="51">
        <v>4700</v>
      </c>
      <c r="M300" s="51">
        <v>0</v>
      </c>
      <c r="N300" s="51">
        <f t="shared" si="66"/>
        <v>4700</v>
      </c>
      <c r="O300" s="51">
        <v>269.8</v>
      </c>
      <c r="P300" s="179" t="s">
        <v>1795</v>
      </c>
      <c r="Q300" s="179" t="s">
        <v>1500</v>
      </c>
      <c r="R300" s="179" t="s">
        <v>2133</v>
      </c>
      <c r="S300" s="55" t="s">
        <v>1503</v>
      </c>
      <c r="T300" s="54">
        <f>+I300</f>
        <v>2134.35</v>
      </c>
      <c r="U300" s="54"/>
      <c r="AA300">
        <f t="shared" si="58"/>
        <v>3500</v>
      </c>
      <c r="AD300" t="str">
        <f t="shared" si="59"/>
        <v>312</v>
      </c>
      <c r="AE300">
        <f t="shared" si="60"/>
        <v>0</v>
      </c>
      <c r="AG300" s="50" t="str">
        <f t="shared" si="61"/>
        <v>BATI. COMM ACHATS ELECTRICITE EAU COMMUNAL</v>
      </c>
      <c r="AH300" s="244" t="str">
        <f t="shared" si="62"/>
        <v>02901</v>
      </c>
      <c r="AI300" s="219"/>
      <c r="AJ300" s="219"/>
      <c r="AK300" s="219" t="str">
        <f t="shared" si="63"/>
        <v>3120</v>
      </c>
      <c r="AL300" s="244" t="str">
        <f t="shared" si="64"/>
        <v>02</v>
      </c>
      <c r="AN300" s="219" t="str">
        <f t="shared" si="65"/>
        <v>Frais d'eau</v>
      </c>
    </row>
    <row r="301" spans="1:40" ht="15" customHeight="1" x14ac:dyDescent="0.3">
      <c r="A301" s="48"/>
      <c r="B301" s="74" t="s">
        <v>479</v>
      </c>
      <c r="C301" s="67" t="s">
        <v>480</v>
      </c>
      <c r="D301" s="188" t="s">
        <v>1459</v>
      </c>
      <c r="E301" s="188" t="s">
        <v>466</v>
      </c>
      <c r="F301" s="46">
        <v>3500</v>
      </c>
      <c r="G301" s="188" t="s">
        <v>159</v>
      </c>
      <c r="H301" s="188"/>
      <c r="I301" s="51"/>
      <c r="J301" s="51"/>
      <c r="K301" s="51">
        <f t="shared" si="67"/>
        <v>0</v>
      </c>
      <c r="L301" s="51"/>
      <c r="M301" s="51"/>
      <c r="N301" s="51">
        <f t="shared" si="66"/>
        <v>0</v>
      </c>
      <c r="O301" s="51"/>
      <c r="P301" s="179" t="s">
        <v>1795</v>
      </c>
      <c r="Q301" s="179" t="s">
        <v>1500</v>
      </c>
      <c r="R301" s="179" t="s">
        <v>2132</v>
      </c>
      <c r="S301" s="55" t="s">
        <v>1502</v>
      </c>
      <c r="T301" s="54"/>
      <c r="U301" s="54"/>
      <c r="AA301">
        <f t="shared" si="58"/>
        <v>3500</v>
      </c>
      <c r="AD301" t="str">
        <f t="shared" si="59"/>
        <v>312</v>
      </c>
      <c r="AE301">
        <f t="shared" si="60"/>
        <v>0</v>
      </c>
      <c r="AG301" s="50" t="str">
        <f t="shared" si="61"/>
        <v>BATI. COMM ACHATS ELECTRICITE EAU COMMUNAL</v>
      </c>
      <c r="AH301" s="244" t="str">
        <f t="shared" si="62"/>
        <v>02901</v>
      </c>
      <c r="AI301" s="219"/>
      <c r="AJ301" s="219"/>
      <c r="AK301" s="219" t="str">
        <f t="shared" si="63"/>
        <v>3120</v>
      </c>
      <c r="AL301" s="244" t="str">
        <f t="shared" si="64"/>
        <v>01</v>
      </c>
      <c r="AN301" s="219" t="str">
        <f t="shared" si="65"/>
        <v>Frais d'électricité</v>
      </c>
    </row>
    <row r="302" spans="1:40" ht="15" customHeight="1" x14ac:dyDescent="0.3">
      <c r="A302" s="48">
        <v>0</v>
      </c>
      <c r="B302" s="49" t="s">
        <v>481</v>
      </c>
      <c r="C302" s="50" t="s">
        <v>482</v>
      </c>
      <c r="D302" s="46" t="s">
        <v>1459</v>
      </c>
      <c r="E302" s="46" t="s">
        <v>466</v>
      </c>
      <c r="F302" s="46">
        <v>3500</v>
      </c>
      <c r="G302" s="46" t="s">
        <v>159</v>
      </c>
      <c r="H302" s="46">
        <v>1</v>
      </c>
      <c r="I302" s="51">
        <v>0</v>
      </c>
      <c r="J302" s="51">
        <v>0</v>
      </c>
      <c r="K302" s="51">
        <f t="shared" si="67"/>
        <v>0</v>
      </c>
      <c r="L302" s="51">
        <v>0</v>
      </c>
      <c r="M302" s="51">
        <v>0</v>
      </c>
      <c r="N302" s="51">
        <f t="shared" si="66"/>
        <v>0</v>
      </c>
      <c r="O302" s="51">
        <v>0</v>
      </c>
      <c r="P302" s="179" t="s">
        <v>1794</v>
      </c>
      <c r="Q302" s="179" t="s">
        <v>1500</v>
      </c>
      <c r="R302" s="179" t="s">
        <v>2131</v>
      </c>
      <c r="S302" s="55" t="s">
        <v>1501</v>
      </c>
      <c r="T302" s="54"/>
      <c r="U302" s="54"/>
      <c r="AA302">
        <f t="shared" si="58"/>
        <v>3500</v>
      </c>
      <c r="AD302" t="str">
        <f t="shared" si="59"/>
        <v>312</v>
      </c>
      <c r="AE302">
        <f t="shared" si="60"/>
        <v>1</v>
      </c>
      <c r="AG302" s="50" t="str">
        <f t="shared" si="61"/>
        <v>BATI. COMM ACHATS COMBUSTIBLE CAD COMMUNAL (inactif)</v>
      </c>
      <c r="AH302" s="244" t="str">
        <f t="shared" si="62"/>
        <v>02900</v>
      </c>
      <c r="AI302" s="219"/>
      <c r="AJ302" s="219"/>
      <c r="AK302" s="219" t="str">
        <f t="shared" si="63"/>
        <v>3120</v>
      </c>
      <c r="AL302" s="244" t="str">
        <f t="shared" si="64"/>
        <v>00</v>
      </c>
      <c r="AN302" s="219" t="str">
        <f t="shared" si="65"/>
        <v>Frais de chauffage</v>
      </c>
    </row>
    <row r="303" spans="1:40" ht="15" customHeight="1" x14ac:dyDescent="0.3">
      <c r="A303" s="48">
        <v>0</v>
      </c>
      <c r="B303" s="49" t="s">
        <v>483</v>
      </c>
      <c r="C303" s="50" t="s">
        <v>484</v>
      </c>
      <c r="D303" s="46" t="s">
        <v>1459</v>
      </c>
      <c r="E303" s="46" t="s">
        <v>466</v>
      </c>
      <c r="F303" s="46">
        <v>3500</v>
      </c>
      <c r="G303" s="46" t="s">
        <v>439</v>
      </c>
      <c r="H303" s="46"/>
      <c r="I303" s="51">
        <v>0</v>
      </c>
      <c r="J303" s="51">
        <v>0</v>
      </c>
      <c r="K303" s="51">
        <f t="shared" si="67"/>
        <v>0</v>
      </c>
      <c r="L303" s="51">
        <v>0</v>
      </c>
      <c r="M303" s="51">
        <v>0</v>
      </c>
      <c r="N303" s="51">
        <f t="shared" si="66"/>
        <v>0</v>
      </c>
      <c r="O303" s="51">
        <v>0</v>
      </c>
      <c r="P303" s="179" t="s">
        <v>1489</v>
      </c>
      <c r="Q303" s="179" t="s">
        <v>1489</v>
      </c>
      <c r="R303" s="179" t="s">
        <v>1489</v>
      </c>
      <c r="S303" s="47"/>
      <c r="T303" s="54"/>
      <c r="U303" s="54"/>
      <c r="AA303">
        <f t="shared" si="58"/>
        <v>3500</v>
      </c>
      <c r="AD303" t="str">
        <f t="shared" si="59"/>
        <v>313</v>
      </c>
      <c r="AE303">
        <f t="shared" si="60"/>
        <v>0</v>
      </c>
      <c r="AG303" s="50" t="str">
        <f t="shared" si="61"/>
        <v>BATI. COMM ACHATS MARCH PROD ENT COMMUNAL</v>
      </c>
      <c r="AH303" s="244" t="str">
        <f t="shared" si="62"/>
        <v>-</v>
      </c>
      <c r="AI303" s="219"/>
      <c r="AJ303" s="219"/>
      <c r="AK303" s="219" t="str">
        <f t="shared" si="63"/>
        <v>-</v>
      </c>
      <c r="AL303" s="244" t="str">
        <f t="shared" si="64"/>
        <v>-</v>
      </c>
      <c r="AN303" s="219">
        <f t="shared" si="65"/>
        <v>0</v>
      </c>
    </row>
    <row r="304" spans="1:40" ht="15" customHeight="1" x14ac:dyDescent="0.3">
      <c r="A304" s="48">
        <v>0</v>
      </c>
      <c r="B304" s="49" t="s">
        <v>485</v>
      </c>
      <c r="C304" s="50" t="s">
        <v>486</v>
      </c>
      <c r="D304" s="46" t="s">
        <v>1459</v>
      </c>
      <c r="E304" s="46" t="s">
        <v>466</v>
      </c>
      <c r="F304" s="46">
        <v>3500</v>
      </c>
      <c r="G304" s="46" t="s">
        <v>131</v>
      </c>
      <c r="H304" s="46"/>
      <c r="I304" s="63">
        <v>1831.75</v>
      </c>
      <c r="J304" s="51">
        <v>0</v>
      </c>
      <c r="K304" s="51">
        <f t="shared" si="67"/>
        <v>1831.75</v>
      </c>
      <c r="L304" s="51">
        <v>11000</v>
      </c>
      <c r="M304" s="51">
        <v>0</v>
      </c>
      <c r="N304" s="51">
        <f t="shared" si="66"/>
        <v>11000</v>
      </c>
      <c r="O304" s="51">
        <v>0</v>
      </c>
      <c r="P304" s="179" t="s">
        <v>1795</v>
      </c>
      <c r="Q304" s="179" t="s">
        <v>1426</v>
      </c>
      <c r="R304" s="179" t="s">
        <v>2131</v>
      </c>
      <c r="S304" s="55" t="s">
        <v>1830</v>
      </c>
      <c r="T304" s="54">
        <f>+I304</f>
        <v>1831.75</v>
      </c>
      <c r="U304" s="54"/>
      <c r="AA304">
        <f t="shared" si="58"/>
        <v>3500</v>
      </c>
      <c r="AD304" t="str">
        <f t="shared" si="59"/>
        <v>314</v>
      </c>
      <c r="AE304">
        <f t="shared" si="60"/>
        <v>0</v>
      </c>
      <c r="AG304" s="50" t="str">
        <f t="shared" si="61"/>
        <v>BATI. COMM ENTRETIEN COMMUNAL</v>
      </c>
      <c r="AH304" s="244" t="str">
        <f t="shared" si="62"/>
        <v>02901</v>
      </c>
      <c r="AI304" s="219"/>
      <c r="AJ304" s="219"/>
      <c r="AK304" s="219" t="str">
        <f t="shared" si="63"/>
        <v>3101</v>
      </c>
      <c r="AL304" s="244" t="str">
        <f t="shared" si="64"/>
        <v>00</v>
      </c>
      <c r="AN304" s="219" t="str">
        <f t="shared" si="65"/>
        <v>Matériel d'exploitation, petites fournitures</v>
      </c>
    </row>
    <row r="305" spans="1:40" ht="15" customHeight="1" x14ac:dyDescent="0.3">
      <c r="A305" s="48">
        <v>0</v>
      </c>
      <c r="B305" s="49" t="s">
        <v>487</v>
      </c>
      <c r="C305" s="50" t="s">
        <v>488</v>
      </c>
      <c r="D305" s="46" t="s">
        <v>1459</v>
      </c>
      <c r="E305" s="46" t="s">
        <v>466</v>
      </c>
      <c r="F305" s="46">
        <v>3500</v>
      </c>
      <c r="G305" s="46" t="s">
        <v>131</v>
      </c>
      <c r="H305" s="46">
        <v>1</v>
      </c>
      <c r="I305" s="51">
        <v>0</v>
      </c>
      <c r="J305" s="51">
        <v>0</v>
      </c>
      <c r="K305" s="51">
        <f t="shared" si="67"/>
        <v>0</v>
      </c>
      <c r="L305" s="51">
        <v>0</v>
      </c>
      <c r="M305" s="51">
        <v>0</v>
      </c>
      <c r="N305" s="51">
        <f t="shared" si="66"/>
        <v>0</v>
      </c>
      <c r="O305" s="51">
        <v>0</v>
      </c>
      <c r="P305" s="179" t="s">
        <v>1489</v>
      </c>
      <c r="Q305" s="179" t="s">
        <v>1489</v>
      </c>
      <c r="R305" s="179" t="s">
        <v>1489</v>
      </c>
      <c r="S305" s="47"/>
      <c r="T305" s="54"/>
      <c r="U305" s="54"/>
      <c r="AA305">
        <f t="shared" si="58"/>
        <v>3500</v>
      </c>
      <c r="AD305" t="str">
        <f t="shared" si="59"/>
        <v>314</v>
      </c>
      <c r="AE305">
        <f t="shared" si="60"/>
        <v>1</v>
      </c>
      <c r="AG305" s="50" t="str">
        <f t="shared" si="61"/>
        <v>BATI. COMM CONTRATS ENTRETIEN BÂT</v>
      </c>
      <c r="AH305" s="244" t="str">
        <f t="shared" si="62"/>
        <v>-</v>
      </c>
      <c r="AI305" s="219"/>
      <c r="AJ305" s="219"/>
      <c r="AK305" s="219" t="str">
        <f t="shared" si="63"/>
        <v>-</v>
      </c>
      <c r="AL305" s="244" t="str">
        <f t="shared" si="64"/>
        <v>-</v>
      </c>
      <c r="AN305" s="219">
        <f t="shared" si="65"/>
        <v>0</v>
      </c>
    </row>
    <row r="306" spans="1:40" ht="15" customHeight="1" x14ac:dyDescent="0.3">
      <c r="A306" s="48">
        <v>0</v>
      </c>
      <c r="B306" s="74" t="s">
        <v>489</v>
      </c>
      <c r="C306" s="67" t="s">
        <v>490</v>
      </c>
      <c r="D306" s="188" t="s">
        <v>1459</v>
      </c>
      <c r="E306" s="188" t="s">
        <v>466</v>
      </c>
      <c r="F306" s="46">
        <v>3500</v>
      </c>
      <c r="G306" s="188" t="s">
        <v>131</v>
      </c>
      <c r="H306" s="188">
        <v>2</v>
      </c>
      <c r="I306" s="51">
        <v>33237.19</v>
      </c>
      <c r="J306" s="51">
        <v>0</v>
      </c>
      <c r="K306" s="51">
        <f t="shared" si="67"/>
        <v>33237.19</v>
      </c>
      <c r="L306" s="51">
        <v>20000</v>
      </c>
      <c r="M306" s="51">
        <v>0</v>
      </c>
      <c r="N306" s="51">
        <f t="shared" si="66"/>
        <v>20000</v>
      </c>
      <c r="O306" s="51">
        <v>0</v>
      </c>
      <c r="P306" s="179" t="s">
        <v>1798</v>
      </c>
      <c r="Q306" s="179" t="s">
        <v>1504</v>
      </c>
      <c r="R306" s="179" t="s">
        <v>2131</v>
      </c>
      <c r="S306" s="57" t="s">
        <v>2177</v>
      </c>
      <c r="T306" s="54">
        <f>+I306</f>
        <v>33237.19</v>
      </c>
      <c r="U306" s="54"/>
      <c r="AA306">
        <f t="shared" si="58"/>
        <v>3500</v>
      </c>
      <c r="AD306" t="str">
        <f t="shared" si="59"/>
        <v>314</v>
      </c>
      <c r="AE306">
        <f t="shared" si="60"/>
        <v>2</v>
      </c>
      <c r="AG306" s="50" t="str">
        <f t="shared" si="61"/>
        <v>BATI. COMM DECPTE CHARGES REGIE SPG - VALAUR SA</v>
      </c>
      <c r="AH306" s="244" t="str">
        <f t="shared" si="62"/>
        <v>96301</v>
      </c>
      <c r="AI306" s="219"/>
      <c r="AJ306" s="219"/>
      <c r="AK306" s="219" t="str">
        <f t="shared" si="63"/>
        <v>3439</v>
      </c>
      <c r="AL306" s="244" t="str">
        <f t="shared" si="64"/>
        <v>00</v>
      </c>
      <c r="AN306" s="219" t="str">
        <f t="shared" si="65"/>
        <v>Autres charges de biens-fonds PF  | Maison Gothique / Village 3 | Assurances</v>
      </c>
    </row>
    <row r="307" spans="1:40" ht="15" customHeight="1" x14ac:dyDescent="0.3">
      <c r="A307" s="48"/>
      <c r="B307" s="74" t="s">
        <v>489</v>
      </c>
      <c r="C307" s="67" t="s">
        <v>490</v>
      </c>
      <c r="D307" s="188" t="s">
        <v>1459</v>
      </c>
      <c r="E307" s="188" t="s">
        <v>466</v>
      </c>
      <c r="F307" s="46">
        <v>3500</v>
      </c>
      <c r="G307" s="188" t="s">
        <v>131</v>
      </c>
      <c r="H307" s="188">
        <v>2</v>
      </c>
      <c r="I307" s="51"/>
      <c r="J307" s="51"/>
      <c r="K307" s="51">
        <f t="shared" si="67"/>
        <v>0</v>
      </c>
      <c r="L307" s="51"/>
      <c r="M307" s="51"/>
      <c r="N307" s="51">
        <f t="shared" si="66"/>
        <v>0</v>
      </c>
      <c r="O307" s="51"/>
      <c r="P307" s="179" t="s">
        <v>1798</v>
      </c>
      <c r="Q307" s="179" t="s">
        <v>1504</v>
      </c>
      <c r="R307" s="179" t="s">
        <v>2132</v>
      </c>
      <c r="S307" s="57" t="s">
        <v>2179</v>
      </c>
      <c r="T307" s="54"/>
      <c r="U307" s="54"/>
      <c r="AA307">
        <f t="shared" si="58"/>
        <v>3500</v>
      </c>
      <c r="AD307" t="str">
        <f t="shared" si="59"/>
        <v>314</v>
      </c>
      <c r="AE307">
        <f t="shared" si="60"/>
        <v>2</v>
      </c>
      <c r="AG307" s="50" t="str">
        <f t="shared" si="61"/>
        <v>BATI. COMM DECPTE CHARGES REGIE SPG - VALAUR SA</v>
      </c>
      <c r="AH307" s="244" t="str">
        <f t="shared" si="62"/>
        <v>96301</v>
      </c>
      <c r="AI307" s="219"/>
      <c r="AJ307" s="219"/>
      <c r="AK307" s="219" t="str">
        <f t="shared" si="63"/>
        <v>3439</v>
      </c>
      <c r="AL307" s="244" t="str">
        <f t="shared" si="64"/>
        <v>01</v>
      </c>
      <c r="AN307" s="219" t="str">
        <f t="shared" si="65"/>
        <v>Autres charges de biens-fonds PF| Maison Gothique / Village 3 |  Eau</v>
      </c>
    </row>
    <row r="308" spans="1:40" ht="15" customHeight="1" x14ac:dyDescent="0.3">
      <c r="A308" s="48"/>
      <c r="B308" s="74" t="s">
        <v>489</v>
      </c>
      <c r="C308" s="67" t="s">
        <v>490</v>
      </c>
      <c r="D308" s="188" t="s">
        <v>1459</v>
      </c>
      <c r="E308" s="188" t="s">
        <v>466</v>
      </c>
      <c r="F308" s="46">
        <v>3500</v>
      </c>
      <c r="G308" s="188" t="s">
        <v>131</v>
      </c>
      <c r="H308" s="188">
        <v>2</v>
      </c>
      <c r="I308" s="51"/>
      <c r="J308" s="51"/>
      <c r="K308" s="51">
        <f t="shared" si="67"/>
        <v>0</v>
      </c>
      <c r="L308" s="51"/>
      <c r="M308" s="51"/>
      <c r="N308" s="51">
        <f t="shared" si="66"/>
        <v>0</v>
      </c>
      <c r="O308" s="51"/>
      <c r="P308" s="179" t="s">
        <v>1798</v>
      </c>
      <c r="Q308" s="179" t="s">
        <v>1504</v>
      </c>
      <c r="R308" s="179" t="s">
        <v>2133</v>
      </c>
      <c r="S308" s="57" t="s">
        <v>2178</v>
      </c>
      <c r="T308" s="54"/>
      <c r="U308" s="54"/>
      <c r="AA308">
        <f t="shared" si="58"/>
        <v>3500</v>
      </c>
      <c r="AD308" t="str">
        <f t="shared" si="59"/>
        <v>314</v>
      </c>
      <c r="AE308">
        <f t="shared" si="60"/>
        <v>2</v>
      </c>
      <c r="AG308" s="50" t="str">
        <f t="shared" si="61"/>
        <v>BATI. COMM DECPTE CHARGES REGIE SPG - VALAUR SA</v>
      </c>
      <c r="AH308" s="244" t="str">
        <f t="shared" si="62"/>
        <v>96301</v>
      </c>
      <c r="AI308" s="219"/>
      <c r="AJ308" s="219"/>
      <c r="AK308" s="219" t="str">
        <f t="shared" si="63"/>
        <v>3439</v>
      </c>
      <c r="AL308" s="244" t="str">
        <f t="shared" si="64"/>
        <v>02</v>
      </c>
      <c r="AN308" s="219" t="str">
        <f t="shared" si="65"/>
        <v>Autres charges de biens-fonds PF | Maison Gothique / Village 3 | Electricité</v>
      </c>
    </row>
    <row r="309" spans="1:40" ht="15" customHeight="1" x14ac:dyDescent="0.3">
      <c r="A309" s="48"/>
      <c r="B309" s="74" t="s">
        <v>489</v>
      </c>
      <c r="C309" s="67" t="s">
        <v>490</v>
      </c>
      <c r="D309" s="188" t="s">
        <v>1459</v>
      </c>
      <c r="E309" s="188" t="s">
        <v>466</v>
      </c>
      <c r="F309" s="46">
        <v>3500</v>
      </c>
      <c r="G309" s="188" t="s">
        <v>131</v>
      </c>
      <c r="H309" s="188">
        <v>2</v>
      </c>
      <c r="I309" s="51"/>
      <c r="J309" s="51"/>
      <c r="K309" s="51">
        <f t="shared" si="67"/>
        <v>0</v>
      </c>
      <c r="L309" s="51"/>
      <c r="M309" s="51"/>
      <c r="N309" s="51">
        <f t="shared" si="66"/>
        <v>0</v>
      </c>
      <c r="O309" s="51"/>
      <c r="P309" s="179" t="s">
        <v>1798</v>
      </c>
      <c r="Q309" s="179" t="s">
        <v>1504</v>
      </c>
      <c r="R309" s="179" t="s">
        <v>2134</v>
      </c>
      <c r="S309" s="57" t="s">
        <v>2180</v>
      </c>
      <c r="T309" s="54"/>
      <c r="U309" s="54"/>
      <c r="AA309">
        <f t="shared" si="58"/>
        <v>3500</v>
      </c>
      <c r="AD309" t="str">
        <f t="shared" si="59"/>
        <v>314</v>
      </c>
      <c r="AE309">
        <f t="shared" si="60"/>
        <v>2</v>
      </c>
      <c r="AG309" s="50" t="str">
        <f t="shared" si="61"/>
        <v>BATI. COMM DECPTE CHARGES REGIE SPG - VALAUR SA</v>
      </c>
      <c r="AH309" s="244" t="str">
        <f t="shared" si="62"/>
        <v>96301</v>
      </c>
      <c r="AI309" s="219"/>
      <c r="AJ309" s="219"/>
      <c r="AK309" s="219" t="str">
        <f t="shared" si="63"/>
        <v>3439</v>
      </c>
      <c r="AL309" s="244" t="str">
        <f t="shared" si="64"/>
        <v>03</v>
      </c>
      <c r="AN309" s="219" t="str">
        <f t="shared" si="65"/>
        <v>Autres charges de biens-fonds PF | Maison Gothique / Village 3 | Chauffage</v>
      </c>
    </row>
    <row r="310" spans="1:40" ht="15" customHeight="1" x14ac:dyDescent="0.3">
      <c r="A310" s="48"/>
      <c r="B310" s="74" t="s">
        <v>489</v>
      </c>
      <c r="C310" s="67" t="s">
        <v>490</v>
      </c>
      <c r="D310" s="188" t="s">
        <v>1459</v>
      </c>
      <c r="E310" s="188" t="s">
        <v>466</v>
      </c>
      <c r="F310" s="46">
        <v>3500</v>
      </c>
      <c r="G310" s="188" t="s">
        <v>131</v>
      </c>
      <c r="H310" s="188">
        <v>2</v>
      </c>
      <c r="I310" s="51"/>
      <c r="J310" s="51"/>
      <c r="K310" s="51">
        <f t="shared" si="67"/>
        <v>0</v>
      </c>
      <c r="L310" s="51"/>
      <c r="M310" s="51"/>
      <c r="N310" s="51">
        <f t="shared" si="66"/>
        <v>0</v>
      </c>
      <c r="O310" s="51"/>
      <c r="P310" s="179" t="s">
        <v>1798</v>
      </c>
      <c r="Q310" s="179" t="s">
        <v>1504</v>
      </c>
      <c r="R310" s="179" t="s">
        <v>2135</v>
      </c>
      <c r="S310" s="57" t="s">
        <v>2181</v>
      </c>
      <c r="T310" s="54"/>
      <c r="U310" s="54"/>
      <c r="AA310">
        <f t="shared" si="58"/>
        <v>3500</v>
      </c>
      <c r="AD310" t="str">
        <f t="shared" si="59"/>
        <v>314</v>
      </c>
      <c r="AE310">
        <f t="shared" si="60"/>
        <v>2</v>
      </c>
      <c r="AG310" s="50" t="str">
        <f t="shared" si="61"/>
        <v>BATI. COMM DECPTE CHARGES REGIE SPG - VALAUR SA</v>
      </c>
      <c r="AH310" s="244" t="str">
        <f t="shared" si="62"/>
        <v>96301</v>
      </c>
      <c r="AI310" s="219"/>
      <c r="AJ310" s="219"/>
      <c r="AK310" s="219" t="str">
        <f t="shared" si="63"/>
        <v>3439</v>
      </c>
      <c r="AL310" s="244" t="str">
        <f t="shared" si="64"/>
        <v>04</v>
      </c>
      <c r="AN310" s="219" t="str">
        <f t="shared" si="65"/>
        <v>Autres charges de biens-fonds PF | Maison Gothique / Village 3 | Frais de gérance</v>
      </c>
    </row>
    <row r="311" spans="1:40" ht="15" customHeight="1" x14ac:dyDescent="0.3">
      <c r="A311" s="48"/>
      <c r="B311" s="74" t="s">
        <v>489</v>
      </c>
      <c r="C311" s="67" t="s">
        <v>490</v>
      </c>
      <c r="D311" s="188" t="s">
        <v>1459</v>
      </c>
      <c r="E311" s="188" t="s">
        <v>466</v>
      </c>
      <c r="F311" s="46">
        <v>3500</v>
      </c>
      <c r="G311" s="188" t="s">
        <v>131</v>
      </c>
      <c r="H311" s="188">
        <v>2</v>
      </c>
      <c r="I311" s="51"/>
      <c r="J311" s="51"/>
      <c r="K311" s="51">
        <f t="shared" si="67"/>
        <v>0</v>
      </c>
      <c r="L311" s="51"/>
      <c r="M311" s="51"/>
      <c r="N311" s="51">
        <f t="shared" si="66"/>
        <v>0</v>
      </c>
      <c r="O311" s="51"/>
      <c r="P311" s="179" t="s">
        <v>1798</v>
      </c>
      <c r="Q311" s="179" t="s">
        <v>1504</v>
      </c>
      <c r="R311" s="179" t="s">
        <v>2137</v>
      </c>
      <c r="S311" s="57" t="s">
        <v>2182</v>
      </c>
      <c r="T311" s="54"/>
      <c r="U311" s="54"/>
      <c r="AA311">
        <f t="shared" si="58"/>
        <v>3500</v>
      </c>
      <c r="AD311" t="str">
        <f t="shared" si="59"/>
        <v>314</v>
      </c>
      <c r="AE311">
        <f t="shared" si="60"/>
        <v>2</v>
      </c>
      <c r="AG311" s="50" t="str">
        <f t="shared" si="61"/>
        <v>BATI. COMM DECPTE CHARGES REGIE SPG - VALAUR SA</v>
      </c>
      <c r="AH311" s="244" t="str">
        <f t="shared" si="62"/>
        <v>96301</v>
      </c>
      <c r="AI311" s="219"/>
      <c r="AJ311" s="219"/>
      <c r="AK311" s="219" t="str">
        <f t="shared" si="63"/>
        <v>3439</v>
      </c>
      <c r="AL311" s="244" t="str">
        <f t="shared" si="64"/>
        <v>07</v>
      </c>
      <c r="AN311" s="219" t="str">
        <f t="shared" si="65"/>
        <v>Autres charges de biens-fonds PF | Maison Gothique / Village 3 | Achat mobilier</v>
      </c>
    </row>
    <row r="312" spans="1:40" ht="15" customHeight="1" x14ac:dyDescent="0.3">
      <c r="A312" s="48"/>
      <c r="B312" s="74" t="s">
        <v>489</v>
      </c>
      <c r="C312" s="67" t="s">
        <v>490</v>
      </c>
      <c r="D312" s="188" t="s">
        <v>1459</v>
      </c>
      <c r="E312" s="188" t="s">
        <v>466</v>
      </c>
      <c r="F312" s="46">
        <v>3500</v>
      </c>
      <c r="G312" s="188" t="s">
        <v>131</v>
      </c>
      <c r="H312" s="188">
        <v>2</v>
      </c>
      <c r="I312" s="51"/>
      <c r="J312" s="51"/>
      <c r="K312" s="51">
        <f t="shared" si="67"/>
        <v>0</v>
      </c>
      <c r="L312" s="51"/>
      <c r="M312" s="51"/>
      <c r="N312" s="51">
        <f t="shared" si="66"/>
        <v>0</v>
      </c>
      <c r="O312" s="51"/>
      <c r="P312" s="179" t="s">
        <v>1798</v>
      </c>
      <c r="Q312" s="179" t="s">
        <v>1822</v>
      </c>
      <c r="R312" s="179" t="s">
        <v>2131</v>
      </c>
      <c r="S312" s="57" t="s">
        <v>2183</v>
      </c>
      <c r="T312" s="54"/>
      <c r="U312" s="54"/>
      <c r="AA312">
        <f t="shared" si="58"/>
        <v>3500</v>
      </c>
      <c r="AD312" t="str">
        <f t="shared" si="59"/>
        <v>314</v>
      </c>
      <c r="AE312">
        <f t="shared" si="60"/>
        <v>2</v>
      </c>
      <c r="AG312" s="50" t="str">
        <f t="shared" si="61"/>
        <v>BATI. COMM DECPTE CHARGES REGIE SPG - VALAUR SA</v>
      </c>
      <c r="AH312" s="244" t="str">
        <f t="shared" si="62"/>
        <v>96301</v>
      </c>
      <c r="AI312" s="219"/>
      <c r="AJ312" s="219"/>
      <c r="AK312" s="219" t="str">
        <f t="shared" si="63"/>
        <v>3430</v>
      </c>
      <c r="AL312" s="244" t="str">
        <f t="shared" si="64"/>
        <v>00</v>
      </c>
      <c r="AN312" s="219" t="str">
        <f t="shared" si="65"/>
        <v>Tavaux Ponctuels, biens-fonds PF | Maison Gothique / Village 3 |</v>
      </c>
    </row>
    <row r="313" spans="1:40" ht="15" customHeight="1" x14ac:dyDescent="0.3">
      <c r="A313" s="48"/>
      <c r="B313" s="74" t="s">
        <v>489</v>
      </c>
      <c r="C313" s="67" t="s">
        <v>490</v>
      </c>
      <c r="D313" s="188" t="s">
        <v>1459</v>
      </c>
      <c r="E313" s="188" t="s">
        <v>466</v>
      </c>
      <c r="F313" s="46">
        <v>3500</v>
      </c>
      <c r="G313" s="188" t="s">
        <v>131</v>
      </c>
      <c r="H313" s="188">
        <v>2</v>
      </c>
      <c r="I313" s="51"/>
      <c r="J313" s="51"/>
      <c r="K313" s="51">
        <f t="shared" si="67"/>
        <v>0</v>
      </c>
      <c r="L313" s="51"/>
      <c r="M313" s="51"/>
      <c r="N313" s="51">
        <f t="shared" si="66"/>
        <v>0</v>
      </c>
      <c r="O313" s="51"/>
      <c r="P313" s="179" t="s">
        <v>1798</v>
      </c>
      <c r="Q313" s="179" t="s">
        <v>1812</v>
      </c>
      <c r="R313" s="179" t="s">
        <v>2131</v>
      </c>
      <c r="S313" s="57" t="s">
        <v>2184</v>
      </c>
      <c r="T313" s="54"/>
      <c r="U313" s="54"/>
      <c r="AA313">
        <f t="shared" si="58"/>
        <v>3500</v>
      </c>
      <c r="AD313" t="str">
        <f t="shared" si="59"/>
        <v>314</v>
      </c>
      <c r="AE313">
        <f t="shared" si="60"/>
        <v>2</v>
      </c>
      <c r="AG313" s="50" t="str">
        <f t="shared" si="61"/>
        <v>BATI. COMM DECPTE CHARGES REGIE SPG - VALAUR SA</v>
      </c>
      <c r="AH313" s="244" t="str">
        <f t="shared" si="62"/>
        <v>96301</v>
      </c>
      <c r="AI313" s="219"/>
      <c r="AJ313" s="219"/>
      <c r="AK313" s="219" t="str">
        <f t="shared" si="63"/>
        <v>3431</v>
      </c>
      <c r="AL313" s="244" t="str">
        <f t="shared" si="64"/>
        <v>00</v>
      </c>
      <c r="AN313" s="219" t="str">
        <f t="shared" si="65"/>
        <v>Entretien courant, biens-fonds PF | Maison Gothique / Village 3 |</v>
      </c>
    </row>
    <row r="314" spans="1:40" ht="15" customHeight="1" x14ac:dyDescent="0.3">
      <c r="A314" s="48">
        <v>0</v>
      </c>
      <c r="B314" s="49" t="s">
        <v>491</v>
      </c>
      <c r="C314" s="50" t="s">
        <v>1998</v>
      </c>
      <c r="D314" s="46" t="s">
        <v>1459</v>
      </c>
      <c r="E314" s="46" t="s">
        <v>466</v>
      </c>
      <c r="F314" s="46">
        <v>3500</v>
      </c>
      <c r="G314" s="46" t="s">
        <v>131</v>
      </c>
      <c r="H314" s="46">
        <v>3</v>
      </c>
      <c r="I314" s="51">
        <v>0</v>
      </c>
      <c r="J314" s="51">
        <v>0</v>
      </c>
      <c r="K314" s="51">
        <f t="shared" si="67"/>
        <v>0</v>
      </c>
      <c r="L314" s="51">
        <v>0</v>
      </c>
      <c r="M314" s="51">
        <v>0</v>
      </c>
      <c r="N314" s="51">
        <f t="shared" si="66"/>
        <v>0</v>
      </c>
      <c r="O314" s="51">
        <v>0</v>
      </c>
      <c r="P314" s="179" t="s">
        <v>1797</v>
      </c>
      <c r="Q314" s="179" t="s">
        <v>1812</v>
      </c>
      <c r="R314" s="179" t="s">
        <v>2131</v>
      </c>
      <c r="S314" s="4" t="s">
        <v>2250</v>
      </c>
      <c r="T314" s="54"/>
      <c r="U314" s="54"/>
      <c r="AA314">
        <f t="shared" si="58"/>
        <v>3500</v>
      </c>
      <c r="AD314" t="str">
        <f t="shared" si="59"/>
        <v>314</v>
      </c>
      <c r="AE314">
        <f t="shared" si="60"/>
        <v>3</v>
      </c>
      <c r="AG314" s="50" t="str">
        <f t="shared" si="61"/>
        <v>Stand de Tir - Frais entretien courants (convention)</v>
      </c>
      <c r="AH314" s="244" t="str">
        <f t="shared" si="62"/>
        <v>16100</v>
      </c>
      <c r="AI314" s="219"/>
      <c r="AJ314" s="219"/>
      <c r="AK314" s="219" t="str">
        <f t="shared" si="63"/>
        <v>3431</v>
      </c>
      <c r="AL314" s="244" t="str">
        <f t="shared" si="64"/>
        <v>00</v>
      </c>
      <c r="AN314" s="219" t="str">
        <f t="shared" si="65"/>
        <v>Entretien courant, biens-fonds PF | Sand de tir |</v>
      </c>
    </row>
    <row r="315" spans="1:40" ht="15" customHeight="1" x14ac:dyDescent="0.3">
      <c r="A315" s="48">
        <v>0</v>
      </c>
      <c r="B315" s="49" t="s">
        <v>492</v>
      </c>
      <c r="C315" s="50" t="s">
        <v>1999</v>
      </c>
      <c r="D315" s="46" t="s">
        <v>1459</v>
      </c>
      <c r="E315" s="46" t="s">
        <v>466</v>
      </c>
      <c r="F315" s="46">
        <v>3500</v>
      </c>
      <c r="G315" s="46" t="s">
        <v>131</v>
      </c>
      <c r="H315" s="46">
        <v>4</v>
      </c>
      <c r="I315" s="51">
        <v>0</v>
      </c>
      <c r="J315" s="51">
        <v>0</v>
      </c>
      <c r="K315" s="51">
        <f t="shared" si="67"/>
        <v>0</v>
      </c>
      <c r="L315" s="51">
        <v>0</v>
      </c>
      <c r="M315" s="51">
        <v>0</v>
      </c>
      <c r="N315" s="51">
        <f t="shared" si="66"/>
        <v>0</v>
      </c>
      <c r="O315" s="51">
        <v>0</v>
      </c>
      <c r="P315" s="179" t="s">
        <v>1797</v>
      </c>
      <c r="Q315" s="179" t="s">
        <v>1822</v>
      </c>
      <c r="R315" s="179" t="s">
        <v>2131</v>
      </c>
      <c r="S315" s="4" t="s">
        <v>2251</v>
      </c>
      <c r="T315" s="54"/>
      <c r="U315" s="54"/>
      <c r="AA315">
        <f t="shared" si="58"/>
        <v>3500</v>
      </c>
      <c r="AD315" t="str">
        <f t="shared" si="59"/>
        <v>314</v>
      </c>
      <c r="AE315">
        <f t="shared" si="60"/>
        <v>4</v>
      </c>
      <c r="AG315" s="50" t="str">
        <f t="shared" si="61"/>
        <v>Stand de tir - Frais entretien ponctuels (convention)</v>
      </c>
      <c r="AH315" s="244" t="str">
        <f t="shared" si="62"/>
        <v>16100</v>
      </c>
      <c r="AI315" s="219"/>
      <c r="AJ315" s="219"/>
      <c r="AK315" s="219" t="str">
        <f t="shared" si="63"/>
        <v>3430</v>
      </c>
      <c r="AL315" s="244" t="str">
        <f t="shared" si="64"/>
        <v>00</v>
      </c>
      <c r="AN315" s="219" t="str">
        <f t="shared" si="65"/>
        <v>Tavaux Ponctuels, biens-fonds PF | Stand de tir |</v>
      </c>
    </row>
    <row r="316" spans="1:40" ht="15" customHeight="1" x14ac:dyDescent="0.3">
      <c r="A316" s="48">
        <v>0</v>
      </c>
      <c r="B316" s="49" t="s">
        <v>493</v>
      </c>
      <c r="C316" s="50" t="s">
        <v>494</v>
      </c>
      <c r="D316" s="46" t="s">
        <v>1459</v>
      </c>
      <c r="E316" s="46" t="s">
        <v>466</v>
      </c>
      <c r="F316" s="46">
        <v>3500</v>
      </c>
      <c r="G316" s="46" t="s">
        <v>123</v>
      </c>
      <c r="H316" s="46"/>
      <c r="I316" s="51">
        <v>2051.15</v>
      </c>
      <c r="J316" s="51">
        <v>0</v>
      </c>
      <c r="K316" s="51">
        <f t="shared" si="67"/>
        <v>2051.15</v>
      </c>
      <c r="L316" s="51">
        <v>9300</v>
      </c>
      <c r="M316" s="51">
        <v>0</v>
      </c>
      <c r="N316" s="51">
        <f t="shared" si="66"/>
        <v>9300</v>
      </c>
      <c r="O316" s="51">
        <v>8553.57</v>
      </c>
      <c r="P316" s="179" t="s">
        <v>1795</v>
      </c>
      <c r="Q316" s="179" t="s">
        <v>1678</v>
      </c>
      <c r="R316" s="179" t="s">
        <v>2131</v>
      </c>
      <c r="S316" s="57" t="s">
        <v>2027</v>
      </c>
      <c r="T316" s="54">
        <f>+I316</f>
        <v>2051.15</v>
      </c>
      <c r="U316" s="54"/>
      <c r="AA316">
        <f t="shared" si="58"/>
        <v>3500</v>
      </c>
      <c r="AD316" t="str">
        <f t="shared" si="59"/>
        <v>315</v>
      </c>
      <c r="AE316">
        <f t="shared" si="60"/>
        <v>0</v>
      </c>
      <c r="AG316" s="50" t="str">
        <f t="shared" si="61"/>
        <v>BATI. COMM ENT MOBILIER INST TECH COMMUNAL</v>
      </c>
      <c r="AH316" s="244" t="str">
        <f t="shared" si="62"/>
        <v>02901</v>
      </c>
      <c r="AI316" s="219"/>
      <c r="AJ316" s="219"/>
      <c r="AK316" s="219" t="str">
        <f t="shared" si="63"/>
        <v>3144</v>
      </c>
      <c r="AL316" s="244" t="str">
        <f t="shared" si="64"/>
        <v>00</v>
      </c>
      <c r="AN316" s="219" t="str">
        <f t="shared" si="65"/>
        <v>Entretien des bâtiments, immeubles PA - Bâtiment communaux</v>
      </c>
    </row>
    <row r="317" spans="1:40" ht="15" customHeight="1" x14ac:dyDescent="0.3">
      <c r="A317" s="48">
        <v>0</v>
      </c>
      <c r="B317" s="49" t="s">
        <v>495</v>
      </c>
      <c r="C317" s="50" t="s">
        <v>496</v>
      </c>
      <c r="D317" s="46" t="s">
        <v>1459</v>
      </c>
      <c r="E317" s="46" t="s">
        <v>466</v>
      </c>
      <c r="F317" s="46">
        <v>3500</v>
      </c>
      <c r="G317" s="46" t="s">
        <v>123</v>
      </c>
      <c r="H317" s="46">
        <v>1</v>
      </c>
      <c r="I317" s="51">
        <v>10688.95</v>
      </c>
      <c r="J317" s="51">
        <v>0</v>
      </c>
      <c r="K317" s="51">
        <f t="shared" si="67"/>
        <v>10688.95</v>
      </c>
      <c r="L317" s="51">
        <v>11700</v>
      </c>
      <c r="M317" s="51">
        <v>0</v>
      </c>
      <c r="N317" s="51">
        <f t="shared" si="66"/>
        <v>11700</v>
      </c>
      <c r="O317" s="51">
        <v>10688.95</v>
      </c>
      <c r="P317" s="179" t="s">
        <v>1795</v>
      </c>
      <c r="Q317" s="179" t="s">
        <v>1678</v>
      </c>
      <c r="R317" s="179" t="s">
        <v>2131</v>
      </c>
      <c r="S317" s="57" t="s">
        <v>2027</v>
      </c>
      <c r="T317" s="54">
        <f>+I317</f>
        <v>10688.95</v>
      </c>
      <c r="U317" s="54"/>
      <c r="AA317">
        <f t="shared" si="58"/>
        <v>3500</v>
      </c>
      <c r="AD317" t="str">
        <f t="shared" si="59"/>
        <v>315</v>
      </c>
      <c r="AE317">
        <f t="shared" si="60"/>
        <v>1</v>
      </c>
      <c r="AG317" s="50" t="str">
        <f t="shared" si="61"/>
        <v>BATI. COMM CONTRATS ENT INST TECH COMMUNAL</v>
      </c>
      <c r="AH317" s="244" t="str">
        <f t="shared" si="62"/>
        <v>02901</v>
      </c>
      <c r="AI317" s="219"/>
      <c r="AJ317" s="219"/>
      <c r="AK317" s="219" t="str">
        <f t="shared" si="63"/>
        <v>3144</v>
      </c>
      <c r="AL317" s="244" t="str">
        <f t="shared" si="64"/>
        <v>00</v>
      </c>
      <c r="AN317" s="219" t="str">
        <f t="shared" si="65"/>
        <v>Entretien des bâtiments, immeubles PA - Bâtiment communaux</v>
      </c>
    </row>
    <row r="318" spans="1:40" ht="15" customHeight="1" x14ac:dyDescent="0.3">
      <c r="A318" s="48">
        <v>0</v>
      </c>
      <c r="B318" s="74" t="s">
        <v>497</v>
      </c>
      <c r="C318" s="67" t="s">
        <v>498</v>
      </c>
      <c r="D318" s="188" t="s">
        <v>1459</v>
      </c>
      <c r="E318" s="188" t="s">
        <v>466</v>
      </c>
      <c r="F318" s="46">
        <v>3500</v>
      </c>
      <c r="G318" s="188" t="s">
        <v>48</v>
      </c>
      <c r="H318" s="188"/>
      <c r="I318" s="51">
        <v>20132.7</v>
      </c>
      <c r="J318" s="51">
        <v>0</v>
      </c>
      <c r="K318" s="51">
        <f t="shared" si="67"/>
        <v>20132.7</v>
      </c>
      <c r="L318" s="51">
        <v>16500</v>
      </c>
      <c r="M318" s="51">
        <v>0</v>
      </c>
      <c r="N318" s="51">
        <f t="shared" si="66"/>
        <v>16500</v>
      </c>
      <c r="O318" s="51">
        <v>17798.849999999999</v>
      </c>
      <c r="P318" s="179" t="s">
        <v>1795</v>
      </c>
      <c r="Q318" s="179" t="s">
        <v>1418</v>
      </c>
      <c r="R318" s="179" t="s">
        <v>2131</v>
      </c>
      <c r="S318" s="55" t="s">
        <v>1829</v>
      </c>
      <c r="T318" s="54">
        <f>+I318</f>
        <v>20132.7</v>
      </c>
      <c r="U318" s="54"/>
      <c r="W318" t="s">
        <v>1834</v>
      </c>
      <c r="AA318">
        <f t="shared" si="58"/>
        <v>3500</v>
      </c>
      <c r="AD318" t="str">
        <f t="shared" si="59"/>
        <v>318</v>
      </c>
      <c r="AE318">
        <f t="shared" si="60"/>
        <v>0</v>
      </c>
      <c r="AG318" s="50" t="str">
        <f t="shared" si="61"/>
        <v>BATI. COMM PREST ASS et HONORAIRES COMMUNAL</v>
      </c>
      <c r="AH318" s="244" t="str">
        <f t="shared" si="62"/>
        <v>02901</v>
      </c>
      <c r="AI318" s="219"/>
      <c r="AJ318" s="219"/>
      <c r="AK318" s="219" t="str">
        <f t="shared" si="63"/>
        <v>3134</v>
      </c>
      <c r="AL318" s="244" t="str">
        <f t="shared" si="64"/>
        <v>00</v>
      </c>
      <c r="AN318" s="219" t="str">
        <f t="shared" si="65"/>
        <v>Frais Assurances</v>
      </c>
    </row>
    <row r="319" spans="1:40" ht="15" customHeight="1" x14ac:dyDescent="0.3">
      <c r="A319" s="48"/>
      <c r="B319" s="74" t="s">
        <v>497</v>
      </c>
      <c r="C319" s="67" t="s">
        <v>498</v>
      </c>
      <c r="D319" s="188" t="s">
        <v>1459</v>
      </c>
      <c r="E319" s="188" t="s">
        <v>466</v>
      </c>
      <c r="F319" s="46">
        <v>3500</v>
      </c>
      <c r="G319" s="188" t="s">
        <v>48</v>
      </c>
      <c r="H319" s="188"/>
      <c r="I319" s="51"/>
      <c r="J319" s="51"/>
      <c r="K319" s="51">
        <f t="shared" si="67"/>
        <v>0</v>
      </c>
      <c r="L319" s="51"/>
      <c r="M319" s="51"/>
      <c r="N319" s="51">
        <f t="shared" si="66"/>
        <v>0</v>
      </c>
      <c r="O319" s="51"/>
      <c r="P319" s="179" t="s">
        <v>1794</v>
      </c>
      <c r="Q319" s="179" t="s">
        <v>1418</v>
      </c>
      <c r="R319" s="179" t="s">
        <v>2131</v>
      </c>
      <c r="S319" s="55" t="s">
        <v>1829</v>
      </c>
      <c r="T319" s="54"/>
      <c r="U319" s="54"/>
      <c r="AA319">
        <f t="shared" si="58"/>
        <v>3500</v>
      </c>
      <c r="AD319" t="str">
        <f t="shared" si="59"/>
        <v>318</v>
      </c>
      <c r="AE319">
        <f t="shared" si="60"/>
        <v>0</v>
      </c>
      <c r="AG319" s="50" t="str">
        <f t="shared" si="61"/>
        <v>BATI. COMM PREST ASS et HONORAIRES COMMUNAL</v>
      </c>
      <c r="AH319" s="244" t="str">
        <f t="shared" si="62"/>
        <v>02900</v>
      </c>
      <c r="AI319" s="219"/>
      <c r="AJ319" s="219"/>
      <c r="AK319" s="219" t="str">
        <f t="shared" si="63"/>
        <v>3134</v>
      </c>
      <c r="AL319" s="244" t="str">
        <f t="shared" si="64"/>
        <v>00</v>
      </c>
      <c r="AN319" s="219" t="str">
        <f t="shared" si="65"/>
        <v>Frais Assurances</v>
      </c>
    </row>
    <row r="320" spans="1:40" ht="15" customHeight="1" x14ac:dyDescent="0.3">
      <c r="A320" s="48">
        <v>0</v>
      </c>
      <c r="B320" s="49" t="s">
        <v>499</v>
      </c>
      <c r="C320" s="50" t="s">
        <v>500</v>
      </c>
      <c r="D320" s="46" t="s">
        <v>1459</v>
      </c>
      <c r="E320" s="46" t="s">
        <v>466</v>
      </c>
      <c r="F320" s="46">
        <v>3500</v>
      </c>
      <c r="G320" s="46" t="s">
        <v>53</v>
      </c>
      <c r="H320" s="46"/>
      <c r="I320" s="51">
        <v>446935.2</v>
      </c>
      <c r="J320" s="51">
        <v>0</v>
      </c>
      <c r="K320" s="51">
        <f t="shared" si="67"/>
        <v>446935.2</v>
      </c>
      <c r="L320" s="51">
        <v>0</v>
      </c>
      <c r="M320" s="51">
        <v>0</v>
      </c>
      <c r="N320" s="51">
        <f t="shared" si="66"/>
        <v>0</v>
      </c>
      <c r="O320" s="51">
        <v>0</v>
      </c>
      <c r="P320" s="8">
        <v>96901</v>
      </c>
      <c r="Q320" s="179">
        <v>3441</v>
      </c>
      <c r="R320" s="179" t="s">
        <v>2139</v>
      </c>
      <c r="S320" s="47" t="s">
        <v>2248</v>
      </c>
      <c r="T320" s="54">
        <f>+I320</f>
        <v>446935.2</v>
      </c>
      <c r="U320" s="54"/>
      <c r="W320" t="s">
        <v>2163</v>
      </c>
      <c r="AA320">
        <f t="shared" si="58"/>
        <v>3500</v>
      </c>
      <c r="AD320" t="str">
        <f t="shared" si="59"/>
        <v>330</v>
      </c>
      <c r="AE320">
        <f t="shared" si="60"/>
        <v>0</v>
      </c>
      <c r="AG320" s="50" t="str">
        <f t="shared" si="61"/>
        <v>AMORT PATR FIN COMMUNAL</v>
      </c>
      <c r="AH320" s="244">
        <f t="shared" si="62"/>
        <v>96901</v>
      </c>
      <c r="AI320" s="219"/>
      <c r="AJ320" s="219"/>
      <c r="AK320" s="219">
        <f t="shared" si="63"/>
        <v>3441</v>
      </c>
      <c r="AL320" s="244" t="str">
        <f t="shared" si="64"/>
        <v>09</v>
      </c>
      <c r="AN320" s="219" t="str">
        <f t="shared" si="65"/>
        <v>Amortissements non planifiés des immobilisations corporelles PF | Terrains |</v>
      </c>
    </row>
    <row r="321" spans="1:40" ht="15" customHeight="1" x14ac:dyDescent="0.3">
      <c r="A321" s="48">
        <v>0</v>
      </c>
      <c r="B321" s="49" t="s">
        <v>501</v>
      </c>
      <c r="C321" s="50" t="s">
        <v>502</v>
      </c>
      <c r="D321" s="46" t="s">
        <v>1459</v>
      </c>
      <c r="E321" s="46" t="s">
        <v>466</v>
      </c>
      <c r="F321" s="46">
        <v>3500</v>
      </c>
      <c r="G321" s="46" t="s">
        <v>164</v>
      </c>
      <c r="H321" s="46"/>
      <c r="I321" s="51">
        <v>0</v>
      </c>
      <c r="J321" s="51">
        <v>0</v>
      </c>
      <c r="K321" s="51">
        <f t="shared" si="67"/>
        <v>0</v>
      </c>
      <c r="L321" s="51">
        <v>0</v>
      </c>
      <c r="M321" s="51">
        <v>0</v>
      </c>
      <c r="N321" s="51">
        <f t="shared" si="66"/>
        <v>0</v>
      </c>
      <c r="O321" s="51">
        <v>0</v>
      </c>
      <c r="P321" s="179" t="s">
        <v>1489</v>
      </c>
      <c r="Q321" s="179"/>
      <c r="R321" s="179" t="s">
        <v>1489</v>
      </c>
      <c r="S321" s="47"/>
      <c r="T321" s="54"/>
      <c r="U321" s="54"/>
      <c r="AA321">
        <f t="shared" si="58"/>
        <v>3500</v>
      </c>
      <c r="AD321" t="str">
        <f t="shared" si="59"/>
        <v>331</v>
      </c>
      <c r="AE321">
        <f t="shared" si="60"/>
        <v>0</v>
      </c>
      <c r="AG321" s="50" t="str">
        <f t="shared" si="61"/>
        <v>BATI. COMM AMORT PATR ADM COMMUNAL</v>
      </c>
      <c r="AH321" s="244" t="str">
        <f t="shared" si="62"/>
        <v>-</v>
      </c>
      <c r="AI321" s="219"/>
      <c r="AJ321" s="219"/>
      <c r="AK321" s="219">
        <f t="shared" si="63"/>
        <v>0</v>
      </c>
      <c r="AL321" s="244" t="str">
        <f t="shared" si="64"/>
        <v>-</v>
      </c>
      <c r="AN321" s="219">
        <f t="shared" si="65"/>
        <v>0</v>
      </c>
    </row>
    <row r="322" spans="1:40" ht="15" customHeight="1" x14ac:dyDescent="0.3">
      <c r="A322" s="48">
        <v>0</v>
      </c>
      <c r="B322" s="49" t="s">
        <v>503</v>
      </c>
      <c r="C322" s="50" t="s">
        <v>504</v>
      </c>
      <c r="D322" s="46" t="s">
        <v>1459</v>
      </c>
      <c r="E322" s="46" t="s">
        <v>466</v>
      </c>
      <c r="F322" s="46">
        <v>3500</v>
      </c>
      <c r="G322" s="46" t="s">
        <v>96</v>
      </c>
      <c r="H322" s="46"/>
      <c r="I322" s="51">
        <v>2</v>
      </c>
      <c r="J322" s="51">
        <v>0</v>
      </c>
      <c r="K322" s="51">
        <f t="shared" si="67"/>
        <v>2</v>
      </c>
      <c r="L322" s="51">
        <v>0</v>
      </c>
      <c r="M322" s="51">
        <v>0</v>
      </c>
      <c r="N322" s="51">
        <f t="shared" si="66"/>
        <v>0</v>
      </c>
      <c r="O322" s="51">
        <v>0</v>
      </c>
      <c r="P322" s="179" t="s">
        <v>1795</v>
      </c>
      <c r="Q322" s="179" t="s">
        <v>1607</v>
      </c>
      <c r="R322" s="179" t="s">
        <v>2139</v>
      </c>
      <c r="S322" s="47" t="s">
        <v>1608</v>
      </c>
      <c r="T322" s="54">
        <f>+I322</f>
        <v>2</v>
      </c>
      <c r="U322" s="54"/>
      <c r="AA322">
        <f t="shared" si="58"/>
        <v>3500</v>
      </c>
      <c r="AD322" t="str">
        <f t="shared" si="59"/>
        <v>332</v>
      </c>
      <c r="AE322">
        <f t="shared" si="60"/>
        <v>0</v>
      </c>
      <c r="AG322" s="50" t="str">
        <f t="shared" si="61"/>
        <v>BATI. COMM AMORT PATR ADM SUPPL COMMUNAL</v>
      </c>
      <c r="AH322" s="244" t="str">
        <f t="shared" si="62"/>
        <v>02901</v>
      </c>
      <c r="AI322" s="219"/>
      <c r="AJ322" s="219"/>
      <c r="AK322" s="219" t="str">
        <f t="shared" si="63"/>
        <v>3301</v>
      </c>
      <c r="AL322" s="244" t="str">
        <f t="shared" si="64"/>
        <v>09</v>
      </c>
      <c r="AN322" s="219" t="str">
        <f t="shared" si="65"/>
        <v>Amortissements non planifiés des immobilisations corporelles PA</v>
      </c>
    </row>
    <row r="323" spans="1:40" ht="15" customHeight="1" x14ac:dyDescent="0.3">
      <c r="A323" s="48">
        <v>0</v>
      </c>
      <c r="B323" s="49" t="s">
        <v>505</v>
      </c>
      <c r="C323" s="50" t="s">
        <v>506</v>
      </c>
      <c r="D323" s="46" t="s">
        <v>1459</v>
      </c>
      <c r="E323" s="46" t="s">
        <v>466</v>
      </c>
      <c r="F323" s="46">
        <v>3500</v>
      </c>
      <c r="G323" s="46" t="s">
        <v>6</v>
      </c>
      <c r="H323" s="46"/>
      <c r="I323" s="51">
        <v>0</v>
      </c>
      <c r="J323" s="51">
        <v>0</v>
      </c>
      <c r="K323" s="51">
        <f t="shared" si="67"/>
        <v>0</v>
      </c>
      <c r="L323" s="51">
        <v>0</v>
      </c>
      <c r="M323" s="51">
        <v>0</v>
      </c>
      <c r="N323" s="51">
        <f t="shared" si="66"/>
        <v>0</v>
      </c>
      <c r="O323" s="51">
        <v>0</v>
      </c>
      <c r="P323" s="179" t="s">
        <v>1489</v>
      </c>
      <c r="Q323" s="179" t="s">
        <v>1489</v>
      </c>
      <c r="R323" s="179" t="s">
        <v>1489</v>
      </c>
      <c r="S323" s="47"/>
      <c r="T323" s="54"/>
      <c r="U323" s="54"/>
      <c r="AA323">
        <f t="shared" si="58"/>
        <v>3500</v>
      </c>
      <c r="AD323" t="str">
        <f t="shared" si="59"/>
        <v>380</v>
      </c>
      <c r="AE323">
        <f t="shared" si="60"/>
        <v>0</v>
      </c>
      <c r="AG323" s="50" t="str">
        <f t="shared" si="61"/>
        <v>BATI. COMM ATTRIB FONDS RESERVE BOIS-CHENES (9282.6)</v>
      </c>
      <c r="AH323" s="244" t="str">
        <f t="shared" si="62"/>
        <v>-</v>
      </c>
      <c r="AI323" s="219"/>
      <c r="AJ323" s="219"/>
      <c r="AK323" s="219" t="str">
        <f t="shared" si="63"/>
        <v>-</v>
      </c>
      <c r="AL323" s="244" t="str">
        <f t="shared" si="64"/>
        <v>-</v>
      </c>
      <c r="AN323" s="219">
        <f t="shared" si="65"/>
        <v>0</v>
      </c>
    </row>
    <row r="324" spans="1:40" ht="15" customHeight="1" x14ac:dyDescent="0.3">
      <c r="A324" s="48">
        <v>0</v>
      </c>
      <c r="B324" s="49" t="s">
        <v>507</v>
      </c>
      <c r="C324" s="50" t="s">
        <v>508</v>
      </c>
      <c r="D324" s="46" t="s">
        <v>1459</v>
      </c>
      <c r="E324" s="46" t="s">
        <v>466</v>
      </c>
      <c r="F324" s="46">
        <v>3500</v>
      </c>
      <c r="G324" s="46" t="s">
        <v>6</v>
      </c>
      <c r="H324" s="46">
        <v>1</v>
      </c>
      <c r="I324" s="51">
        <v>0</v>
      </c>
      <c r="J324" s="51">
        <v>0</v>
      </c>
      <c r="K324" s="51">
        <f t="shared" si="67"/>
        <v>0</v>
      </c>
      <c r="L324" s="51">
        <v>0</v>
      </c>
      <c r="M324" s="51">
        <v>0</v>
      </c>
      <c r="N324" s="51">
        <f t="shared" si="66"/>
        <v>0</v>
      </c>
      <c r="O324" s="51">
        <v>0</v>
      </c>
      <c r="P324" s="179" t="s">
        <v>1489</v>
      </c>
      <c r="Q324" s="179" t="s">
        <v>1489</v>
      </c>
      <c r="R324" s="179" t="s">
        <v>1489</v>
      </c>
      <c r="S324" s="47"/>
      <c r="T324" s="54"/>
      <c r="U324" s="54"/>
      <c r="AA324">
        <f t="shared" ref="AA324:AA387" si="68">+F324</f>
        <v>3500</v>
      </c>
      <c r="AD324" t="str">
        <f t="shared" ref="AD324:AD387" si="69">+G324</f>
        <v>380</v>
      </c>
      <c r="AE324">
        <f t="shared" ref="AE324:AE387" si="70">+H324</f>
        <v>1</v>
      </c>
      <c r="AG324" s="50" t="str">
        <f t="shared" ref="AG324:AG387" si="71">+C324</f>
        <v>BATI. COMM ATTRIB FONDS RENOVATION (9281.6)</v>
      </c>
      <c r="AH324" s="244" t="str">
        <f t="shared" ref="AH324:AH387" si="72">+P324</f>
        <v>-</v>
      </c>
      <c r="AI324" s="219"/>
      <c r="AJ324" s="219"/>
      <c r="AK324" s="219" t="str">
        <f t="shared" ref="AK324:AK387" si="73">+Q324</f>
        <v>-</v>
      </c>
      <c r="AL324" s="244" t="str">
        <f t="shared" ref="AL324:AL387" si="74">+R324</f>
        <v>-</v>
      </c>
      <c r="AN324" s="219">
        <f t="shared" ref="AN324:AN387" si="75">+S324</f>
        <v>0</v>
      </c>
    </row>
    <row r="325" spans="1:40" ht="15" customHeight="1" x14ac:dyDescent="0.3">
      <c r="A325" s="48">
        <v>0</v>
      </c>
      <c r="B325" s="49" t="s">
        <v>509</v>
      </c>
      <c r="C325" s="50" t="s">
        <v>510</v>
      </c>
      <c r="D325" s="46" t="s">
        <v>1459</v>
      </c>
      <c r="E325" s="46" t="s">
        <v>466</v>
      </c>
      <c r="F325" s="46">
        <v>3500</v>
      </c>
      <c r="G325" s="46" t="s">
        <v>6</v>
      </c>
      <c r="H325" s="46">
        <v>2</v>
      </c>
      <c r="I325" s="51">
        <v>0</v>
      </c>
      <c r="J325" s="51">
        <v>0</v>
      </c>
      <c r="K325" s="51">
        <f t="shared" si="67"/>
        <v>0</v>
      </c>
      <c r="L325" s="51">
        <v>0</v>
      </c>
      <c r="M325" s="51">
        <v>0</v>
      </c>
      <c r="N325" s="51">
        <f t="shared" si="66"/>
        <v>0</v>
      </c>
      <c r="O325" s="51">
        <v>0</v>
      </c>
      <c r="P325" s="179" t="s">
        <v>1489</v>
      </c>
      <c r="Q325" s="179" t="s">
        <v>1489</v>
      </c>
      <c r="R325" s="179" t="s">
        <v>1489</v>
      </c>
      <c r="S325" s="47"/>
      <c r="T325" s="54"/>
      <c r="U325" s="54"/>
      <c r="AA325">
        <f t="shared" si="68"/>
        <v>3500</v>
      </c>
      <c r="AD325" t="str">
        <f t="shared" si="69"/>
        <v>380</v>
      </c>
      <c r="AE325">
        <f t="shared" si="70"/>
        <v>2</v>
      </c>
      <c r="AG325" s="50" t="str">
        <f t="shared" si="71"/>
        <v>BATI. COMM ATTRIBUT FONDS RESERVE INFRASTRUCTURES (9282.8)</v>
      </c>
      <c r="AH325" s="244" t="str">
        <f t="shared" si="72"/>
        <v>-</v>
      </c>
      <c r="AI325" s="219"/>
      <c r="AJ325" s="219"/>
      <c r="AK325" s="219" t="str">
        <f t="shared" si="73"/>
        <v>-</v>
      </c>
      <c r="AL325" s="244" t="str">
        <f t="shared" si="74"/>
        <v>-</v>
      </c>
      <c r="AN325" s="219">
        <f t="shared" si="75"/>
        <v>0</v>
      </c>
    </row>
    <row r="326" spans="1:40" ht="15" customHeight="1" x14ac:dyDescent="0.3">
      <c r="A326" s="48">
        <v>0</v>
      </c>
      <c r="B326" s="49" t="s">
        <v>511</v>
      </c>
      <c r="C326" s="50" t="s">
        <v>512</v>
      </c>
      <c r="D326" s="46" t="s">
        <v>1459</v>
      </c>
      <c r="E326" s="46" t="s">
        <v>466</v>
      </c>
      <c r="F326" s="46">
        <v>3500</v>
      </c>
      <c r="G326" s="46" t="s">
        <v>28</v>
      </c>
      <c r="H326" s="46">
        <v>1</v>
      </c>
      <c r="I326" s="51">
        <v>0</v>
      </c>
      <c r="J326" s="51">
        <v>0</v>
      </c>
      <c r="K326" s="51">
        <f t="shared" si="67"/>
        <v>0</v>
      </c>
      <c r="L326" s="51">
        <v>0</v>
      </c>
      <c r="M326" s="51">
        <v>0</v>
      </c>
      <c r="N326" s="51">
        <f t="shared" si="66"/>
        <v>0</v>
      </c>
      <c r="O326" s="51">
        <v>0</v>
      </c>
      <c r="P326" s="179" t="s">
        <v>1489</v>
      </c>
      <c r="Q326" s="179" t="s">
        <v>1489</v>
      </c>
      <c r="R326" s="179" t="s">
        <v>1489</v>
      </c>
      <c r="S326" s="47"/>
      <c r="T326" s="54"/>
      <c r="U326" s="54"/>
      <c r="AA326">
        <f t="shared" si="68"/>
        <v>3500</v>
      </c>
      <c r="AD326" t="str">
        <f t="shared" si="69"/>
        <v>390</v>
      </c>
      <c r="AE326">
        <f t="shared" si="70"/>
        <v>1</v>
      </c>
      <c r="AG326" s="50" t="str">
        <f t="shared" si="71"/>
        <v>BATI. COMM IMPUTATIONS INT SALAIRES</v>
      </c>
      <c r="AH326" s="244" t="str">
        <f t="shared" si="72"/>
        <v>-</v>
      </c>
      <c r="AI326" s="219"/>
      <c r="AJ326" s="219"/>
      <c r="AK326" s="219" t="str">
        <f t="shared" si="73"/>
        <v>-</v>
      </c>
      <c r="AL326" s="244" t="str">
        <f t="shared" si="74"/>
        <v>-</v>
      </c>
      <c r="AN326" s="219">
        <f t="shared" si="75"/>
        <v>0</v>
      </c>
    </row>
    <row r="327" spans="1:40" ht="15" customHeight="1" x14ac:dyDescent="0.3">
      <c r="A327" s="48">
        <v>0</v>
      </c>
      <c r="B327" s="74" t="s">
        <v>513</v>
      </c>
      <c r="C327" s="67" t="s">
        <v>514</v>
      </c>
      <c r="D327" s="46" t="s">
        <v>1459</v>
      </c>
      <c r="E327" s="46" t="s">
        <v>466</v>
      </c>
      <c r="F327" s="46">
        <v>3500</v>
      </c>
      <c r="G327" s="46" t="s">
        <v>335</v>
      </c>
      <c r="H327" s="46"/>
      <c r="I327" s="51">
        <v>0</v>
      </c>
      <c r="J327" s="51">
        <v>-34588</v>
      </c>
      <c r="K327" s="51">
        <f t="shared" si="67"/>
        <v>-34588</v>
      </c>
      <c r="L327" s="51">
        <v>0</v>
      </c>
      <c r="M327" s="51">
        <v>-32000</v>
      </c>
      <c r="N327" s="51">
        <f t="shared" si="66"/>
        <v>-32000</v>
      </c>
      <c r="O327" s="51">
        <v>-31908</v>
      </c>
      <c r="P327" s="191" t="s">
        <v>1794</v>
      </c>
      <c r="Q327" s="179" t="s">
        <v>1842</v>
      </c>
      <c r="R327" s="179" t="s">
        <v>2131</v>
      </c>
      <c r="S327" s="195" t="s">
        <v>2300</v>
      </c>
      <c r="T327" s="54">
        <f>+J327-T329-T330</f>
        <v>-15088</v>
      </c>
      <c r="U327" s="54"/>
      <c r="V327" s="7" t="s">
        <v>1841</v>
      </c>
      <c r="W327" t="s">
        <v>1836</v>
      </c>
      <c r="AA327">
        <f t="shared" si="68"/>
        <v>3500</v>
      </c>
      <c r="AD327" t="str">
        <f t="shared" si="69"/>
        <v>427</v>
      </c>
      <c r="AE327">
        <f t="shared" si="70"/>
        <v>0</v>
      </c>
      <c r="AG327" s="50" t="str">
        <f t="shared" si="71"/>
        <v>BATI. COMM LOYERS COMMUNAUX</v>
      </c>
      <c r="AH327" s="244" t="str">
        <f t="shared" si="72"/>
        <v>02900</v>
      </c>
      <c r="AI327" s="219"/>
      <c r="AJ327" s="219"/>
      <c r="AK327" s="219" t="str">
        <f t="shared" si="73"/>
        <v>4470</v>
      </c>
      <c r="AL327" s="244" t="str">
        <f t="shared" si="74"/>
        <v>00</v>
      </c>
      <c r="AN327" s="219" t="str">
        <f t="shared" si="75"/>
        <v>Loyers et fermages des biens-fonds PA - Bât non mentionnés ailleurs | Salle du 700e / Anc. Station pompage che. De la Source / locaux chaufferie du CAD |</v>
      </c>
    </row>
    <row r="328" spans="1:40" ht="15" customHeight="1" x14ac:dyDescent="0.3">
      <c r="A328" s="48"/>
      <c r="B328" s="74" t="s">
        <v>513</v>
      </c>
      <c r="C328" s="67" t="s">
        <v>514</v>
      </c>
      <c r="D328" s="46" t="s">
        <v>1459</v>
      </c>
      <c r="E328" s="46" t="s">
        <v>466</v>
      </c>
      <c r="F328" s="46">
        <v>3500</v>
      </c>
      <c r="G328" s="46" t="s">
        <v>335</v>
      </c>
      <c r="H328" s="46"/>
      <c r="I328" s="51"/>
      <c r="J328" s="51"/>
      <c r="K328" s="51">
        <f t="shared" si="67"/>
        <v>0</v>
      </c>
      <c r="L328" s="51"/>
      <c r="M328" s="51"/>
      <c r="N328" s="51">
        <f t="shared" si="66"/>
        <v>0</v>
      </c>
      <c r="O328" s="51"/>
      <c r="P328" s="191" t="s">
        <v>1489</v>
      </c>
      <c r="Q328" s="179" t="s">
        <v>1489</v>
      </c>
      <c r="R328" s="191" t="s">
        <v>1489</v>
      </c>
      <c r="S328" s="76"/>
      <c r="T328" s="54"/>
      <c r="U328" s="54"/>
      <c r="W328" t="s">
        <v>1835</v>
      </c>
      <c r="AA328">
        <f t="shared" si="68"/>
        <v>3500</v>
      </c>
      <c r="AD328" t="str">
        <f t="shared" si="69"/>
        <v>427</v>
      </c>
      <c r="AE328">
        <f t="shared" si="70"/>
        <v>0</v>
      </c>
      <c r="AG328" s="50" t="str">
        <f t="shared" si="71"/>
        <v>BATI. COMM LOYERS COMMUNAUX</v>
      </c>
      <c r="AH328" s="244" t="str">
        <f t="shared" si="72"/>
        <v>-</v>
      </c>
      <c r="AI328" s="219"/>
      <c r="AJ328" s="219"/>
      <c r="AK328" s="219" t="str">
        <f t="shared" si="73"/>
        <v>-</v>
      </c>
      <c r="AL328" s="244" t="str">
        <f t="shared" si="74"/>
        <v>-</v>
      </c>
      <c r="AN328" s="219">
        <f t="shared" si="75"/>
        <v>0</v>
      </c>
    </row>
    <row r="329" spans="1:40" ht="15" customHeight="1" x14ac:dyDescent="0.3">
      <c r="A329" s="48"/>
      <c r="B329" s="74" t="s">
        <v>513</v>
      </c>
      <c r="C329" s="67" t="s">
        <v>514</v>
      </c>
      <c r="D329" s="46" t="s">
        <v>1459</v>
      </c>
      <c r="E329" s="46" t="s">
        <v>466</v>
      </c>
      <c r="F329" s="46">
        <v>3500</v>
      </c>
      <c r="G329" s="46" t="s">
        <v>335</v>
      </c>
      <c r="H329" s="46"/>
      <c r="I329" s="51"/>
      <c r="J329" s="51"/>
      <c r="K329" s="51">
        <f t="shared" ref="K329:K360" si="76">+I329+J329</f>
        <v>0</v>
      </c>
      <c r="L329" s="51"/>
      <c r="M329" s="51"/>
      <c r="N329" s="51">
        <f t="shared" si="66"/>
        <v>0</v>
      </c>
      <c r="O329" s="51"/>
      <c r="P329" s="191" t="s">
        <v>1532</v>
      </c>
      <c r="Q329" s="179" t="s">
        <v>1842</v>
      </c>
      <c r="R329" s="179" t="s">
        <v>2131</v>
      </c>
      <c r="S329" s="75" t="s">
        <v>1847</v>
      </c>
      <c r="T329" s="54">
        <v>-9000</v>
      </c>
      <c r="U329" s="54"/>
      <c r="W329" t="s">
        <v>1837</v>
      </c>
      <c r="AA329">
        <f t="shared" si="68"/>
        <v>3500</v>
      </c>
      <c r="AD329" t="str">
        <f t="shared" si="69"/>
        <v>427</v>
      </c>
      <c r="AE329">
        <f t="shared" si="70"/>
        <v>0</v>
      </c>
      <c r="AG329" s="50" t="str">
        <f t="shared" si="71"/>
        <v>BATI. COMM LOYERS COMMUNAUX</v>
      </c>
      <c r="AH329" s="244" t="str">
        <f t="shared" si="72"/>
        <v>35000</v>
      </c>
      <c r="AI329" s="219"/>
      <c r="AJ329" s="219"/>
      <c r="AK329" s="219" t="str">
        <f t="shared" si="73"/>
        <v>4470</v>
      </c>
      <c r="AL329" s="244" t="str">
        <f t="shared" si="74"/>
        <v>00</v>
      </c>
      <c r="AN329" s="219" t="str">
        <f t="shared" si="75"/>
        <v>Loyers et fermages des biens-fonds PA - antenne Salt</v>
      </c>
    </row>
    <row r="330" spans="1:40" ht="15" customHeight="1" x14ac:dyDescent="0.3">
      <c r="A330" s="48"/>
      <c r="B330" s="74" t="s">
        <v>513</v>
      </c>
      <c r="C330" s="67" t="s">
        <v>514</v>
      </c>
      <c r="D330" s="46" t="s">
        <v>1459</v>
      </c>
      <c r="E330" s="46" t="s">
        <v>466</v>
      </c>
      <c r="F330" s="46">
        <v>3500</v>
      </c>
      <c r="G330" s="46" t="s">
        <v>335</v>
      </c>
      <c r="H330" s="46"/>
      <c r="I330" s="51"/>
      <c r="J330" s="51"/>
      <c r="K330" s="51">
        <f t="shared" si="76"/>
        <v>0</v>
      </c>
      <c r="L330" s="51"/>
      <c r="M330" s="51"/>
      <c r="N330" s="51">
        <f t="shared" si="66"/>
        <v>0</v>
      </c>
      <c r="O330" s="51"/>
      <c r="P330" s="191" t="s">
        <v>1532</v>
      </c>
      <c r="Q330" s="179" t="s">
        <v>1842</v>
      </c>
      <c r="R330" s="179" t="s">
        <v>2131</v>
      </c>
      <c r="S330" s="75" t="s">
        <v>1846</v>
      </c>
      <c r="T330" s="54">
        <v>-10500</v>
      </c>
      <c r="U330" s="54"/>
      <c r="W330" t="s">
        <v>1839</v>
      </c>
      <c r="AA330">
        <f t="shared" si="68"/>
        <v>3500</v>
      </c>
      <c r="AD330" t="str">
        <f t="shared" si="69"/>
        <v>427</v>
      </c>
      <c r="AE330">
        <f t="shared" si="70"/>
        <v>0</v>
      </c>
      <c r="AG330" s="50" t="str">
        <f t="shared" si="71"/>
        <v>BATI. COMM LOYERS COMMUNAUX</v>
      </c>
      <c r="AH330" s="244" t="str">
        <f t="shared" si="72"/>
        <v>35000</v>
      </c>
      <c r="AI330" s="219"/>
      <c r="AJ330" s="219"/>
      <c r="AK330" s="219" t="str">
        <f t="shared" si="73"/>
        <v>4470</v>
      </c>
      <c r="AL330" s="244" t="str">
        <f t="shared" si="74"/>
        <v>00</v>
      </c>
      <c r="AN330" s="219" t="str">
        <f t="shared" si="75"/>
        <v>Loyers et fermages des biens-fonds PA - antenne Swisscom</v>
      </c>
    </row>
    <row r="331" spans="1:40" ht="15" customHeight="1" x14ac:dyDescent="0.3">
      <c r="A331" s="48"/>
      <c r="B331" s="74" t="s">
        <v>513</v>
      </c>
      <c r="C331" s="67" t="s">
        <v>514</v>
      </c>
      <c r="D331" s="46" t="s">
        <v>1459</v>
      </c>
      <c r="E331" s="46" t="s">
        <v>466</v>
      </c>
      <c r="F331" s="46">
        <v>3500</v>
      </c>
      <c r="G331" s="46" t="s">
        <v>335</v>
      </c>
      <c r="H331" s="46"/>
      <c r="I331" s="51"/>
      <c r="J331" s="51"/>
      <c r="K331" s="51">
        <f t="shared" si="76"/>
        <v>0</v>
      </c>
      <c r="L331" s="51"/>
      <c r="M331" s="51"/>
      <c r="N331" s="51">
        <f t="shared" si="66"/>
        <v>0</v>
      </c>
      <c r="O331" s="51"/>
      <c r="P331" s="191" t="s">
        <v>1844</v>
      </c>
      <c r="Q331" s="179" t="s">
        <v>1842</v>
      </c>
      <c r="R331" s="179" t="s">
        <v>2131</v>
      </c>
      <c r="S331" s="75" t="s">
        <v>1845</v>
      </c>
      <c r="T331" s="54"/>
      <c r="U331" s="54"/>
      <c r="W331" t="s">
        <v>1838</v>
      </c>
      <c r="AA331">
        <f t="shared" si="68"/>
        <v>3500</v>
      </c>
      <c r="AD331" t="str">
        <f t="shared" si="69"/>
        <v>427</v>
      </c>
      <c r="AE331">
        <f t="shared" si="70"/>
        <v>0</v>
      </c>
      <c r="AG331" s="50" t="str">
        <f t="shared" si="71"/>
        <v>BATI. COMM LOYERS COMMUNAUX</v>
      </c>
      <c r="AH331" s="244" t="str">
        <f t="shared" si="72"/>
        <v>61510</v>
      </c>
      <c r="AI331" s="219"/>
      <c r="AJ331" s="219"/>
      <c r="AK331" s="219" t="str">
        <f t="shared" si="73"/>
        <v>4470</v>
      </c>
      <c r="AL331" s="244" t="str">
        <f t="shared" si="74"/>
        <v>00</v>
      </c>
      <c r="AN331" s="219" t="str">
        <f t="shared" si="75"/>
        <v>Loyers et fermages des biens-fonds PA - parkings</v>
      </c>
    </row>
    <row r="332" spans="1:40" ht="15" customHeight="1" x14ac:dyDescent="0.3">
      <c r="A332" s="48"/>
      <c r="B332" s="74" t="s">
        <v>513</v>
      </c>
      <c r="C332" s="67" t="s">
        <v>514</v>
      </c>
      <c r="D332" s="46" t="s">
        <v>1459</v>
      </c>
      <c r="E332" s="46" t="s">
        <v>466</v>
      </c>
      <c r="F332" s="46">
        <v>3500</v>
      </c>
      <c r="G332" s="46" t="s">
        <v>335</v>
      </c>
      <c r="H332" s="46"/>
      <c r="I332" s="51"/>
      <c r="J332" s="51"/>
      <c r="K332" s="51">
        <f t="shared" si="76"/>
        <v>0</v>
      </c>
      <c r="L332" s="51"/>
      <c r="M332" s="51"/>
      <c r="N332" s="51">
        <f t="shared" ref="N332:N395" si="77">+L332+M332</f>
        <v>0</v>
      </c>
      <c r="O332" s="51"/>
      <c r="P332" s="191" t="s">
        <v>1794</v>
      </c>
      <c r="Q332" s="179" t="s">
        <v>1842</v>
      </c>
      <c r="R332" s="179" t="s">
        <v>2131</v>
      </c>
      <c r="S332" s="195" t="s">
        <v>2300</v>
      </c>
      <c r="T332" s="54"/>
      <c r="U332" s="54"/>
      <c r="W332" t="s">
        <v>1840</v>
      </c>
      <c r="AA332">
        <f t="shared" si="68"/>
        <v>3500</v>
      </c>
      <c r="AD332" t="str">
        <f t="shared" si="69"/>
        <v>427</v>
      </c>
      <c r="AE332">
        <f t="shared" si="70"/>
        <v>0</v>
      </c>
      <c r="AG332" s="50" t="str">
        <f t="shared" si="71"/>
        <v>BATI. COMM LOYERS COMMUNAUX</v>
      </c>
      <c r="AH332" s="244" t="str">
        <f t="shared" si="72"/>
        <v>02900</v>
      </c>
      <c r="AI332" s="219"/>
      <c r="AJ332" s="219"/>
      <c r="AK332" s="219" t="str">
        <f t="shared" si="73"/>
        <v>4470</v>
      </c>
      <c r="AL332" s="244" t="str">
        <f t="shared" si="74"/>
        <v>00</v>
      </c>
      <c r="AN332" s="219" t="str">
        <f t="shared" si="75"/>
        <v>Loyers et fermages des biens-fonds PA - Bât non mentionnés ailleurs | Salle du 700e / Anc. Station pompage che. De la Source / locaux chaufferie du CAD |</v>
      </c>
    </row>
    <row r="333" spans="1:40" ht="15" customHeight="1" x14ac:dyDescent="0.3">
      <c r="A333" s="48">
        <v>0</v>
      </c>
      <c r="B333" s="49" t="s">
        <v>515</v>
      </c>
      <c r="C333" s="50" t="s">
        <v>516</v>
      </c>
      <c r="D333" s="46" t="s">
        <v>1459</v>
      </c>
      <c r="E333" s="46" t="s">
        <v>466</v>
      </c>
      <c r="F333" s="46">
        <v>3500</v>
      </c>
      <c r="G333" s="46" t="s">
        <v>335</v>
      </c>
      <c r="H333" s="46">
        <v>1</v>
      </c>
      <c r="I333" s="51">
        <v>0</v>
      </c>
      <c r="J333" s="51">
        <v>0</v>
      </c>
      <c r="K333" s="51">
        <f t="shared" si="76"/>
        <v>0</v>
      </c>
      <c r="L333" s="51">
        <v>0</v>
      </c>
      <c r="M333" s="51">
        <v>0</v>
      </c>
      <c r="N333" s="51">
        <f t="shared" si="77"/>
        <v>0</v>
      </c>
      <c r="O333" s="51">
        <v>0</v>
      </c>
      <c r="P333" s="179" t="s">
        <v>1489</v>
      </c>
      <c r="Q333" s="179" t="s">
        <v>1489</v>
      </c>
      <c r="R333" s="179" t="s">
        <v>1489</v>
      </c>
      <c r="S333" s="47"/>
      <c r="T333" s="54"/>
      <c r="U333" s="54"/>
      <c r="AA333">
        <f t="shared" si="68"/>
        <v>3500</v>
      </c>
      <c r="AD333" t="str">
        <f t="shared" si="69"/>
        <v>427</v>
      </c>
      <c r="AE333">
        <f t="shared" si="70"/>
        <v>1</v>
      </c>
      <c r="AG333" s="50" t="str">
        <f t="shared" si="71"/>
        <v>BATI. COMM LOYERS BOIS-DE-CHENE PATR ADM</v>
      </c>
      <c r="AH333" s="244" t="str">
        <f t="shared" si="72"/>
        <v>-</v>
      </c>
      <c r="AI333" s="219"/>
      <c r="AJ333" s="219"/>
      <c r="AK333" s="219" t="str">
        <f t="shared" si="73"/>
        <v>-</v>
      </c>
      <c r="AL333" s="244" t="str">
        <f t="shared" si="74"/>
        <v>-</v>
      </c>
      <c r="AN333" s="219">
        <f t="shared" si="75"/>
        <v>0</v>
      </c>
    </row>
    <row r="334" spans="1:40" ht="15" customHeight="1" x14ac:dyDescent="0.3">
      <c r="A334" s="48">
        <v>0</v>
      </c>
      <c r="B334" s="49" t="s">
        <v>517</v>
      </c>
      <c r="C334" s="50" t="s">
        <v>518</v>
      </c>
      <c r="D334" s="46" t="s">
        <v>1459</v>
      </c>
      <c r="E334" s="46" t="s">
        <v>466</v>
      </c>
      <c r="F334" s="46">
        <v>3500</v>
      </c>
      <c r="G334" s="46" t="s">
        <v>335</v>
      </c>
      <c r="H334" s="46">
        <v>2</v>
      </c>
      <c r="I334" s="51">
        <v>0</v>
      </c>
      <c r="J334" s="51">
        <v>-85920.7</v>
      </c>
      <c r="K334" s="51">
        <f t="shared" si="76"/>
        <v>-85920.7</v>
      </c>
      <c r="L334" s="51">
        <v>0</v>
      </c>
      <c r="M334" s="51">
        <v>-71800</v>
      </c>
      <c r="N334" s="51">
        <f t="shared" si="77"/>
        <v>-71800</v>
      </c>
      <c r="O334" s="51">
        <v>0</v>
      </c>
      <c r="P334" s="179" t="s">
        <v>1798</v>
      </c>
      <c r="Q334" s="179" t="s">
        <v>1813</v>
      </c>
      <c r="R334" s="179" t="s">
        <v>2131</v>
      </c>
      <c r="S334" s="57" t="s">
        <v>2185</v>
      </c>
      <c r="T334" s="54">
        <f>+J334</f>
        <v>-85920.7</v>
      </c>
      <c r="U334" s="54"/>
      <c r="AA334">
        <f t="shared" si="68"/>
        <v>3500</v>
      </c>
      <c r="AD334" t="str">
        <f t="shared" si="69"/>
        <v>427</v>
      </c>
      <c r="AE334">
        <f t="shared" si="70"/>
        <v>2</v>
      </c>
      <c r="AG334" s="50" t="str">
        <f t="shared" si="71"/>
        <v>BATI. COMM DECPTE LOYERS REGIE SPG - VALAUR SA</v>
      </c>
      <c r="AH334" s="244" t="str">
        <f t="shared" si="72"/>
        <v>96301</v>
      </c>
      <c r="AI334" s="219"/>
      <c r="AJ334" s="219"/>
      <c r="AK334" s="219" t="str">
        <f t="shared" si="73"/>
        <v>4430</v>
      </c>
      <c r="AL334" s="244" t="str">
        <f t="shared" si="74"/>
        <v>00</v>
      </c>
      <c r="AN334" s="219" t="str">
        <f t="shared" si="75"/>
        <v>Loyers et fermages, immeubles du PF | Maison Gothique / Village 3 |</v>
      </c>
    </row>
    <row r="335" spans="1:40" ht="15" customHeight="1" x14ac:dyDescent="0.3">
      <c r="A335" s="48">
        <v>0</v>
      </c>
      <c r="B335" s="74" t="s">
        <v>519</v>
      </c>
      <c r="C335" s="67" t="s">
        <v>520</v>
      </c>
      <c r="D335" s="188" t="s">
        <v>1459</v>
      </c>
      <c r="E335" s="188" t="s">
        <v>466</v>
      </c>
      <c r="F335" s="46">
        <v>3500</v>
      </c>
      <c r="G335" s="188" t="s">
        <v>61</v>
      </c>
      <c r="H335" s="188"/>
      <c r="I335" s="51">
        <v>0</v>
      </c>
      <c r="J335" s="51">
        <v>-6520.7</v>
      </c>
      <c r="K335" s="51">
        <f t="shared" si="76"/>
        <v>-6520.7</v>
      </c>
      <c r="L335" s="51">
        <v>0</v>
      </c>
      <c r="M335" s="51">
        <v>-5500</v>
      </c>
      <c r="N335" s="51">
        <f t="shared" si="77"/>
        <v>-5500</v>
      </c>
      <c r="O335" s="51">
        <v>-5754.5</v>
      </c>
      <c r="P335" s="179" t="s">
        <v>1805</v>
      </c>
      <c r="Q335" s="179" t="s">
        <v>1443</v>
      </c>
      <c r="R335" s="179" t="s">
        <v>2131</v>
      </c>
      <c r="S335" s="47" t="s">
        <v>2031</v>
      </c>
      <c r="T335" s="54">
        <v>-5344.5</v>
      </c>
      <c r="U335" s="212">
        <v>-5344.5</v>
      </c>
      <c r="W335" s="47" t="s">
        <v>1848</v>
      </c>
      <c r="AA335">
        <f t="shared" si="68"/>
        <v>3500</v>
      </c>
      <c r="AD335" t="str">
        <f t="shared" si="69"/>
        <v>436</v>
      </c>
      <c r="AE335">
        <f t="shared" si="70"/>
        <v>0</v>
      </c>
      <c r="AG335" s="50" t="str">
        <f t="shared" si="71"/>
        <v>BATI. COMM PART DE TIERS</v>
      </c>
      <c r="AH335" s="244" t="str">
        <f t="shared" si="72"/>
        <v>02903</v>
      </c>
      <c r="AI335" s="219"/>
      <c r="AJ335" s="219"/>
      <c r="AK335" s="219" t="str">
        <f t="shared" si="73"/>
        <v>4612</v>
      </c>
      <c r="AL335" s="244" t="str">
        <f t="shared" si="74"/>
        <v>00</v>
      </c>
      <c r="AN335" s="219" t="str">
        <f t="shared" si="75"/>
        <v>Dédommagement des communes et associations intercommunales - AISGE - Vidéosurveillance</v>
      </c>
    </row>
    <row r="336" spans="1:40" ht="15" customHeight="1" x14ac:dyDescent="0.3">
      <c r="A336" s="48"/>
      <c r="B336" s="74" t="s">
        <v>519</v>
      </c>
      <c r="C336" s="67" t="s">
        <v>520</v>
      </c>
      <c r="D336" s="188" t="s">
        <v>1459</v>
      </c>
      <c r="E336" s="188" t="s">
        <v>466</v>
      </c>
      <c r="F336" s="46">
        <v>3500</v>
      </c>
      <c r="G336" s="188" t="s">
        <v>61</v>
      </c>
      <c r="H336" s="188"/>
      <c r="I336" s="51"/>
      <c r="J336" s="51"/>
      <c r="K336" s="51">
        <f t="shared" si="76"/>
        <v>0</v>
      </c>
      <c r="L336" s="51"/>
      <c r="M336" s="51"/>
      <c r="N336" s="51">
        <f t="shared" si="77"/>
        <v>0</v>
      </c>
      <c r="O336" s="51"/>
      <c r="P336" s="179" t="s">
        <v>1801</v>
      </c>
      <c r="Q336" s="179" t="s">
        <v>1851</v>
      </c>
      <c r="R336" s="179" t="s">
        <v>2131</v>
      </c>
      <c r="S336" s="47" t="s">
        <v>2196</v>
      </c>
      <c r="T336" s="54">
        <f>+J335-T335</f>
        <v>-1176.1999999999998</v>
      </c>
      <c r="U336" s="54"/>
      <c r="W336" t="s">
        <v>1852</v>
      </c>
      <c r="AA336">
        <f t="shared" si="68"/>
        <v>3500</v>
      </c>
      <c r="AD336" t="str">
        <f t="shared" si="69"/>
        <v>436</v>
      </c>
      <c r="AE336">
        <f t="shared" si="70"/>
        <v>0</v>
      </c>
      <c r="AG336" s="50" t="str">
        <f t="shared" si="71"/>
        <v>BATI. COMM PART DE TIERS</v>
      </c>
      <c r="AH336" s="244" t="str">
        <f t="shared" si="72"/>
        <v>96303</v>
      </c>
      <c r="AI336" s="219"/>
      <c r="AJ336" s="219"/>
      <c r="AK336" s="219" t="str">
        <f t="shared" si="73"/>
        <v>4432</v>
      </c>
      <c r="AL336" s="244" t="str">
        <f t="shared" si="74"/>
        <v>00</v>
      </c>
      <c r="AN336" s="219" t="str">
        <f t="shared" si="75"/>
        <v>Paiement pour utilisation des immeubles PF | Bât Auberge communale / Village 9 |</v>
      </c>
    </row>
    <row r="337" spans="1:40" ht="15" customHeight="1" x14ac:dyDescent="0.3">
      <c r="A337" s="48"/>
      <c r="B337" s="74" t="s">
        <v>519</v>
      </c>
      <c r="C337" s="67" t="s">
        <v>520</v>
      </c>
      <c r="D337" s="188" t="s">
        <v>1459</v>
      </c>
      <c r="E337" s="188" t="s">
        <v>466</v>
      </c>
      <c r="F337" s="46">
        <v>3500</v>
      </c>
      <c r="G337" s="188" t="s">
        <v>61</v>
      </c>
      <c r="H337" s="188"/>
      <c r="I337" s="51"/>
      <c r="J337" s="51"/>
      <c r="K337" s="51">
        <f t="shared" si="76"/>
        <v>0</v>
      </c>
      <c r="L337" s="51"/>
      <c r="M337" s="51"/>
      <c r="N337" s="51">
        <f t="shared" si="77"/>
        <v>0</v>
      </c>
      <c r="O337" s="51"/>
      <c r="P337" s="179" t="s">
        <v>1550</v>
      </c>
      <c r="Q337" s="179" t="s">
        <v>1849</v>
      </c>
      <c r="R337" s="179" t="s">
        <v>2131</v>
      </c>
      <c r="S337" s="47" t="s">
        <v>1850</v>
      </c>
      <c r="T337" s="54"/>
      <c r="U337" s="54"/>
      <c r="AA337">
        <f t="shared" si="68"/>
        <v>3500</v>
      </c>
      <c r="AD337" t="str">
        <f t="shared" si="69"/>
        <v>436</v>
      </c>
      <c r="AE337">
        <f t="shared" si="70"/>
        <v>0</v>
      </c>
      <c r="AG337" s="50" t="str">
        <f t="shared" si="71"/>
        <v>BATI. COMM PART DE TIERS</v>
      </c>
      <c r="AH337" s="244" t="str">
        <f t="shared" si="72"/>
        <v>16200</v>
      </c>
      <c r="AI337" s="219"/>
      <c r="AJ337" s="219"/>
      <c r="AK337" s="219" t="str">
        <f t="shared" si="73"/>
        <v>4499</v>
      </c>
      <c r="AL337" s="244" t="str">
        <f t="shared" si="74"/>
        <v>00</v>
      </c>
      <c r="AN337" s="219" t="str">
        <f t="shared" si="75"/>
        <v>Autres revenus financiers - locations du générateur</v>
      </c>
    </row>
    <row r="338" spans="1:40" ht="15" customHeight="1" x14ac:dyDescent="0.3">
      <c r="A338" s="48">
        <v>0</v>
      </c>
      <c r="B338" s="49" t="s">
        <v>521</v>
      </c>
      <c r="C338" s="50" t="s">
        <v>522</v>
      </c>
      <c r="D338" s="46" t="s">
        <v>1459</v>
      </c>
      <c r="E338" s="46" t="s">
        <v>466</v>
      </c>
      <c r="F338" s="46">
        <v>3500</v>
      </c>
      <c r="G338" s="46" t="s">
        <v>345</v>
      </c>
      <c r="H338" s="46">
        <v>3</v>
      </c>
      <c r="I338" s="51">
        <v>0</v>
      </c>
      <c r="J338" s="51">
        <v>0</v>
      </c>
      <c r="K338" s="51">
        <f t="shared" si="76"/>
        <v>0</v>
      </c>
      <c r="L338" s="51">
        <v>0</v>
      </c>
      <c r="M338" s="51">
        <v>0</v>
      </c>
      <c r="N338" s="51">
        <f t="shared" si="77"/>
        <v>0</v>
      </c>
      <c r="O338" s="51">
        <v>-40000</v>
      </c>
      <c r="P338" s="179" t="s">
        <v>1797</v>
      </c>
      <c r="Q338" s="179" t="s">
        <v>2125</v>
      </c>
      <c r="R338" s="179" t="s">
        <v>2135</v>
      </c>
      <c r="S338" s="47" t="s">
        <v>2252</v>
      </c>
      <c r="T338" s="54"/>
      <c r="U338" s="54"/>
      <c r="W338" s="50" t="s">
        <v>522</v>
      </c>
      <c r="AA338">
        <f t="shared" si="68"/>
        <v>3500</v>
      </c>
      <c r="AD338" t="str">
        <f t="shared" si="69"/>
        <v>452</v>
      </c>
      <c r="AE338">
        <f t="shared" si="70"/>
        <v>3</v>
      </c>
      <c r="AG338" s="50" t="str">
        <f t="shared" si="71"/>
        <v>Stand de Tir - Refacuration (convention)</v>
      </c>
      <c r="AH338" s="244" t="str">
        <f t="shared" si="72"/>
        <v>16100</v>
      </c>
      <c r="AI338" s="219"/>
      <c r="AJ338" s="219"/>
      <c r="AK338" s="219" t="str">
        <f t="shared" si="73"/>
        <v>4439</v>
      </c>
      <c r="AL338" s="244" t="str">
        <f t="shared" si="74"/>
        <v>04</v>
      </c>
      <c r="AN338" s="219" t="str">
        <f t="shared" si="75"/>
        <v>Autres produits des immeubles PF |stand de tir |</v>
      </c>
    </row>
    <row r="339" spans="1:40" ht="15" customHeight="1" x14ac:dyDescent="0.3">
      <c r="A339" s="48">
        <v>0</v>
      </c>
      <c r="B339" s="49" t="s">
        <v>523</v>
      </c>
      <c r="C339" s="50" t="s">
        <v>524</v>
      </c>
      <c r="D339" s="46" t="s">
        <v>1459</v>
      </c>
      <c r="E339" s="46" t="s">
        <v>466</v>
      </c>
      <c r="F339" s="46">
        <v>3500</v>
      </c>
      <c r="G339" s="46" t="s">
        <v>64</v>
      </c>
      <c r="H339" s="46"/>
      <c r="I339" s="51">
        <v>0</v>
      </c>
      <c r="J339" s="51">
        <v>-446937.2</v>
      </c>
      <c r="K339" s="51">
        <f t="shared" si="76"/>
        <v>-446937.2</v>
      </c>
      <c r="L339" s="51">
        <v>0</v>
      </c>
      <c r="M339" s="51">
        <v>0</v>
      </c>
      <c r="N339" s="51">
        <f t="shared" si="77"/>
        <v>0</v>
      </c>
      <c r="O339" s="51">
        <v>0</v>
      </c>
      <c r="P339" s="179" t="s">
        <v>1710</v>
      </c>
      <c r="Q339" s="179" t="s">
        <v>1711</v>
      </c>
      <c r="R339" s="179" t="s">
        <v>2131</v>
      </c>
      <c r="S339" s="47" t="s">
        <v>1712</v>
      </c>
      <c r="T339" s="54">
        <f>+J339</f>
        <v>-446937.2</v>
      </c>
      <c r="U339" s="54"/>
      <c r="AA339">
        <f t="shared" si="68"/>
        <v>3500</v>
      </c>
      <c r="AD339" t="str">
        <f t="shared" si="69"/>
        <v>480</v>
      </c>
      <c r="AE339">
        <f t="shared" si="70"/>
        <v>0</v>
      </c>
      <c r="AG339" s="50" t="str">
        <f t="shared" si="71"/>
        <v>BATI. COMM PRELEVEMENT FONDS RESERVE INFRASTRUCTURES (9282.8)</v>
      </c>
      <c r="AH339" s="244" t="str">
        <f t="shared" si="72"/>
        <v>99000</v>
      </c>
      <c r="AI339" s="219"/>
      <c r="AJ339" s="219"/>
      <c r="AK339" s="219" t="str">
        <f t="shared" si="73"/>
        <v>4894</v>
      </c>
      <c r="AL339" s="244" t="str">
        <f t="shared" si="74"/>
        <v>00</v>
      </c>
      <c r="AN339" s="219" t="str">
        <f t="shared" si="75"/>
        <v>Prélèvement sur la réserve de politique budgétaire</v>
      </c>
    </row>
    <row r="340" spans="1:40" ht="15" customHeight="1" x14ac:dyDescent="0.3">
      <c r="A340" s="48">
        <v>0</v>
      </c>
      <c r="B340" s="49" t="s">
        <v>526</v>
      </c>
      <c r="C340" s="50" t="s">
        <v>527</v>
      </c>
      <c r="D340" s="46" t="s">
        <v>1459</v>
      </c>
      <c r="E340" s="46" t="s">
        <v>525</v>
      </c>
      <c r="F340" s="46">
        <v>3501</v>
      </c>
      <c r="G340" s="46" t="s">
        <v>25</v>
      </c>
      <c r="H340" s="46"/>
      <c r="I340" s="51">
        <v>0</v>
      </c>
      <c r="J340" s="51">
        <v>0</v>
      </c>
      <c r="K340" s="51">
        <f t="shared" si="76"/>
        <v>0</v>
      </c>
      <c r="L340" s="51">
        <v>9000</v>
      </c>
      <c r="M340" s="51">
        <v>0</v>
      </c>
      <c r="N340" s="51">
        <f t="shared" si="77"/>
        <v>9000</v>
      </c>
      <c r="O340" s="51">
        <v>329</v>
      </c>
      <c r="P340" s="179" t="s">
        <v>1799</v>
      </c>
      <c r="Q340" s="179" t="s">
        <v>1504</v>
      </c>
      <c r="R340" s="179" t="s">
        <v>2137</v>
      </c>
      <c r="S340" s="57" t="s">
        <v>2186</v>
      </c>
      <c r="T340" s="54"/>
      <c r="U340" s="54"/>
      <c r="AA340">
        <f t="shared" si="68"/>
        <v>3501</v>
      </c>
      <c r="AD340" t="str">
        <f t="shared" si="69"/>
        <v>311</v>
      </c>
      <c r="AE340">
        <f t="shared" si="70"/>
        <v>0</v>
      </c>
      <c r="AG340" s="50" t="str">
        <f t="shared" si="71"/>
        <v>ANCIENNE POSTE  ACHATS MOBILIER MACH. MATERIEL COMMUNAL</v>
      </c>
      <c r="AH340" s="244" t="str">
        <f t="shared" si="72"/>
        <v>96302</v>
      </c>
      <c r="AI340" s="219"/>
      <c r="AJ340" s="219"/>
      <c r="AK340" s="219" t="str">
        <f t="shared" si="73"/>
        <v>3439</v>
      </c>
      <c r="AL340" s="244" t="str">
        <f t="shared" si="74"/>
        <v>07</v>
      </c>
      <c r="AN340" s="219" t="str">
        <f t="shared" si="75"/>
        <v>Autres charges de biens-fonds PF  | Bât Epicerie / Cézille 2 | Achat mobilier</v>
      </c>
    </row>
    <row r="341" spans="1:40" ht="15" customHeight="1" x14ac:dyDescent="0.3">
      <c r="A341" s="48">
        <v>0</v>
      </c>
      <c r="B341" s="49" t="s">
        <v>528</v>
      </c>
      <c r="C341" s="50" t="s">
        <v>529</v>
      </c>
      <c r="D341" s="46" t="s">
        <v>1459</v>
      </c>
      <c r="E341" s="46" t="s">
        <v>525</v>
      </c>
      <c r="F341" s="46">
        <v>3501</v>
      </c>
      <c r="G341" s="46" t="s">
        <v>159</v>
      </c>
      <c r="H341" s="46"/>
      <c r="I341" s="51">
        <v>0</v>
      </c>
      <c r="J341" s="51">
        <v>0</v>
      </c>
      <c r="K341" s="51">
        <f t="shared" si="76"/>
        <v>0</v>
      </c>
      <c r="L341" s="51">
        <v>0</v>
      </c>
      <c r="M341" s="51">
        <v>0</v>
      </c>
      <c r="N341" s="51">
        <f t="shared" si="77"/>
        <v>0</v>
      </c>
      <c r="O341" s="51">
        <v>0</v>
      </c>
      <c r="P341" s="179" t="s">
        <v>1489</v>
      </c>
      <c r="Q341" s="179" t="s">
        <v>1489</v>
      </c>
      <c r="R341" s="179" t="s">
        <v>1489</v>
      </c>
      <c r="S341" s="47"/>
      <c r="T341" s="54"/>
      <c r="U341" s="54"/>
      <c r="AA341">
        <f t="shared" si="68"/>
        <v>3501</v>
      </c>
      <c r="AD341" t="str">
        <f t="shared" si="69"/>
        <v>312</v>
      </c>
      <c r="AE341">
        <f t="shared" si="70"/>
        <v>0</v>
      </c>
      <c r="AG341" s="50" t="str">
        <f t="shared" si="71"/>
        <v>ANCIENNE POSTE  ACHATS ELECTRICITE COMMUNAL</v>
      </c>
      <c r="AH341" s="244" t="str">
        <f t="shared" si="72"/>
        <v>-</v>
      </c>
      <c r="AI341" s="219"/>
      <c r="AJ341" s="219"/>
      <c r="AK341" s="219" t="str">
        <f t="shared" si="73"/>
        <v>-</v>
      </c>
      <c r="AL341" s="244" t="str">
        <f t="shared" si="74"/>
        <v>-</v>
      </c>
      <c r="AN341" s="219">
        <f t="shared" si="75"/>
        <v>0</v>
      </c>
    </row>
    <row r="342" spans="1:40" ht="15" customHeight="1" x14ac:dyDescent="0.3">
      <c r="A342" s="48">
        <v>0</v>
      </c>
      <c r="B342" s="49" t="s">
        <v>530</v>
      </c>
      <c r="C342" s="50" t="s">
        <v>531</v>
      </c>
      <c r="D342" s="46" t="s">
        <v>1459</v>
      </c>
      <c r="E342" s="46" t="s">
        <v>525</v>
      </c>
      <c r="F342" s="46">
        <v>3501</v>
      </c>
      <c r="G342" s="46" t="s">
        <v>159</v>
      </c>
      <c r="H342" s="46">
        <v>1</v>
      </c>
      <c r="I342" s="51">
        <v>0</v>
      </c>
      <c r="J342" s="51">
        <v>0</v>
      </c>
      <c r="K342" s="51">
        <f t="shared" si="76"/>
        <v>0</v>
      </c>
      <c r="L342" s="51">
        <v>0</v>
      </c>
      <c r="M342" s="51">
        <v>0</v>
      </c>
      <c r="N342" s="51">
        <f t="shared" si="77"/>
        <v>0</v>
      </c>
      <c r="O342" s="51">
        <v>0</v>
      </c>
      <c r="P342" s="179" t="s">
        <v>1489</v>
      </c>
      <c r="Q342" s="179" t="s">
        <v>1489</v>
      </c>
      <c r="R342" s="179" t="s">
        <v>1489</v>
      </c>
      <c r="S342" s="47"/>
      <c r="T342" s="54"/>
      <c r="U342" s="54"/>
      <c r="AA342">
        <f t="shared" si="68"/>
        <v>3501</v>
      </c>
      <c r="AD342" t="str">
        <f t="shared" si="69"/>
        <v>312</v>
      </c>
      <c r="AE342">
        <f t="shared" si="70"/>
        <v>1</v>
      </c>
      <c r="AG342" s="50" t="str">
        <f t="shared" si="71"/>
        <v>ANCIENNE POSTE  ACHATS COMBUSTIBLE COMMUNAL</v>
      </c>
      <c r="AH342" s="244" t="str">
        <f t="shared" si="72"/>
        <v>-</v>
      </c>
      <c r="AI342" s="219"/>
      <c r="AJ342" s="219"/>
      <c r="AK342" s="219" t="str">
        <f t="shared" si="73"/>
        <v>-</v>
      </c>
      <c r="AL342" s="244" t="str">
        <f t="shared" si="74"/>
        <v>-</v>
      </c>
      <c r="AN342" s="219">
        <f t="shared" si="75"/>
        <v>0</v>
      </c>
    </row>
    <row r="343" spans="1:40" ht="15" customHeight="1" x14ac:dyDescent="0.3">
      <c r="A343" s="48">
        <v>0</v>
      </c>
      <c r="B343" s="49" t="s">
        <v>532</v>
      </c>
      <c r="C343" s="50" t="s">
        <v>533</v>
      </c>
      <c r="D343" s="46" t="s">
        <v>1459</v>
      </c>
      <c r="E343" s="46" t="s">
        <v>525</v>
      </c>
      <c r="F343" s="46">
        <v>3501</v>
      </c>
      <c r="G343" s="46" t="s">
        <v>439</v>
      </c>
      <c r="H343" s="46"/>
      <c r="I343" s="51">
        <v>0</v>
      </c>
      <c r="J343" s="51">
        <v>0</v>
      </c>
      <c r="K343" s="51">
        <f t="shared" si="76"/>
        <v>0</v>
      </c>
      <c r="L343" s="51">
        <v>0</v>
      </c>
      <c r="M343" s="51">
        <v>0</v>
      </c>
      <c r="N343" s="51">
        <f t="shared" si="77"/>
        <v>0</v>
      </c>
      <c r="O343" s="51">
        <v>0</v>
      </c>
      <c r="P343" s="179" t="s">
        <v>1489</v>
      </c>
      <c r="Q343" s="179" t="s">
        <v>1489</v>
      </c>
      <c r="R343" s="179" t="s">
        <v>1489</v>
      </c>
      <c r="S343" s="47"/>
      <c r="T343" s="54"/>
      <c r="U343" s="54"/>
      <c r="AA343">
        <f t="shared" si="68"/>
        <v>3501</v>
      </c>
      <c r="AD343" t="str">
        <f t="shared" si="69"/>
        <v>313</v>
      </c>
      <c r="AE343">
        <f t="shared" si="70"/>
        <v>0</v>
      </c>
      <c r="AG343" s="50" t="str">
        <f t="shared" si="71"/>
        <v>ANCIENNE POSTE  ACHATS MARCH PROD ENT</v>
      </c>
      <c r="AH343" s="244" t="str">
        <f t="shared" si="72"/>
        <v>-</v>
      </c>
      <c r="AI343" s="219"/>
      <c r="AJ343" s="219"/>
      <c r="AK343" s="219" t="str">
        <f t="shared" si="73"/>
        <v>-</v>
      </c>
      <c r="AL343" s="244" t="str">
        <f t="shared" si="74"/>
        <v>-</v>
      </c>
      <c r="AN343" s="219">
        <f t="shared" si="75"/>
        <v>0</v>
      </c>
    </row>
    <row r="344" spans="1:40" ht="15" customHeight="1" x14ac:dyDescent="0.3">
      <c r="A344" s="48">
        <v>0</v>
      </c>
      <c r="B344" s="49" t="s">
        <v>534</v>
      </c>
      <c r="C344" s="50" t="s">
        <v>535</v>
      </c>
      <c r="D344" s="46" t="s">
        <v>1459</v>
      </c>
      <c r="E344" s="46" t="s">
        <v>525</v>
      </c>
      <c r="F344" s="46">
        <v>3501</v>
      </c>
      <c r="G344" s="46" t="s">
        <v>131</v>
      </c>
      <c r="H344" s="46"/>
      <c r="I344" s="51">
        <v>0</v>
      </c>
      <c r="J344" s="51">
        <v>0</v>
      </c>
      <c r="K344" s="51">
        <f t="shared" si="76"/>
        <v>0</v>
      </c>
      <c r="L344" s="51">
        <v>1000</v>
      </c>
      <c r="M344" s="51">
        <v>0</v>
      </c>
      <c r="N344" s="51">
        <f t="shared" si="77"/>
        <v>1000</v>
      </c>
      <c r="O344" s="51">
        <v>0</v>
      </c>
      <c r="P344" s="179" t="s">
        <v>1799</v>
      </c>
      <c r="Q344" s="179" t="s">
        <v>1822</v>
      </c>
      <c r="R344" s="179" t="s">
        <v>2131</v>
      </c>
      <c r="S344" s="57" t="s">
        <v>2187</v>
      </c>
      <c r="T344" s="54"/>
      <c r="U344" s="54"/>
      <c r="AA344">
        <f t="shared" si="68"/>
        <v>3501</v>
      </c>
      <c r="AD344" t="str">
        <f t="shared" si="69"/>
        <v>314</v>
      </c>
      <c r="AE344">
        <f t="shared" si="70"/>
        <v>0</v>
      </c>
      <c r="AG344" s="50" t="str">
        <f t="shared" si="71"/>
        <v>ANCIENNE POSTE  ENTRETIEN COMMUNAL</v>
      </c>
      <c r="AH344" s="244" t="str">
        <f t="shared" si="72"/>
        <v>96302</v>
      </c>
      <c r="AI344" s="219"/>
      <c r="AJ344" s="219"/>
      <c r="AK344" s="219" t="str">
        <f t="shared" si="73"/>
        <v>3430</v>
      </c>
      <c r="AL344" s="244" t="str">
        <f t="shared" si="74"/>
        <v>00</v>
      </c>
      <c r="AN344" s="219" t="str">
        <f t="shared" si="75"/>
        <v>Tavaux Ponctuels, biens-fonds PF | Bât Epicerie / Cézille 2 |</v>
      </c>
    </row>
    <row r="345" spans="1:40" ht="15" customHeight="1" x14ac:dyDescent="0.3">
      <c r="A345" s="48">
        <v>0</v>
      </c>
      <c r="B345" s="49" t="s">
        <v>536</v>
      </c>
      <c r="C345" s="50" t="s">
        <v>537</v>
      </c>
      <c r="D345" s="46" t="s">
        <v>1459</v>
      </c>
      <c r="E345" s="46" t="s">
        <v>525</v>
      </c>
      <c r="F345" s="46">
        <v>3501</v>
      </c>
      <c r="G345" s="46" t="s">
        <v>131</v>
      </c>
      <c r="H345" s="46">
        <v>1</v>
      </c>
      <c r="I345" s="51">
        <v>0</v>
      </c>
      <c r="J345" s="51">
        <v>0</v>
      </c>
      <c r="K345" s="51">
        <f t="shared" si="76"/>
        <v>0</v>
      </c>
      <c r="L345" s="51">
        <v>0</v>
      </c>
      <c r="M345" s="51">
        <v>0</v>
      </c>
      <c r="N345" s="51">
        <f t="shared" si="77"/>
        <v>0</v>
      </c>
      <c r="O345" s="51">
        <v>0</v>
      </c>
      <c r="P345" s="179" t="s">
        <v>1489</v>
      </c>
      <c r="Q345" s="179" t="s">
        <v>1489</v>
      </c>
      <c r="R345" s="179" t="s">
        <v>1489</v>
      </c>
      <c r="S345" s="47"/>
      <c r="T345" s="54"/>
      <c r="U345" s="54"/>
      <c r="AA345">
        <f t="shared" si="68"/>
        <v>3501</v>
      </c>
      <c r="AD345" t="str">
        <f t="shared" si="69"/>
        <v>314</v>
      </c>
      <c r="AE345">
        <f t="shared" si="70"/>
        <v>1</v>
      </c>
      <c r="AG345" s="50" t="str">
        <f t="shared" si="71"/>
        <v>ANCIENNE POSTE  CONTRATS ENTRETIEN BÂT</v>
      </c>
      <c r="AH345" s="244" t="str">
        <f t="shared" si="72"/>
        <v>-</v>
      </c>
      <c r="AI345" s="219"/>
      <c r="AJ345" s="219"/>
      <c r="AK345" s="219" t="str">
        <f t="shared" si="73"/>
        <v>-</v>
      </c>
      <c r="AL345" s="244" t="str">
        <f t="shared" si="74"/>
        <v>-</v>
      </c>
      <c r="AN345" s="219">
        <f t="shared" si="75"/>
        <v>0</v>
      </c>
    </row>
    <row r="346" spans="1:40" ht="15" customHeight="1" x14ac:dyDescent="0.3">
      <c r="A346" s="48">
        <v>0</v>
      </c>
      <c r="B346" s="74" t="s">
        <v>538</v>
      </c>
      <c r="C346" s="67" t="s">
        <v>539</v>
      </c>
      <c r="D346" s="188" t="s">
        <v>1459</v>
      </c>
      <c r="E346" s="188" t="s">
        <v>525</v>
      </c>
      <c r="F346" s="46">
        <v>3501</v>
      </c>
      <c r="G346" s="188" t="s">
        <v>131</v>
      </c>
      <c r="H346" s="188">
        <v>2</v>
      </c>
      <c r="I346" s="51">
        <v>9721.11</v>
      </c>
      <c r="J346" s="51">
        <v>0</v>
      </c>
      <c r="K346" s="51">
        <f t="shared" si="76"/>
        <v>9721.11</v>
      </c>
      <c r="L346" s="51">
        <v>12000</v>
      </c>
      <c r="M346" s="51">
        <v>0</v>
      </c>
      <c r="N346" s="51">
        <f t="shared" si="77"/>
        <v>12000</v>
      </c>
      <c r="O346" s="51">
        <v>0</v>
      </c>
      <c r="P346" s="179" t="s">
        <v>1799</v>
      </c>
      <c r="Q346" s="179" t="s">
        <v>1812</v>
      </c>
      <c r="R346" s="179" t="s">
        <v>2131</v>
      </c>
      <c r="S346" s="57" t="s">
        <v>2188</v>
      </c>
      <c r="T346" s="54">
        <f>+I346</f>
        <v>9721.11</v>
      </c>
      <c r="U346" s="54">
        <v>10000</v>
      </c>
      <c r="AA346">
        <f t="shared" si="68"/>
        <v>3501</v>
      </c>
      <c r="AD346" t="str">
        <f t="shared" si="69"/>
        <v>314</v>
      </c>
      <c r="AE346">
        <f t="shared" si="70"/>
        <v>2</v>
      </c>
      <c r="AG346" s="50" t="str">
        <f t="shared" si="71"/>
        <v>ANCIENNE POSTE  DECPTE CHARGES REGIE SPG - VALAUR SA</v>
      </c>
      <c r="AH346" s="244" t="str">
        <f t="shared" si="72"/>
        <v>96302</v>
      </c>
      <c r="AI346" s="219"/>
      <c r="AJ346" s="219"/>
      <c r="AK346" s="219" t="str">
        <f t="shared" si="73"/>
        <v>3431</v>
      </c>
      <c r="AL346" s="244" t="str">
        <f t="shared" si="74"/>
        <v>00</v>
      </c>
      <c r="AN346" s="219" t="str">
        <f t="shared" si="75"/>
        <v>Entretien courant, biens-fonds PF Bât | Bât Epicerie / Cézille 2 |</v>
      </c>
    </row>
    <row r="347" spans="1:40" ht="15" customHeight="1" x14ac:dyDescent="0.3">
      <c r="A347" s="48"/>
      <c r="B347" s="74" t="s">
        <v>538</v>
      </c>
      <c r="C347" s="67" t="s">
        <v>539</v>
      </c>
      <c r="D347" s="188" t="s">
        <v>1459</v>
      </c>
      <c r="E347" s="188" t="s">
        <v>525</v>
      </c>
      <c r="F347" s="46">
        <v>3501</v>
      </c>
      <c r="G347" s="188" t="s">
        <v>131</v>
      </c>
      <c r="H347" s="188">
        <v>2</v>
      </c>
      <c r="I347" s="51"/>
      <c r="J347" s="51"/>
      <c r="K347" s="51">
        <f t="shared" si="76"/>
        <v>0</v>
      </c>
      <c r="L347" s="51"/>
      <c r="M347" s="51"/>
      <c r="N347" s="51">
        <f t="shared" si="77"/>
        <v>0</v>
      </c>
      <c r="O347" s="51"/>
      <c r="P347" s="179" t="s">
        <v>1799</v>
      </c>
      <c r="Q347" s="179" t="s">
        <v>1504</v>
      </c>
      <c r="R347" s="179" t="s">
        <v>2131</v>
      </c>
      <c r="S347" s="57" t="s">
        <v>2189</v>
      </c>
      <c r="T347" s="54"/>
      <c r="U347" s="54"/>
      <c r="AA347">
        <f t="shared" si="68"/>
        <v>3501</v>
      </c>
      <c r="AD347" t="str">
        <f t="shared" si="69"/>
        <v>314</v>
      </c>
      <c r="AE347">
        <f t="shared" si="70"/>
        <v>2</v>
      </c>
      <c r="AG347" s="50" t="str">
        <f t="shared" si="71"/>
        <v>ANCIENNE POSTE  DECPTE CHARGES REGIE SPG - VALAUR SA</v>
      </c>
      <c r="AH347" s="244" t="str">
        <f t="shared" si="72"/>
        <v>96302</v>
      </c>
      <c r="AI347" s="219"/>
      <c r="AJ347" s="219"/>
      <c r="AK347" s="219" t="str">
        <f t="shared" si="73"/>
        <v>3439</v>
      </c>
      <c r="AL347" s="244" t="str">
        <f t="shared" si="74"/>
        <v>00</v>
      </c>
      <c r="AN347" s="219" t="str">
        <f t="shared" si="75"/>
        <v>Autres charges de biens-fonds PF | Bât Epicerie / Cézille 2 | Assurances</v>
      </c>
    </row>
    <row r="348" spans="1:40" ht="15" customHeight="1" x14ac:dyDescent="0.3">
      <c r="A348" s="48"/>
      <c r="B348" s="74" t="s">
        <v>538</v>
      </c>
      <c r="C348" s="67" t="s">
        <v>539</v>
      </c>
      <c r="D348" s="188" t="s">
        <v>1459</v>
      </c>
      <c r="E348" s="188" t="s">
        <v>525</v>
      </c>
      <c r="F348" s="46">
        <v>3501</v>
      </c>
      <c r="G348" s="188" t="s">
        <v>131</v>
      </c>
      <c r="H348" s="188">
        <v>2</v>
      </c>
      <c r="I348" s="51"/>
      <c r="J348" s="51"/>
      <c r="K348" s="51">
        <f t="shared" si="76"/>
        <v>0</v>
      </c>
      <c r="L348" s="51"/>
      <c r="M348" s="51"/>
      <c r="N348" s="51">
        <f t="shared" si="77"/>
        <v>0</v>
      </c>
      <c r="O348" s="51"/>
      <c r="P348" s="179" t="s">
        <v>1799</v>
      </c>
      <c r="Q348" s="179" t="s">
        <v>1504</v>
      </c>
      <c r="R348" s="179" t="s">
        <v>2132</v>
      </c>
      <c r="S348" s="57" t="s">
        <v>2190</v>
      </c>
      <c r="T348" s="54"/>
      <c r="U348" s="54"/>
      <c r="AA348">
        <f t="shared" si="68"/>
        <v>3501</v>
      </c>
      <c r="AD348" t="str">
        <f t="shared" si="69"/>
        <v>314</v>
      </c>
      <c r="AE348">
        <f t="shared" si="70"/>
        <v>2</v>
      </c>
      <c r="AG348" s="50" t="str">
        <f t="shared" si="71"/>
        <v>ANCIENNE POSTE  DECPTE CHARGES REGIE SPG - VALAUR SA</v>
      </c>
      <c r="AH348" s="244" t="str">
        <f t="shared" si="72"/>
        <v>96302</v>
      </c>
      <c r="AI348" s="219"/>
      <c r="AJ348" s="219"/>
      <c r="AK348" s="219" t="str">
        <f t="shared" si="73"/>
        <v>3439</v>
      </c>
      <c r="AL348" s="244" t="str">
        <f t="shared" si="74"/>
        <v>01</v>
      </c>
      <c r="AN348" s="219" t="str">
        <f t="shared" si="75"/>
        <v>Autres charges de biens-fonds PF | Bât Epicerie / Cézille 2 | Eau</v>
      </c>
    </row>
    <row r="349" spans="1:40" ht="15" customHeight="1" x14ac:dyDescent="0.3">
      <c r="A349" s="48"/>
      <c r="B349" s="74" t="s">
        <v>538</v>
      </c>
      <c r="C349" s="67" t="s">
        <v>539</v>
      </c>
      <c r="D349" s="188" t="s">
        <v>1459</v>
      </c>
      <c r="E349" s="188" t="s">
        <v>525</v>
      </c>
      <c r="F349" s="46">
        <v>3501</v>
      </c>
      <c r="G349" s="188" t="s">
        <v>131</v>
      </c>
      <c r="H349" s="188">
        <v>2</v>
      </c>
      <c r="I349" s="51"/>
      <c r="J349" s="51"/>
      <c r="K349" s="51">
        <f t="shared" si="76"/>
        <v>0</v>
      </c>
      <c r="L349" s="51"/>
      <c r="M349" s="51"/>
      <c r="N349" s="51">
        <f t="shared" si="77"/>
        <v>0</v>
      </c>
      <c r="O349" s="51"/>
      <c r="P349" s="179" t="s">
        <v>1799</v>
      </c>
      <c r="Q349" s="179" t="s">
        <v>1504</v>
      </c>
      <c r="R349" s="179" t="s">
        <v>2133</v>
      </c>
      <c r="S349" s="57" t="s">
        <v>2191</v>
      </c>
      <c r="T349" s="54"/>
      <c r="U349" s="54"/>
      <c r="AA349">
        <f t="shared" si="68"/>
        <v>3501</v>
      </c>
      <c r="AD349" t="str">
        <f t="shared" si="69"/>
        <v>314</v>
      </c>
      <c r="AE349">
        <f t="shared" si="70"/>
        <v>2</v>
      </c>
      <c r="AG349" s="50" t="str">
        <f t="shared" si="71"/>
        <v>ANCIENNE POSTE  DECPTE CHARGES REGIE SPG - VALAUR SA</v>
      </c>
      <c r="AH349" s="244" t="str">
        <f t="shared" si="72"/>
        <v>96302</v>
      </c>
      <c r="AI349" s="219"/>
      <c r="AJ349" s="219"/>
      <c r="AK349" s="219" t="str">
        <f t="shared" si="73"/>
        <v>3439</v>
      </c>
      <c r="AL349" s="244" t="str">
        <f t="shared" si="74"/>
        <v>02</v>
      </c>
      <c r="AN349" s="219" t="str">
        <f t="shared" si="75"/>
        <v>Autres charges de biens-fonds PF | Bât Epicerie / Cézille 2 | Electricité</v>
      </c>
    </row>
    <row r="350" spans="1:40" ht="15" customHeight="1" x14ac:dyDescent="0.3">
      <c r="A350" s="48"/>
      <c r="B350" s="74" t="s">
        <v>538</v>
      </c>
      <c r="C350" s="67" t="s">
        <v>539</v>
      </c>
      <c r="D350" s="188" t="s">
        <v>1459</v>
      </c>
      <c r="E350" s="188" t="s">
        <v>525</v>
      </c>
      <c r="F350" s="46">
        <v>3501</v>
      </c>
      <c r="G350" s="188" t="s">
        <v>131</v>
      </c>
      <c r="H350" s="188">
        <v>2</v>
      </c>
      <c r="I350" s="51"/>
      <c r="J350" s="51"/>
      <c r="K350" s="51">
        <f t="shared" si="76"/>
        <v>0</v>
      </c>
      <c r="L350" s="51"/>
      <c r="M350" s="51"/>
      <c r="N350" s="51">
        <f t="shared" si="77"/>
        <v>0</v>
      </c>
      <c r="O350" s="51"/>
      <c r="P350" s="179" t="s">
        <v>1799</v>
      </c>
      <c r="Q350" s="179" t="s">
        <v>1504</v>
      </c>
      <c r="R350" s="179" t="s">
        <v>2134</v>
      </c>
      <c r="S350" s="57" t="s">
        <v>2192</v>
      </c>
      <c r="T350" s="54"/>
      <c r="U350" s="54"/>
      <c r="AA350">
        <f t="shared" si="68"/>
        <v>3501</v>
      </c>
      <c r="AD350" t="str">
        <f t="shared" si="69"/>
        <v>314</v>
      </c>
      <c r="AE350">
        <f t="shared" si="70"/>
        <v>2</v>
      </c>
      <c r="AG350" s="50" t="str">
        <f t="shared" si="71"/>
        <v>ANCIENNE POSTE  DECPTE CHARGES REGIE SPG - VALAUR SA</v>
      </c>
      <c r="AH350" s="244" t="str">
        <f t="shared" si="72"/>
        <v>96302</v>
      </c>
      <c r="AI350" s="219"/>
      <c r="AJ350" s="219"/>
      <c r="AK350" s="219" t="str">
        <f t="shared" si="73"/>
        <v>3439</v>
      </c>
      <c r="AL350" s="244" t="str">
        <f t="shared" si="74"/>
        <v>03</v>
      </c>
      <c r="AN350" s="219" t="str">
        <f t="shared" si="75"/>
        <v>Autres charges de biens-fonds PF | Bât Epicerie / Cézille 2 | Chauffage</v>
      </c>
    </row>
    <row r="351" spans="1:40" ht="15" customHeight="1" x14ac:dyDescent="0.3">
      <c r="A351" s="48"/>
      <c r="B351" s="74" t="s">
        <v>538</v>
      </c>
      <c r="C351" s="67" t="s">
        <v>539</v>
      </c>
      <c r="D351" s="188" t="s">
        <v>1459</v>
      </c>
      <c r="E351" s="188" t="s">
        <v>525</v>
      </c>
      <c r="F351" s="46">
        <v>3501</v>
      </c>
      <c r="G351" s="188" t="s">
        <v>131</v>
      </c>
      <c r="H351" s="188">
        <v>2</v>
      </c>
      <c r="I351" s="51"/>
      <c r="J351" s="51"/>
      <c r="K351" s="51">
        <f t="shared" si="76"/>
        <v>0</v>
      </c>
      <c r="L351" s="51"/>
      <c r="M351" s="51"/>
      <c r="N351" s="51">
        <f t="shared" si="77"/>
        <v>0</v>
      </c>
      <c r="O351" s="51"/>
      <c r="P351" s="179" t="s">
        <v>1799</v>
      </c>
      <c r="Q351" s="179" t="s">
        <v>1504</v>
      </c>
      <c r="R351" s="179" t="s">
        <v>2135</v>
      </c>
      <c r="S351" s="57" t="s">
        <v>2193</v>
      </c>
      <c r="T351" s="54"/>
      <c r="U351" s="54"/>
      <c r="AA351">
        <f t="shared" si="68"/>
        <v>3501</v>
      </c>
      <c r="AD351" t="str">
        <f t="shared" si="69"/>
        <v>314</v>
      </c>
      <c r="AE351">
        <f t="shared" si="70"/>
        <v>2</v>
      </c>
      <c r="AG351" s="50" t="str">
        <f t="shared" si="71"/>
        <v>ANCIENNE POSTE  DECPTE CHARGES REGIE SPG - VALAUR SA</v>
      </c>
      <c r="AH351" s="244" t="str">
        <f t="shared" si="72"/>
        <v>96302</v>
      </c>
      <c r="AI351" s="219"/>
      <c r="AJ351" s="219"/>
      <c r="AK351" s="219" t="str">
        <f t="shared" si="73"/>
        <v>3439</v>
      </c>
      <c r="AL351" s="244" t="str">
        <f t="shared" si="74"/>
        <v>04</v>
      </c>
      <c r="AN351" s="219" t="str">
        <f t="shared" si="75"/>
        <v>Autres charges de biens-fonds PF | Bât Epicerie / Cézille 2 | Frais de gérance</v>
      </c>
    </row>
    <row r="352" spans="1:40" ht="15" customHeight="1" x14ac:dyDescent="0.3">
      <c r="A352" s="48"/>
      <c r="B352" s="74" t="s">
        <v>538</v>
      </c>
      <c r="C352" s="67" t="s">
        <v>539</v>
      </c>
      <c r="D352" s="188" t="s">
        <v>1459</v>
      </c>
      <c r="E352" s="188" t="s">
        <v>525</v>
      </c>
      <c r="F352" s="46">
        <v>3501</v>
      </c>
      <c r="G352" s="188" t="s">
        <v>131</v>
      </c>
      <c r="H352" s="188">
        <v>2</v>
      </c>
      <c r="I352" s="51"/>
      <c r="J352" s="51"/>
      <c r="K352" s="51">
        <f t="shared" si="76"/>
        <v>0</v>
      </c>
      <c r="L352" s="51"/>
      <c r="M352" s="51"/>
      <c r="N352" s="51">
        <f t="shared" si="77"/>
        <v>0</v>
      </c>
      <c r="O352" s="51"/>
      <c r="P352" s="179" t="s">
        <v>1799</v>
      </c>
      <c r="Q352" s="179" t="s">
        <v>1822</v>
      </c>
      <c r="R352" s="179" t="s">
        <v>2131</v>
      </c>
      <c r="S352" s="57" t="s">
        <v>2187</v>
      </c>
      <c r="T352" s="54"/>
      <c r="U352" s="54"/>
      <c r="AA352">
        <f t="shared" si="68"/>
        <v>3501</v>
      </c>
      <c r="AD352" t="str">
        <f t="shared" si="69"/>
        <v>314</v>
      </c>
      <c r="AE352">
        <f t="shared" si="70"/>
        <v>2</v>
      </c>
      <c r="AG352" s="50" t="str">
        <f t="shared" si="71"/>
        <v>ANCIENNE POSTE  DECPTE CHARGES REGIE SPG - VALAUR SA</v>
      </c>
      <c r="AH352" s="244" t="str">
        <f t="shared" si="72"/>
        <v>96302</v>
      </c>
      <c r="AI352" s="219"/>
      <c r="AJ352" s="219"/>
      <c r="AK352" s="219" t="str">
        <f t="shared" si="73"/>
        <v>3430</v>
      </c>
      <c r="AL352" s="244" t="str">
        <f t="shared" si="74"/>
        <v>00</v>
      </c>
      <c r="AN352" s="219" t="str">
        <f t="shared" si="75"/>
        <v>Tavaux Ponctuels, biens-fonds PF | Bât Epicerie / Cézille 2 |</v>
      </c>
    </row>
    <row r="353" spans="1:40" ht="15" customHeight="1" x14ac:dyDescent="0.3">
      <c r="A353" s="48">
        <v>0</v>
      </c>
      <c r="B353" s="49" t="s">
        <v>540</v>
      </c>
      <c r="C353" s="50" t="s">
        <v>541</v>
      </c>
      <c r="D353" s="46" t="s">
        <v>1459</v>
      </c>
      <c r="E353" s="46" t="s">
        <v>525</v>
      </c>
      <c r="F353" s="46">
        <v>3501</v>
      </c>
      <c r="G353" s="46" t="s">
        <v>123</v>
      </c>
      <c r="H353" s="46"/>
      <c r="I353" s="51">
        <v>0</v>
      </c>
      <c r="J353" s="51">
        <v>0</v>
      </c>
      <c r="K353" s="51">
        <f t="shared" si="76"/>
        <v>0</v>
      </c>
      <c r="L353" s="51">
        <v>1000</v>
      </c>
      <c r="M353" s="51">
        <v>0</v>
      </c>
      <c r="N353" s="51">
        <f t="shared" si="77"/>
        <v>1000</v>
      </c>
      <c r="O353" s="51">
        <v>0</v>
      </c>
      <c r="P353" s="179" t="s">
        <v>1799</v>
      </c>
      <c r="Q353" s="179" t="s">
        <v>1812</v>
      </c>
      <c r="R353" s="179" t="s">
        <v>2131</v>
      </c>
      <c r="S353" s="57" t="s">
        <v>2194</v>
      </c>
      <c r="T353" s="54"/>
      <c r="U353" s="54"/>
      <c r="AA353">
        <f t="shared" si="68"/>
        <v>3501</v>
      </c>
      <c r="AD353" t="str">
        <f t="shared" si="69"/>
        <v>315</v>
      </c>
      <c r="AE353">
        <f t="shared" si="70"/>
        <v>0</v>
      </c>
      <c r="AG353" s="50" t="str">
        <f t="shared" si="71"/>
        <v>ANCIENNE POSTE  ENT MOB et INST TECH COMMUNAL</v>
      </c>
      <c r="AH353" s="244" t="str">
        <f t="shared" si="72"/>
        <v>96302</v>
      </c>
      <c r="AI353" s="219"/>
      <c r="AJ353" s="219"/>
      <c r="AK353" s="219" t="str">
        <f t="shared" si="73"/>
        <v>3431</v>
      </c>
      <c r="AL353" s="244" t="str">
        <f t="shared" si="74"/>
        <v>00</v>
      </c>
      <c r="AN353" s="219" t="str">
        <f t="shared" si="75"/>
        <v>Entretien courant, biens-fonds PF| Bât Epicerie / Cézille 2 |</v>
      </c>
    </row>
    <row r="354" spans="1:40" ht="15" customHeight="1" x14ac:dyDescent="0.3">
      <c r="A354" s="48">
        <v>0</v>
      </c>
      <c r="B354" s="49" t="s">
        <v>542</v>
      </c>
      <c r="C354" s="50" t="s">
        <v>543</v>
      </c>
      <c r="D354" s="46" t="s">
        <v>1459</v>
      </c>
      <c r="E354" s="46" t="s">
        <v>525</v>
      </c>
      <c r="F354" s="46">
        <v>3501</v>
      </c>
      <c r="G354" s="46" t="s">
        <v>123</v>
      </c>
      <c r="H354" s="46">
        <v>1</v>
      </c>
      <c r="I354" s="51">
        <v>0</v>
      </c>
      <c r="J354" s="51">
        <v>0</v>
      </c>
      <c r="K354" s="51">
        <f t="shared" si="76"/>
        <v>0</v>
      </c>
      <c r="L354" s="51">
        <v>0</v>
      </c>
      <c r="M354" s="51">
        <v>0</v>
      </c>
      <c r="N354" s="51">
        <f t="shared" si="77"/>
        <v>0</v>
      </c>
      <c r="O354" s="51">
        <v>0</v>
      </c>
      <c r="P354" s="179" t="s">
        <v>1489</v>
      </c>
      <c r="Q354" s="179" t="s">
        <v>1489</v>
      </c>
      <c r="R354" s="179" t="s">
        <v>1489</v>
      </c>
      <c r="S354" s="47"/>
      <c r="T354" s="54"/>
      <c r="U354" s="54"/>
      <c r="AA354">
        <f t="shared" si="68"/>
        <v>3501</v>
      </c>
      <c r="AD354" t="str">
        <f t="shared" si="69"/>
        <v>315</v>
      </c>
      <c r="AE354">
        <f t="shared" si="70"/>
        <v>1</v>
      </c>
      <c r="AG354" s="50" t="str">
        <f t="shared" si="71"/>
        <v>ANCIENNE POSTE  CONTRATS ENT INST TECH COMMUNAL</v>
      </c>
      <c r="AH354" s="244" t="str">
        <f t="shared" si="72"/>
        <v>-</v>
      </c>
      <c r="AI354" s="219"/>
      <c r="AJ354" s="219"/>
      <c r="AK354" s="219" t="str">
        <f t="shared" si="73"/>
        <v>-</v>
      </c>
      <c r="AL354" s="244" t="str">
        <f t="shared" si="74"/>
        <v>-</v>
      </c>
      <c r="AN354" s="219">
        <f t="shared" si="75"/>
        <v>0</v>
      </c>
    </row>
    <row r="355" spans="1:40" ht="15" customHeight="1" x14ac:dyDescent="0.3">
      <c r="A355" s="48">
        <v>0</v>
      </c>
      <c r="B355" s="49" t="s">
        <v>544</v>
      </c>
      <c r="C355" s="50" t="s">
        <v>545</v>
      </c>
      <c r="D355" s="46" t="s">
        <v>1459</v>
      </c>
      <c r="E355" s="46" t="s">
        <v>525</v>
      </c>
      <c r="F355" s="46">
        <v>3501</v>
      </c>
      <c r="G355" s="46" t="s">
        <v>48</v>
      </c>
      <c r="H355" s="46"/>
      <c r="I355" s="51">
        <v>1819.8</v>
      </c>
      <c r="J355" s="51">
        <v>0</v>
      </c>
      <c r="K355" s="51">
        <f t="shared" si="76"/>
        <v>1819.8</v>
      </c>
      <c r="L355" s="51">
        <v>500</v>
      </c>
      <c r="M355" s="51">
        <v>0</v>
      </c>
      <c r="N355" s="51">
        <f t="shared" si="77"/>
        <v>500</v>
      </c>
      <c r="O355" s="51">
        <v>349.2</v>
      </c>
      <c r="P355" s="179" t="s">
        <v>1794</v>
      </c>
      <c r="Q355" s="179">
        <v>3130</v>
      </c>
      <c r="R355" s="179" t="s">
        <v>2133</v>
      </c>
      <c r="S355" s="57" t="s">
        <v>2066</v>
      </c>
      <c r="T355" s="54">
        <f>+I355</f>
        <v>1819.8</v>
      </c>
      <c r="U355" s="54"/>
      <c r="W355" t="s">
        <v>1855</v>
      </c>
      <c r="AA355">
        <f t="shared" si="68"/>
        <v>3501</v>
      </c>
      <c r="AD355" t="str">
        <f t="shared" si="69"/>
        <v>318</v>
      </c>
      <c r="AE355">
        <f t="shared" si="70"/>
        <v>0</v>
      </c>
      <c r="AG355" s="50" t="str">
        <f t="shared" si="71"/>
        <v>ANCIENNE POSTE  PREST ASS, HONORAIRES, Frais divers</v>
      </c>
      <c r="AH355" s="244" t="str">
        <f t="shared" si="72"/>
        <v>02900</v>
      </c>
      <c r="AI355" s="219"/>
      <c r="AJ355" s="219"/>
      <c r="AK355" s="219">
        <f t="shared" si="73"/>
        <v>3130</v>
      </c>
      <c r="AL355" s="244" t="str">
        <f t="shared" si="74"/>
        <v>02</v>
      </c>
      <c r="AN355" s="219" t="str">
        <f t="shared" si="75"/>
        <v>Prestations de services tiers - télécommunications</v>
      </c>
    </row>
    <row r="356" spans="1:40" ht="15" customHeight="1" x14ac:dyDescent="0.3">
      <c r="A356" s="48">
        <v>0</v>
      </c>
      <c r="B356" s="49" t="s">
        <v>546</v>
      </c>
      <c r="C356" s="50" t="s">
        <v>547</v>
      </c>
      <c r="D356" s="46" t="s">
        <v>1459</v>
      </c>
      <c r="E356" s="46" t="s">
        <v>525</v>
      </c>
      <c r="F356" s="46">
        <v>3501</v>
      </c>
      <c r="G356" s="46" t="s">
        <v>6</v>
      </c>
      <c r="H356" s="46"/>
      <c r="I356" s="51">
        <v>0</v>
      </c>
      <c r="J356" s="51">
        <v>0</v>
      </c>
      <c r="K356" s="51">
        <f t="shared" si="76"/>
        <v>0</v>
      </c>
      <c r="L356" s="51">
        <v>0</v>
      </c>
      <c r="M356" s="51">
        <v>0</v>
      </c>
      <c r="N356" s="51">
        <f t="shared" si="77"/>
        <v>0</v>
      </c>
      <c r="O356" s="51">
        <v>0</v>
      </c>
      <c r="P356" s="179" t="s">
        <v>1489</v>
      </c>
      <c r="Q356" s="179" t="s">
        <v>1489</v>
      </c>
      <c r="R356" s="179" t="s">
        <v>1489</v>
      </c>
      <c r="S356" s="47"/>
      <c r="T356" s="54"/>
      <c r="U356" s="54"/>
      <c r="AA356">
        <f t="shared" si="68"/>
        <v>3501</v>
      </c>
      <c r="AD356" t="str">
        <f t="shared" si="69"/>
        <v>380</v>
      </c>
      <c r="AE356">
        <f t="shared" si="70"/>
        <v>0</v>
      </c>
      <c r="AG356" s="50" t="str">
        <f t="shared" si="71"/>
        <v>ANCIENNE POSTE  ATTRIB FONDS RENOV ATION (9281.7)</v>
      </c>
      <c r="AH356" s="244" t="str">
        <f t="shared" si="72"/>
        <v>-</v>
      </c>
      <c r="AI356" s="219"/>
      <c r="AJ356" s="219"/>
      <c r="AK356" s="219" t="str">
        <f t="shared" si="73"/>
        <v>-</v>
      </c>
      <c r="AL356" s="244" t="str">
        <f t="shared" si="74"/>
        <v>-</v>
      </c>
      <c r="AN356" s="219">
        <f t="shared" si="75"/>
        <v>0</v>
      </c>
    </row>
    <row r="357" spans="1:40" ht="15" customHeight="1" x14ac:dyDescent="0.3">
      <c r="A357" s="48">
        <v>0</v>
      </c>
      <c r="B357" s="49" t="s">
        <v>548</v>
      </c>
      <c r="C357" s="50" t="s">
        <v>549</v>
      </c>
      <c r="D357" s="46" t="s">
        <v>1459</v>
      </c>
      <c r="E357" s="46" t="s">
        <v>525</v>
      </c>
      <c r="F357" s="46">
        <v>3501</v>
      </c>
      <c r="G357" s="46" t="s">
        <v>335</v>
      </c>
      <c r="H357" s="46"/>
      <c r="I357" s="51">
        <v>0</v>
      </c>
      <c r="J357" s="51">
        <v>-2640</v>
      </c>
      <c r="K357" s="51">
        <f t="shared" si="76"/>
        <v>-2640</v>
      </c>
      <c r="L357" s="51">
        <v>0</v>
      </c>
      <c r="M357" s="51">
        <v>-2410</v>
      </c>
      <c r="N357" s="51">
        <f t="shared" si="77"/>
        <v>-2410</v>
      </c>
      <c r="O357" s="51">
        <v>-2040</v>
      </c>
      <c r="P357" s="179" t="s">
        <v>1844</v>
      </c>
      <c r="Q357" s="179" t="s">
        <v>1842</v>
      </c>
      <c r="R357" s="179" t="s">
        <v>2131</v>
      </c>
      <c r="S357" s="55" t="s">
        <v>1845</v>
      </c>
      <c r="T357" s="54">
        <f>+J357</f>
        <v>-2640</v>
      </c>
      <c r="U357" s="54"/>
      <c r="W357" t="s">
        <v>1869</v>
      </c>
      <c r="AA357">
        <f t="shared" si="68"/>
        <v>3501</v>
      </c>
      <c r="AD357" t="str">
        <f t="shared" si="69"/>
        <v>427</v>
      </c>
      <c r="AE357">
        <f t="shared" si="70"/>
        <v>0</v>
      </c>
      <c r="AG357" s="50" t="str">
        <f t="shared" si="71"/>
        <v>ANCIENNE POSTE LOYERS COMMUNAUX</v>
      </c>
      <c r="AH357" s="244" t="str">
        <f t="shared" si="72"/>
        <v>61510</v>
      </c>
      <c r="AI357" s="219"/>
      <c r="AJ357" s="219"/>
      <c r="AK357" s="219" t="str">
        <f t="shared" si="73"/>
        <v>4470</v>
      </c>
      <c r="AL357" s="244" t="str">
        <f t="shared" si="74"/>
        <v>00</v>
      </c>
      <c r="AN357" s="219" t="str">
        <f t="shared" si="75"/>
        <v>Loyers et fermages des biens-fonds PA - parkings</v>
      </c>
    </row>
    <row r="358" spans="1:40" ht="15" customHeight="1" x14ac:dyDescent="0.3">
      <c r="A358" s="48">
        <v>0</v>
      </c>
      <c r="B358" s="49" t="s">
        <v>550</v>
      </c>
      <c r="C358" s="50" t="s">
        <v>551</v>
      </c>
      <c r="D358" s="46" t="s">
        <v>1459</v>
      </c>
      <c r="E358" s="46" t="s">
        <v>525</v>
      </c>
      <c r="F358" s="46">
        <v>3501</v>
      </c>
      <c r="G358" s="46" t="s">
        <v>335</v>
      </c>
      <c r="H358" s="46">
        <v>2</v>
      </c>
      <c r="I358" s="51">
        <v>0</v>
      </c>
      <c r="J358" s="51">
        <v>-93513.4</v>
      </c>
      <c r="K358" s="51">
        <f t="shared" si="76"/>
        <v>-93513.4</v>
      </c>
      <c r="L358" s="51">
        <v>0</v>
      </c>
      <c r="M358" s="51">
        <v>-70800</v>
      </c>
      <c r="N358" s="51">
        <f t="shared" si="77"/>
        <v>-70800</v>
      </c>
      <c r="O358" s="51">
        <v>0</v>
      </c>
      <c r="P358" s="179" t="s">
        <v>1799</v>
      </c>
      <c r="Q358" s="179" t="s">
        <v>1813</v>
      </c>
      <c r="R358" s="179" t="s">
        <v>2131</v>
      </c>
      <c r="S358" s="57" t="s">
        <v>2195</v>
      </c>
      <c r="T358" s="54">
        <f>+J358</f>
        <v>-93513.4</v>
      </c>
      <c r="U358" s="54"/>
      <c r="AA358">
        <f t="shared" si="68"/>
        <v>3501</v>
      </c>
      <c r="AD358" t="str">
        <f t="shared" si="69"/>
        <v>427</v>
      </c>
      <c r="AE358">
        <f t="shared" si="70"/>
        <v>2</v>
      </c>
      <c r="AG358" s="50" t="str">
        <f t="shared" si="71"/>
        <v>ANCIENNE POSTE DECPTE LOYERS REGIE SPG - VALAUR SA</v>
      </c>
      <c r="AH358" s="244" t="str">
        <f t="shared" si="72"/>
        <v>96302</v>
      </c>
      <c r="AI358" s="219"/>
      <c r="AJ358" s="219"/>
      <c r="AK358" s="219" t="str">
        <f t="shared" si="73"/>
        <v>4430</v>
      </c>
      <c r="AL358" s="244" t="str">
        <f t="shared" si="74"/>
        <v>00</v>
      </c>
      <c r="AN358" s="219" t="str">
        <f t="shared" si="75"/>
        <v>Loyers et fermages, immeubles du PF | Bât Epicerie / Cézille 2 | Frais de gérance</v>
      </c>
    </row>
    <row r="359" spans="1:40" ht="15" customHeight="1" x14ac:dyDescent="0.3">
      <c r="A359" s="48">
        <v>0</v>
      </c>
      <c r="B359" s="49" t="s">
        <v>552</v>
      </c>
      <c r="C359" s="50" t="s">
        <v>553</v>
      </c>
      <c r="D359" s="46" t="s">
        <v>1459</v>
      </c>
      <c r="E359" s="46" t="s">
        <v>525</v>
      </c>
      <c r="F359" s="46">
        <v>3501</v>
      </c>
      <c r="G359" s="46" t="s">
        <v>61</v>
      </c>
      <c r="H359" s="46"/>
      <c r="I359" s="51">
        <v>0</v>
      </c>
      <c r="J359" s="51">
        <v>0</v>
      </c>
      <c r="K359" s="51">
        <f t="shared" si="76"/>
        <v>0</v>
      </c>
      <c r="L359" s="51">
        <v>0</v>
      </c>
      <c r="M359" s="51">
        <v>0</v>
      </c>
      <c r="N359" s="51">
        <f t="shared" si="77"/>
        <v>0</v>
      </c>
      <c r="O359" s="51">
        <v>0</v>
      </c>
      <c r="P359" s="179" t="s">
        <v>1489</v>
      </c>
      <c r="Q359" s="179" t="s">
        <v>1489</v>
      </c>
      <c r="R359" s="179" t="s">
        <v>1489</v>
      </c>
      <c r="S359" s="47"/>
      <c r="T359" s="54"/>
      <c r="U359" s="54"/>
      <c r="AA359">
        <f t="shared" si="68"/>
        <v>3501</v>
      </c>
      <c r="AD359" t="str">
        <f t="shared" si="69"/>
        <v>436</v>
      </c>
      <c r="AE359">
        <f t="shared" si="70"/>
        <v>0</v>
      </c>
      <c r="AG359" s="50" t="str">
        <f t="shared" si="71"/>
        <v>ANCIENNE POSTE  PART DE TIERS</v>
      </c>
      <c r="AH359" s="244" t="str">
        <f t="shared" si="72"/>
        <v>-</v>
      </c>
      <c r="AI359" s="219"/>
      <c r="AJ359" s="219"/>
      <c r="AK359" s="219" t="str">
        <f t="shared" si="73"/>
        <v>-</v>
      </c>
      <c r="AL359" s="244" t="str">
        <f t="shared" si="74"/>
        <v>-</v>
      </c>
      <c r="AN359" s="219">
        <f t="shared" si="75"/>
        <v>0</v>
      </c>
    </row>
    <row r="360" spans="1:40" ht="15" customHeight="1" x14ac:dyDescent="0.3">
      <c r="A360" s="48">
        <v>0</v>
      </c>
      <c r="B360" s="49" t="s">
        <v>554</v>
      </c>
      <c r="C360" s="50" t="s">
        <v>555</v>
      </c>
      <c r="D360" s="46" t="s">
        <v>1459</v>
      </c>
      <c r="E360" s="46" t="s">
        <v>525</v>
      </c>
      <c r="F360" s="46">
        <v>3501</v>
      </c>
      <c r="G360" s="46" t="s">
        <v>64</v>
      </c>
      <c r="H360" s="46"/>
      <c r="I360" s="51">
        <v>0</v>
      </c>
      <c r="J360" s="51">
        <v>0</v>
      </c>
      <c r="K360" s="51">
        <f t="shared" si="76"/>
        <v>0</v>
      </c>
      <c r="L360" s="51">
        <v>0</v>
      </c>
      <c r="M360" s="51">
        <v>0</v>
      </c>
      <c r="N360" s="51">
        <f t="shared" si="77"/>
        <v>0</v>
      </c>
      <c r="O360" s="51">
        <v>0</v>
      </c>
      <c r="P360" s="179" t="s">
        <v>1489</v>
      </c>
      <c r="Q360" s="179" t="s">
        <v>1489</v>
      </c>
      <c r="R360" s="179" t="s">
        <v>1489</v>
      </c>
      <c r="S360" s="47"/>
      <c r="T360" s="54"/>
      <c r="U360" s="54"/>
      <c r="AA360">
        <f t="shared" si="68"/>
        <v>3501</v>
      </c>
      <c r="AD360" t="str">
        <f t="shared" si="69"/>
        <v>480</v>
      </c>
      <c r="AE360">
        <f t="shared" si="70"/>
        <v>0</v>
      </c>
      <c r="AG360" s="50" t="str">
        <f t="shared" si="71"/>
        <v>ANCIENNE POSTE PRELEVEMENT FONDS DE RESERVE</v>
      </c>
      <c r="AH360" s="244" t="str">
        <f t="shared" si="72"/>
        <v>-</v>
      </c>
      <c r="AI360" s="219"/>
      <c r="AJ360" s="219"/>
      <c r="AK360" s="219" t="str">
        <f t="shared" si="73"/>
        <v>-</v>
      </c>
      <c r="AL360" s="244" t="str">
        <f t="shared" si="74"/>
        <v>-</v>
      </c>
      <c r="AN360" s="219">
        <f t="shared" si="75"/>
        <v>0</v>
      </c>
    </row>
    <row r="361" spans="1:40" ht="15" customHeight="1" x14ac:dyDescent="0.3">
      <c r="A361" s="48">
        <v>0</v>
      </c>
      <c r="B361" s="49" t="s">
        <v>557</v>
      </c>
      <c r="C361" s="50" t="s">
        <v>558</v>
      </c>
      <c r="D361" s="46" t="s">
        <v>1459</v>
      </c>
      <c r="E361" s="46" t="s">
        <v>556</v>
      </c>
      <c r="F361" s="46">
        <v>3503</v>
      </c>
      <c r="G361" s="46" t="s">
        <v>25</v>
      </c>
      <c r="H361" s="46"/>
      <c r="I361" s="51">
        <v>0</v>
      </c>
      <c r="J361" s="51">
        <v>0</v>
      </c>
      <c r="K361" s="51">
        <f t="shared" ref="K361:K392" si="78">+I361+J361</f>
        <v>0</v>
      </c>
      <c r="L361" s="51">
        <v>0</v>
      </c>
      <c r="M361" s="51">
        <v>0</v>
      </c>
      <c r="N361" s="51">
        <f t="shared" si="77"/>
        <v>0</v>
      </c>
      <c r="O361" s="51">
        <v>0</v>
      </c>
      <c r="P361" s="179" t="s">
        <v>1489</v>
      </c>
      <c r="Q361" s="179" t="s">
        <v>1489</v>
      </c>
      <c r="R361" s="179" t="s">
        <v>1489</v>
      </c>
      <c r="S361" s="47"/>
      <c r="T361" s="54"/>
      <c r="U361" s="54"/>
      <c r="AA361">
        <f t="shared" si="68"/>
        <v>3503</v>
      </c>
      <c r="AD361" t="str">
        <f t="shared" si="69"/>
        <v>311</v>
      </c>
      <c r="AE361">
        <f t="shared" si="70"/>
        <v>0</v>
      </c>
      <c r="AG361" s="50" t="str">
        <f t="shared" si="71"/>
        <v>AUBERGE et APPT  ACHATS MOB MACH MATERIEL CNE</v>
      </c>
      <c r="AH361" s="244" t="str">
        <f t="shared" si="72"/>
        <v>-</v>
      </c>
      <c r="AI361" s="219"/>
      <c r="AJ361" s="219"/>
      <c r="AK361" s="219" t="str">
        <f t="shared" si="73"/>
        <v>-</v>
      </c>
      <c r="AL361" s="244" t="str">
        <f t="shared" si="74"/>
        <v>-</v>
      </c>
      <c r="AN361" s="219">
        <f t="shared" si="75"/>
        <v>0</v>
      </c>
    </row>
    <row r="362" spans="1:40" ht="15" customHeight="1" x14ac:dyDescent="0.3">
      <c r="A362" s="48">
        <v>0</v>
      </c>
      <c r="B362" s="49" t="s">
        <v>559</v>
      </c>
      <c r="C362" s="50" t="s">
        <v>560</v>
      </c>
      <c r="D362" s="46" t="s">
        <v>1459</v>
      </c>
      <c r="E362" s="46" t="s">
        <v>556</v>
      </c>
      <c r="F362" s="46">
        <v>3503</v>
      </c>
      <c r="G362" s="46" t="s">
        <v>159</v>
      </c>
      <c r="H362" s="46"/>
      <c r="I362" s="51">
        <v>0</v>
      </c>
      <c r="J362" s="51">
        <v>0</v>
      </c>
      <c r="K362" s="51">
        <f t="shared" si="78"/>
        <v>0</v>
      </c>
      <c r="L362" s="51">
        <v>0</v>
      </c>
      <c r="M362" s="51">
        <v>0</v>
      </c>
      <c r="N362" s="51">
        <f t="shared" si="77"/>
        <v>0</v>
      </c>
      <c r="O362" s="51">
        <v>0</v>
      </c>
      <c r="P362" s="179" t="s">
        <v>1489</v>
      </c>
      <c r="Q362" s="179" t="s">
        <v>1489</v>
      </c>
      <c r="R362" s="179" t="s">
        <v>1489</v>
      </c>
      <c r="S362" s="47"/>
      <c r="T362" s="54"/>
      <c r="U362" s="54"/>
      <c r="AA362">
        <f t="shared" si="68"/>
        <v>3503</v>
      </c>
      <c r="AD362" t="str">
        <f t="shared" si="69"/>
        <v>312</v>
      </c>
      <c r="AE362">
        <f t="shared" si="70"/>
        <v>0</v>
      </c>
      <c r="AG362" s="50" t="str">
        <f t="shared" si="71"/>
        <v>AUBERGE et APPT  ACHATS ELECTRICITE</v>
      </c>
      <c r="AH362" s="244" t="str">
        <f t="shared" si="72"/>
        <v>-</v>
      </c>
      <c r="AI362" s="219"/>
      <c r="AJ362" s="219"/>
      <c r="AK362" s="219" t="str">
        <f t="shared" si="73"/>
        <v>-</v>
      </c>
      <c r="AL362" s="244" t="str">
        <f t="shared" si="74"/>
        <v>-</v>
      </c>
      <c r="AN362" s="219">
        <f t="shared" si="75"/>
        <v>0</v>
      </c>
    </row>
    <row r="363" spans="1:40" ht="15" customHeight="1" x14ac:dyDescent="0.3">
      <c r="A363" s="48">
        <v>0</v>
      </c>
      <c r="B363" s="49" t="s">
        <v>561</v>
      </c>
      <c r="C363" s="50" t="s">
        <v>562</v>
      </c>
      <c r="D363" s="46" t="s">
        <v>1459</v>
      </c>
      <c r="E363" s="46" t="s">
        <v>556</v>
      </c>
      <c r="F363" s="46">
        <v>3503</v>
      </c>
      <c r="G363" s="46" t="s">
        <v>159</v>
      </c>
      <c r="H363" s="46">
        <v>1</v>
      </c>
      <c r="I363" s="51">
        <v>0</v>
      </c>
      <c r="J363" s="51">
        <v>0</v>
      </c>
      <c r="K363" s="51">
        <f t="shared" si="78"/>
        <v>0</v>
      </c>
      <c r="L363" s="51">
        <v>0</v>
      </c>
      <c r="M363" s="51">
        <v>0</v>
      </c>
      <c r="N363" s="51">
        <f t="shared" si="77"/>
        <v>0</v>
      </c>
      <c r="O363" s="51">
        <v>0</v>
      </c>
      <c r="P363" s="179" t="s">
        <v>1489</v>
      </c>
      <c r="Q363" s="179" t="s">
        <v>1489</v>
      </c>
      <c r="R363" s="179" t="s">
        <v>1489</v>
      </c>
      <c r="S363" s="47"/>
      <c r="T363" s="54"/>
      <c r="U363" s="54"/>
      <c r="AA363">
        <f t="shared" si="68"/>
        <v>3503</v>
      </c>
      <c r="AD363" t="str">
        <f t="shared" si="69"/>
        <v>312</v>
      </c>
      <c r="AE363">
        <f t="shared" si="70"/>
        <v>1</v>
      </c>
      <c r="AG363" s="50" t="str">
        <f t="shared" si="71"/>
        <v>AUBERGE et APPT  ACHATS COMBUSTIBLE CAD</v>
      </c>
      <c r="AH363" s="244" t="str">
        <f t="shared" si="72"/>
        <v>-</v>
      </c>
      <c r="AI363" s="219"/>
      <c r="AJ363" s="219"/>
      <c r="AK363" s="219" t="str">
        <f t="shared" si="73"/>
        <v>-</v>
      </c>
      <c r="AL363" s="244" t="str">
        <f t="shared" si="74"/>
        <v>-</v>
      </c>
      <c r="AN363" s="219">
        <f t="shared" si="75"/>
        <v>0</v>
      </c>
    </row>
    <row r="364" spans="1:40" ht="15" customHeight="1" x14ac:dyDescent="0.3">
      <c r="A364" s="48">
        <v>0</v>
      </c>
      <c r="B364" s="49" t="s">
        <v>563</v>
      </c>
      <c r="C364" s="50" t="s">
        <v>564</v>
      </c>
      <c r="D364" s="46" t="s">
        <v>1459</v>
      </c>
      <c r="E364" s="46" t="s">
        <v>556</v>
      </c>
      <c r="F364" s="46">
        <v>3503</v>
      </c>
      <c r="G364" s="46" t="s">
        <v>439</v>
      </c>
      <c r="H364" s="46"/>
      <c r="I364" s="51">
        <v>0</v>
      </c>
      <c r="J364" s="51">
        <v>0</v>
      </c>
      <c r="K364" s="51">
        <f t="shared" si="78"/>
        <v>0</v>
      </c>
      <c r="L364" s="51">
        <v>0</v>
      </c>
      <c r="M364" s="51">
        <v>0</v>
      </c>
      <c r="N364" s="51">
        <f t="shared" si="77"/>
        <v>0</v>
      </c>
      <c r="O364" s="51">
        <v>0</v>
      </c>
      <c r="P364" s="179" t="s">
        <v>1489</v>
      </c>
      <c r="Q364" s="179" t="s">
        <v>1489</v>
      </c>
      <c r="R364" s="179" t="s">
        <v>1489</v>
      </c>
      <c r="S364" s="47"/>
      <c r="T364" s="54"/>
      <c r="U364" s="54"/>
      <c r="AA364">
        <f t="shared" si="68"/>
        <v>3503</v>
      </c>
      <c r="AD364" t="str">
        <f t="shared" si="69"/>
        <v>313</v>
      </c>
      <c r="AE364">
        <f t="shared" si="70"/>
        <v>0</v>
      </c>
      <c r="AG364" s="50" t="str">
        <f t="shared" si="71"/>
        <v>AUBERGE et APPT  ACHATS MARCHANDISES PROD ENTRETIEN</v>
      </c>
      <c r="AH364" s="244" t="str">
        <f t="shared" si="72"/>
        <v>-</v>
      </c>
      <c r="AI364" s="219"/>
      <c r="AJ364" s="219"/>
      <c r="AK364" s="219" t="str">
        <f t="shared" si="73"/>
        <v>-</v>
      </c>
      <c r="AL364" s="244" t="str">
        <f t="shared" si="74"/>
        <v>-</v>
      </c>
      <c r="AN364" s="219">
        <f t="shared" si="75"/>
        <v>0</v>
      </c>
    </row>
    <row r="365" spans="1:40" ht="15" customHeight="1" x14ac:dyDescent="0.3">
      <c r="A365" s="48">
        <v>0</v>
      </c>
      <c r="B365" s="49" t="s">
        <v>565</v>
      </c>
      <c r="C365" s="50" t="s">
        <v>566</v>
      </c>
      <c r="D365" s="46" t="s">
        <v>1459</v>
      </c>
      <c r="E365" s="46" t="s">
        <v>556</v>
      </c>
      <c r="F365" s="46">
        <v>3503</v>
      </c>
      <c r="G365" s="46" t="s">
        <v>131</v>
      </c>
      <c r="H365" s="46"/>
      <c r="I365" s="63">
        <v>17950</v>
      </c>
      <c r="J365" s="51">
        <v>0</v>
      </c>
      <c r="K365" s="201">
        <f t="shared" si="78"/>
        <v>17950</v>
      </c>
      <c r="L365" s="51">
        <v>5000</v>
      </c>
      <c r="M365" s="51">
        <v>0</v>
      </c>
      <c r="N365" s="51">
        <f t="shared" si="77"/>
        <v>5000</v>
      </c>
      <c r="O365" s="51">
        <v>7607.45</v>
      </c>
      <c r="P365" s="179" t="s">
        <v>1801</v>
      </c>
      <c r="Q365" s="179" t="s">
        <v>1812</v>
      </c>
      <c r="R365" s="179" t="s">
        <v>2131</v>
      </c>
      <c r="S365" s="57" t="s">
        <v>2197</v>
      </c>
      <c r="T365" s="54"/>
      <c r="U365" s="54"/>
      <c r="AA365">
        <f t="shared" si="68"/>
        <v>3503</v>
      </c>
      <c r="AD365" t="str">
        <f t="shared" si="69"/>
        <v>314</v>
      </c>
      <c r="AE365">
        <f t="shared" si="70"/>
        <v>0</v>
      </c>
      <c r="AG365" s="50" t="str">
        <f t="shared" si="71"/>
        <v>AUBERGE et APPT  ENTRETIEN COMMUNAL</v>
      </c>
      <c r="AH365" s="244" t="str">
        <f t="shared" si="72"/>
        <v>96303</v>
      </c>
      <c r="AI365" s="219"/>
      <c r="AJ365" s="219"/>
      <c r="AK365" s="219" t="str">
        <f t="shared" si="73"/>
        <v>3431</v>
      </c>
      <c r="AL365" s="244" t="str">
        <f t="shared" si="74"/>
        <v>00</v>
      </c>
      <c r="AN365" s="219" t="str">
        <f t="shared" si="75"/>
        <v>Entretien courant, biens-fonds PF | Bât Auberge communale / Village 9 |</v>
      </c>
    </row>
    <row r="366" spans="1:40" ht="15" customHeight="1" x14ac:dyDescent="0.3">
      <c r="A366" s="48">
        <v>0</v>
      </c>
      <c r="B366" s="49" t="s">
        <v>567</v>
      </c>
      <c r="C366" s="50" t="s">
        <v>568</v>
      </c>
      <c r="D366" s="46" t="s">
        <v>1459</v>
      </c>
      <c r="E366" s="46" t="s">
        <v>556</v>
      </c>
      <c r="F366" s="46">
        <v>3503</v>
      </c>
      <c r="G366" s="46" t="s">
        <v>131</v>
      </c>
      <c r="H366" s="46">
        <v>1</v>
      </c>
      <c r="I366" s="51">
        <v>0</v>
      </c>
      <c r="J366" s="51">
        <v>0</v>
      </c>
      <c r="K366" s="51">
        <f t="shared" si="78"/>
        <v>0</v>
      </c>
      <c r="L366" s="51">
        <v>0</v>
      </c>
      <c r="M366" s="51">
        <v>0</v>
      </c>
      <c r="N366" s="51">
        <f t="shared" si="77"/>
        <v>0</v>
      </c>
      <c r="O366" s="51">
        <v>0</v>
      </c>
      <c r="P366" s="179" t="s">
        <v>1489</v>
      </c>
      <c r="Q366" s="179" t="s">
        <v>1489</v>
      </c>
      <c r="R366" s="179" t="s">
        <v>1489</v>
      </c>
      <c r="S366" s="47"/>
      <c r="T366" s="54"/>
      <c r="U366" s="54"/>
      <c r="AA366">
        <f t="shared" si="68"/>
        <v>3503</v>
      </c>
      <c r="AD366" t="str">
        <f t="shared" si="69"/>
        <v>314</v>
      </c>
      <c r="AE366">
        <f t="shared" si="70"/>
        <v>1</v>
      </c>
      <c r="AG366" s="50" t="str">
        <f t="shared" si="71"/>
        <v>AUBERGE et APPT  CONTRATS ENTRETIEN BÂT</v>
      </c>
      <c r="AH366" s="244" t="str">
        <f t="shared" si="72"/>
        <v>-</v>
      </c>
      <c r="AI366" s="219"/>
      <c r="AJ366" s="219"/>
      <c r="AK366" s="219" t="str">
        <f t="shared" si="73"/>
        <v>-</v>
      </c>
      <c r="AL366" s="244" t="str">
        <f t="shared" si="74"/>
        <v>-</v>
      </c>
      <c r="AN366" s="219">
        <f t="shared" si="75"/>
        <v>0</v>
      </c>
    </row>
    <row r="367" spans="1:40" ht="15" customHeight="1" x14ac:dyDescent="0.3">
      <c r="A367" s="48">
        <v>0</v>
      </c>
      <c r="B367" s="74" t="s">
        <v>569</v>
      </c>
      <c r="C367" s="67" t="s">
        <v>570</v>
      </c>
      <c r="D367" s="188" t="s">
        <v>1459</v>
      </c>
      <c r="E367" s="188" t="s">
        <v>556</v>
      </c>
      <c r="F367" s="46">
        <v>3503</v>
      </c>
      <c r="G367" s="188" t="s">
        <v>131</v>
      </c>
      <c r="H367" s="188">
        <v>2</v>
      </c>
      <c r="I367" s="63">
        <v>34297.449999999997</v>
      </c>
      <c r="J367" s="51">
        <v>0</v>
      </c>
      <c r="K367" s="201">
        <f t="shared" si="78"/>
        <v>34297.449999999997</v>
      </c>
      <c r="L367" s="51">
        <v>15000</v>
      </c>
      <c r="M367" s="51">
        <v>0</v>
      </c>
      <c r="N367" s="51">
        <f t="shared" si="77"/>
        <v>15000</v>
      </c>
      <c r="O367" s="51">
        <v>0</v>
      </c>
      <c r="P367" s="179" t="s">
        <v>1801</v>
      </c>
      <c r="Q367" s="179" t="s">
        <v>1812</v>
      </c>
      <c r="R367" s="179" t="s">
        <v>2131</v>
      </c>
      <c r="S367" s="57" t="s">
        <v>2197</v>
      </c>
      <c r="T367" s="64">
        <f>+I367+I365+I373</f>
        <v>59480.25</v>
      </c>
      <c r="U367" s="54"/>
      <c r="AA367">
        <f t="shared" si="68"/>
        <v>3503</v>
      </c>
      <c r="AD367" t="str">
        <f t="shared" si="69"/>
        <v>314</v>
      </c>
      <c r="AE367">
        <f t="shared" si="70"/>
        <v>2</v>
      </c>
      <c r="AG367" s="50" t="str">
        <f t="shared" si="71"/>
        <v>AUBERGE et APPT DECPTE CHARGES REGIE SPG - VALAUR SA</v>
      </c>
      <c r="AH367" s="244" t="str">
        <f t="shared" si="72"/>
        <v>96303</v>
      </c>
      <c r="AI367" s="219"/>
      <c r="AJ367" s="219"/>
      <c r="AK367" s="219" t="str">
        <f t="shared" si="73"/>
        <v>3431</v>
      </c>
      <c r="AL367" s="244" t="str">
        <f t="shared" si="74"/>
        <v>00</v>
      </c>
      <c r="AN367" s="219" t="str">
        <f t="shared" si="75"/>
        <v>Entretien courant, biens-fonds PF | Bât Auberge communale / Village 9 |</v>
      </c>
    </row>
    <row r="368" spans="1:40" ht="15" customHeight="1" x14ac:dyDescent="0.3">
      <c r="A368" s="48"/>
      <c r="B368" s="74" t="s">
        <v>569</v>
      </c>
      <c r="C368" s="67" t="s">
        <v>570</v>
      </c>
      <c r="D368" s="188" t="s">
        <v>1459</v>
      </c>
      <c r="E368" s="188" t="s">
        <v>556</v>
      </c>
      <c r="F368" s="46">
        <v>3503</v>
      </c>
      <c r="G368" s="188" t="s">
        <v>131</v>
      </c>
      <c r="H368" s="188">
        <v>2</v>
      </c>
      <c r="I368" s="51"/>
      <c r="J368" s="51"/>
      <c r="K368" s="51">
        <f t="shared" si="78"/>
        <v>0</v>
      </c>
      <c r="L368" s="51"/>
      <c r="M368" s="51"/>
      <c r="N368" s="51">
        <f t="shared" si="77"/>
        <v>0</v>
      </c>
      <c r="O368" s="51"/>
      <c r="P368" s="179" t="s">
        <v>1801</v>
      </c>
      <c r="Q368" s="179" t="s">
        <v>1504</v>
      </c>
      <c r="R368" s="179" t="s">
        <v>2133</v>
      </c>
      <c r="S368" s="57" t="s">
        <v>2200</v>
      </c>
      <c r="T368" s="54"/>
      <c r="U368" s="54"/>
      <c r="AA368">
        <f t="shared" si="68"/>
        <v>3503</v>
      </c>
      <c r="AD368" t="str">
        <f t="shared" si="69"/>
        <v>314</v>
      </c>
      <c r="AE368">
        <f t="shared" si="70"/>
        <v>2</v>
      </c>
      <c r="AG368" s="50" t="str">
        <f t="shared" si="71"/>
        <v>AUBERGE et APPT DECPTE CHARGES REGIE SPG - VALAUR SA</v>
      </c>
      <c r="AH368" s="244" t="str">
        <f t="shared" si="72"/>
        <v>96303</v>
      </c>
      <c r="AI368" s="219"/>
      <c r="AJ368" s="219"/>
      <c r="AK368" s="219" t="str">
        <f t="shared" si="73"/>
        <v>3439</v>
      </c>
      <c r="AL368" s="244" t="str">
        <f t="shared" si="74"/>
        <v>02</v>
      </c>
      <c r="AN368" s="219" t="str">
        <f t="shared" si="75"/>
        <v>Autres charges de biens-fonds PF | Bât Auberge communale / Village 9 | Electricité</v>
      </c>
    </row>
    <row r="369" spans="1:40" ht="15" customHeight="1" x14ac:dyDescent="0.3">
      <c r="A369" s="48"/>
      <c r="B369" s="74" t="s">
        <v>569</v>
      </c>
      <c r="C369" s="67" t="s">
        <v>570</v>
      </c>
      <c r="D369" s="188" t="s">
        <v>1459</v>
      </c>
      <c r="E369" s="188" t="s">
        <v>556</v>
      </c>
      <c r="F369" s="46">
        <v>3503</v>
      </c>
      <c r="G369" s="188" t="s">
        <v>131</v>
      </c>
      <c r="H369" s="188">
        <v>2</v>
      </c>
      <c r="I369" s="51"/>
      <c r="J369" s="51"/>
      <c r="K369" s="51">
        <f t="shared" si="78"/>
        <v>0</v>
      </c>
      <c r="L369" s="51"/>
      <c r="M369" s="51"/>
      <c r="N369" s="51">
        <f t="shared" si="77"/>
        <v>0</v>
      </c>
      <c r="O369" s="51"/>
      <c r="P369" s="179" t="s">
        <v>1801</v>
      </c>
      <c r="Q369" s="179" t="s">
        <v>1504</v>
      </c>
      <c r="R369" s="179" t="s">
        <v>2134</v>
      </c>
      <c r="S369" s="57" t="s">
        <v>2201</v>
      </c>
      <c r="T369" s="54"/>
      <c r="U369" s="54"/>
      <c r="AA369">
        <f t="shared" si="68"/>
        <v>3503</v>
      </c>
      <c r="AD369" t="str">
        <f t="shared" si="69"/>
        <v>314</v>
      </c>
      <c r="AE369">
        <f t="shared" si="70"/>
        <v>2</v>
      </c>
      <c r="AG369" s="50" t="str">
        <f t="shared" si="71"/>
        <v>AUBERGE et APPT DECPTE CHARGES REGIE SPG - VALAUR SA</v>
      </c>
      <c r="AH369" s="244" t="str">
        <f t="shared" si="72"/>
        <v>96303</v>
      </c>
      <c r="AI369" s="219"/>
      <c r="AJ369" s="219"/>
      <c r="AK369" s="219" t="str">
        <f t="shared" si="73"/>
        <v>3439</v>
      </c>
      <c r="AL369" s="244" t="str">
        <f t="shared" si="74"/>
        <v>03</v>
      </c>
      <c r="AN369" s="219" t="str">
        <f t="shared" si="75"/>
        <v>Autres charges de biens-fonds PF | Bât Auberge communale / Village 9 | Chauffage</v>
      </c>
    </row>
    <row r="370" spans="1:40" ht="15" customHeight="1" x14ac:dyDescent="0.3">
      <c r="A370" s="48"/>
      <c r="B370" s="74" t="s">
        <v>569</v>
      </c>
      <c r="C370" s="67" t="s">
        <v>570</v>
      </c>
      <c r="D370" s="188" t="s">
        <v>1459</v>
      </c>
      <c r="E370" s="188" t="s">
        <v>556</v>
      </c>
      <c r="F370" s="46">
        <v>3503</v>
      </c>
      <c r="G370" s="188" t="s">
        <v>131</v>
      </c>
      <c r="H370" s="188">
        <v>2</v>
      </c>
      <c r="I370" s="51"/>
      <c r="J370" s="51"/>
      <c r="K370" s="51">
        <f t="shared" si="78"/>
        <v>0</v>
      </c>
      <c r="L370" s="51"/>
      <c r="M370" s="51"/>
      <c r="N370" s="51">
        <f t="shared" si="77"/>
        <v>0</v>
      </c>
      <c r="O370" s="51"/>
      <c r="P370" s="179" t="s">
        <v>1801</v>
      </c>
      <c r="Q370" s="179" t="s">
        <v>1504</v>
      </c>
      <c r="R370" s="179" t="s">
        <v>2135</v>
      </c>
      <c r="S370" s="57" t="s">
        <v>2202</v>
      </c>
      <c r="T370" s="54"/>
      <c r="U370" s="54"/>
      <c r="AA370">
        <f t="shared" si="68"/>
        <v>3503</v>
      </c>
      <c r="AD370" t="str">
        <f t="shared" si="69"/>
        <v>314</v>
      </c>
      <c r="AE370">
        <f t="shared" si="70"/>
        <v>2</v>
      </c>
      <c r="AG370" s="50" t="str">
        <f t="shared" si="71"/>
        <v>AUBERGE et APPT DECPTE CHARGES REGIE SPG - VALAUR SA</v>
      </c>
      <c r="AH370" s="244" t="str">
        <f t="shared" si="72"/>
        <v>96303</v>
      </c>
      <c r="AI370" s="219"/>
      <c r="AJ370" s="219"/>
      <c r="AK370" s="219" t="str">
        <f t="shared" si="73"/>
        <v>3439</v>
      </c>
      <c r="AL370" s="244" t="str">
        <f t="shared" si="74"/>
        <v>04</v>
      </c>
      <c r="AN370" s="219" t="str">
        <f t="shared" si="75"/>
        <v>Autres charges de biens-fonds PF | Bât Auberge communale / Village 9 | Frais de gérance</v>
      </c>
    </row>
    <row r="371" spans="1:40" ht="15" customHeight="1" x14ac:dyDescent="0.3">
      <c r="A371" s="48"/>
      <c r="B371" s="74" t="s">
        <v>569</v>
      </c>
      <c r="C371" s="67" t="s">
        <v>570</v>
      </c>
      <c r="D371" s="188" t="s">
        <v>1459</v>
      </c>
      <c r="E371" s="188" t="s">
        <v>556</v>
      </c>
      <c r="F371" s="46">
        <v>3503</v>
      </c>
      <c r="G371" s="188" t="s">
        <v>131</v>
      </c>
      <c r="H371" s="188">
        <v>2</v>
      </c>
      <c r="I371" s="51"/>
      <c r="J371" s="51"/>
      <c r="K371" s="51">
        <f t="shared" si="78"/>
        <v>0</v>
      </c>
      <c r="L371" s="51"/>
      <c r="M371" s="51"/>
      <c r="N371" s="51">
        <f t="shared" si="77"/>
        <v>0</v>
      </c>
      <c r="O371" s="51"/>
      <c r="P371" s="179" t="s">
        <v>1801</v>
      </c>
      <c r="Q371" s="179" t="s">
        <v>1822</v>
      </c>
      <c r="R371" s="179" t="s">
        <v>2131</v>
      </c>
      <c r="S371" s="57" t="s">
        <v>2198</v>
      </c>
      <c r="T371" s="54"/>
      <c r="U371" s="54"/>
      <c r="AA371">
        <f t="shared" si="68"/>
        <v>3503</v>
      </c>
      <c r="AD371" t="str">
        <f t="shared" si="69"/>
        <v>314</v>
      </c>
      <c r="AE371">
        <f t="shared" si="70"/>
        <v>2</v>
      </c>
      <c r="AG371" s="50" t="str">
        <f t="shared" si="71"/>
        <v>AUBERGE et APPT DECPTE CHARGES REGIE SPG - VALAUR SA</v>
      </c>
      <c r="AH371" s="244" t="str">
        <f t="shared" si="72"/>
        <v>96303</v>
      </c>
      <c r="AI371" s="219"/>
      <c r="AJ371" s="219"/>
      <c r="AK371" s="219" t="str">
        <f t="shared" si="73"/>
        <v>3430</v>
      </c>
      <c r="AL371" s="244" t="str">
        <f t="shared" si="74"/>
        <v>00</v>
      </c>
      <c r="AN371" s="219" t="str">
        <f t="shared" si="75"/>
        <v>Tavaux Ponctuels, biens-fonds PF | Bât Auberge communale / Village 9 |</v>
      </c>
    </row>
    <row r="372" spans="1:40" ht="15" customHeight="1" x14ac:dyDescent="0.3">
      <c r="A372" s="48"/>
      <c r="B372" s="74" t="s">
        <v>569</v>
      </c>
      <c r="C372" s="67" t="s">
        <v>570</v>
      </c>
      <c r="D372" s="188" t="s">
        <v>1459</v>
      </c>
      <c r="E372" s="188" t="s">
        <v>556</v>
      </c>
      <c r="F372" s="46">
        <v>3503</v>
      </c>
      <c r="G372" s="188" t="s">
        <v>131</v>
      </c>
      <c r="H372" s="188">
        <v>2</v>
      </c>
      <c r="I372" s="51"/>
      <c r="J372" s="51"/>
      <c r="K372" s="51">
        <f t="shared" si="78"/>
        <v>0</v>
      </c>
      <c r="L372" s="51"/>
      <c r="M372" s="51"/>
      <c r="N372" s="51">
        <f t="shared" si="77"/>
        <v>0</v>
      </c>
      <c r="O372" s="51"/>
      <c r="P372" s="179" t="s">
        <v>1801</v>
      </c>
      <c r="Q372" s="179" t="s">
        <v>1504</v>
      </c>
      <c r="R372" s="179" t="s">
        <v>2132</v>
      </c>
      <c r="S372" s="57" t="s">
        <v>2203</v>
      </c>
      <c r="T372" s="54"/>
      <c r="U372" s="54"/>
      <c r="AA372">
        <f t="shared" si="68"/>
        <v>3503</v>
      </c>
      <c r="AD372" t="str">
        <f t="shared" si="69"/>
        <v>314</v>
      </c>
      <c r="AE372">
        <f t="shared" si="70"/>
        <v>2</v>
      </c>
      <c r="AG372" s="50" t="str">
        <f t="shared" si="71"/>
        <v>AUBERGE et APPT DECPTE CHARGES REGIE SPG - VALAUR SA</v>
      </c>
      <c r="AH372" s="244" t="str">
        <f t="shared" si="72"/>
        <v>96303</v>
      </c>
      <c r="AI372" s="219"/>
      <c r="AJ372" s="219"/>
      <c r="AK372" s="219" t="str">
        <f t="shared" si="73"/>
        <v>3439</v>
      </c>
      <c r="AL372" s="244" t="str">
        <f t="shared" si="74"/>
        <v>01</v>
      </c>
      <c r="AN372" s="219" t="str">
        <f t="shared" si="75"/>
        <v>Autres charges de biens-fonds PF | Bât Auberge communale / Village 9 | Eau</v>
      </c>
    </row>
    <row r="373" spans="1:40" ht="15" customHeight="1" x14ac:dyDescent="0.3">
      <c r="A373" s="48">
        <v>0</v>
      </c>
      <c r="B373" s="49" t="s">
        <v>571</v>
      </c>
      <c r="C373" s="50" t="s">
        <v>572</v>
      </c>
      <c r="D373" s="46" t="s">
        <v>1459</v>
      </c>
      <c r="E373" s="46" t="s">
        <v>556</v>
      </c>
      <c r="F373" s="46">
        <v>3503</v>
      </c>
      <c r="G373" s="46" t="s">
        <v>123</v>
      </c>
      <c r="H373" s="46"/>
      <c r="I373" s="63">
        <v>7232.8</v>
      </c>
      <c r="J373" s="51">
        <v>0</v>
      </c>
      <c r="K373" s="201">
        <f t="shared" si="78"/>
        <v>7232.8</v>
      </c>
      <c r="L373" s="51">
        <v>5000</v>
      </c>
      <c r="M373" s="51">
        <v>0</v>
      </c>
      <c r="N373" s="51">
        <f t="shared" si="77"/>
        <v>5000</v>
      </c>
      <c r="O373" s="51">
        <v>0</v>
      </c>
      <c r="P373" s="179" t="s">
        <v>1801</v>
      </c>
      <c r="Q373" s="179" t="s">
        <v>1812</v>
      </c>
      <c r="R373" s="179" t="s">
        <v>2131</v>
      </c>
      <c r="S373" s="57" t="s">
        <v>2197</v>
      </c>
      <c r="T373" s="54"/>
      <c r="U373" s="54"/>
      <c r="AA373">
        <f t="shared" si="68"/>
        <v>3503</v>
      </c>
      <c r="AD373" t="str">
        <f t="shared" si="69"/>
        <v>315</v>
      </c>
      <c r="AE373">
        <f t="shared" si="70"/>
        <v>0</v>
      </c>
      <c r="AG373" s="50" t="str">
        <f t="shared" si="71"/>
        <v>AUBERGE et APPT  ENTRETIEN MOB et INST TECH</v>
      </c>
      <c r="AH373" s="244" t="str">
        <f t="shared" si="72"/>
        <v>96303</v>
      </c>
      <c r="AI373" s="219"/>
      <c r="AJ373" s="219"/>
      <c r="AK373" s="219" t="str">
        <f t="shared" si="73"/>
        <v>3431</v>
      </c>
      <c r="AL373" s="244" t="str">
        <f t="shared" si="74"/>
        <v>00</v>
      </c>
      <c r="AN373" s="219" t="str">
        <f t="shared" si="75"/>
        <v>Entretien courant, biens-fonds PF | Bât Auberge communale / Village 9 |</v>
      </c>
    </row>
    <row r="374" spans="1:40" ht="15" customHeight="1" x14ac:dyDescent="0.3">
      <c r="A374" s="48">
        <v>0</v>
      </c>
      <c r="B374" s="49" t="s">
        <v>573</v>
      </c>
      <c r="C374" s="50" t="s">
        <v>574</v>
      </c>
      <c r="D374" s="46" t="s">
        <v>1459</v>
      </c>
      <c r="E374" s="46" t="s">
        <v>556</v>
      </c>
      <c r="F374" s="46">
        <v>3503</v>
      </c>
      <c r="G374" s="46" t="s">
        <v>123</v>
      </c>
      <c r="H374" s="46">
        <v>1</v>
      </c>
      <c r="I374" s="51">
        <v>0</v>
      </c>
      <c r="J374" s="51">
        <v>0</v>
      </c>
      <c r="K374" s="51">
        <f t="shared" si="78"/>
        <v>0</v>
      </c>
      <c r="L374" s="51">
        <v>0</v>
      </c>
      <c r="M374" s="51">
        <v>0</v>
      </c>
      <c r="N374" s="51">
        <f t="shared" si="77"/>
        <v>0</v>
      </c>
      <c r="O374" s="51">
        <v>0</v>
      </c>
      <c r="P374" s="179" t="s">
        <v>1489</v>
      </c>
      <c r="Q374" s="179" t="s">
        <v>1489</v>
      </c>
      <c r="R374" s="179" t="s">
        <v>1489</v>
      </c>
      <c r="S374" s="47"/>
      <c r="T374" s="54"/>
      <c r="U374" s="54"/>
      <c r="AA374">
        <f t="shared" si="68"/>
        <v>3503</v>
      </c>
      <c r="AD374" t="str">
        <f t="shared" si="69"/>
        <v>315</v>
      </c>
      <c r="AE374">
        <f t="shared" si="70"/>
        <v>1</v>
      </c>
      <c r="AG374" s="50" t="str">
        <f t="shared" si="71"/>
        <v>AUBERGE et APPT  CONTRATS ENT INST TECH</v>
      </c>
      <c r="AH374" s="244" t="str">
        <f t="shared" si="72"/>
        <v>-</v>
      </c>
      <c r="AI374" s="219"/>
      <c r="AJ374" s="219"/>
      <c r="AK374" s="219" t="str">
        <f t="shared" si="73"/>
        <v>-</v>
      </c>
      <c r="AL374" s="244" t="str">
        <f t="shared" si="74"/>
        <v>-</v>
      </c>
      <c r="AN374" s="219">
        <f t="shared" si="75"/>
        <v>0</v>
      </c>
    </row>
    <row r="375" spans="1:40" ht="15" customHeight="1" x14ac:dyDescent="0.3">
      <c r="A375" s="48">
        <v>0</v>
      </c>
      <c r="B375" s="49" t="s">
        <v>575</v>
      </c>
      <c r="C375" s="50" t="s">
        <v>576</v>
      </c>
      <c r="D375" s="46" t="s">
        <v>1459</v>
      </c>
      <c r="E375" s="46" t="s">
        <v>556</v>
      </c>
      <c r="F375" s="46">
        <v>3503</v>
      </c>
      <c r="G375" s="46" t="s">
        <v>48</v>
      </c>
      <c r="H375" s="46"/>
      <c r="I375" s="65">
        <v>2683.25</v>
      </c>
      <c r="J375" s="51">
        <v>0</v>
      </c>
      <c r="K375" s="51">
        <f t="shared" si="78"/>
        <v>2683.25</v>
      </c>
      <c r="L375" s="51">
        <v>2500</v>
      </c>
      <c r="M375" s="51">
        <v>0</v>
      </c>
      <c r="N375" s="51">
        <f t="shared" si="77"/>
        <v>2500</v>
      </c>
      <c r="O375" s="51">
        <v>0</v>
      </c>
      <c r="P375" s="179" t="s">
        <v>1801</v>
      </c>
      <c r="Q375" s="179" t="s">
        <v>1504</v>
      </c>
      <c r="R375" s="179" t="s">
        <v>2131</v>
      </c>
      <c r="S375" s="57" t="s">
        <v>2204</v>
      </c>
      <c r="T375" s="53">
        <f>+I375</f>
        <v>2683.25</v>
      </c>
      <c r="U375" s="54"/>
      <c r="AA375">
        <f t="shared" si="68"/>
        <v>3503</v>
      </c>
      <c r="AD375" t="str">
        <f t="shared" si="69"/>
        <v>318</v>
      </c>
      <c r="AE375">
        <f t="shared" si="70"/>
        <v>0</v>
      </c>
      <c r="AG375" s="50" t="str">
        <f t="shared" si="71"/>
        <v>AUBERGE et APPT PREST ASSURANCES et HONORAIRES</v>
      </c>
      <c r="AH375" s="244" t="str">
        <f t="shared" si="72"/>
        <v>96303</v>
      </c>
      <c r="AI375" s="219"/>
      <c r="AJ375" s="219"/>
      <c r="AK375" s="219" t="str">
        <f t="shared" si="73"/>
        <v>3439</v>
      </c>
      <c r="AL375" s="244" t="str">
        <f t="shared" si="74"/>
        <v>00</v>
      </c>
      <c r="AN375" s="219" t="str">
        <f t="shared" si="75"/>
        <v>Autres charges de biens-fonds PF | Bât Auberge communale / Village 9 |  Assurances</v>
      </c>
    </row>
    <row r="376" spans="1:40" ht="15" customHeight="1" x14ac:dyDescent="0.3">
      <c r="A376" s="48">
        <v>0</v>
      </c>
      <c r="B376" s="49" t="s">
        <v>577</v>
      </c>
      <c r="C376" s="50" t="s">
        <v>578</v>
      </c>
      <c r="D376" s="46" t="s">
        <v>1459</v>
      </c>
      <c r="E376" s="46" t="s">
        <v>556</v>
      </c>
      <c r="F376" s="46">
        <v>3503</v>
      </c>
      <c r="G376" s="46" t="s">
        <v>164</v>
      </c>
      <c r="H376" s="46"/>
      <c r="I376" s="51">
        <v>0</v>
      </c>
      <c r="J376" s="51">
        <v>0</v>
      </c>
      <c r="K376" s="51">
        <f t="shared" si="78"/>
        <v>0</v>
      </c>
      <c r="L376" s="51">
        <v>0</v>
      </c>
      <c r="M376" s="51">
        <v>0</v>
      </c>
      <c r="N376" s="51">
        <f t="shared" si="77"/>
        <v>0</v>
      </c>
      <c r="O376" s="51">
        <v>0</v>
      </c>
      <c r="P376" s="179" t="s">
        <v>1489</v>
      </c>
      <c r="Q376" s="179" t="s">
        <v>1489</v>
      </c>
      <c r="R376" s="179" t="s">
        <v>1489</v>
      </c>
      <c r="S376" s="47"/>
      <c r="T376" s="54"/>
      <c r="U376" s="54"/>
      <c r="AA376">
        <f t="shared" si="68"/>
        <v>3503</v>
      </c>
      <c r="AD376" t="str">
        <f t="shared" si="69"/>
        <v>331</v>
      </c>
      <c r="AE376">
        <f t="shared" si="70"/>
        <v>0</v>
      </c>
      <c r="AG376" s="50" t="str">
        <f t="shared" si="71"/>
        <v>AUBERGE  AMORTISSEMENT</v>
      </c>
      <c r="AH376" s="244" t="str">
        <f t="shared" si="72"/>
        <v>-</v>
      </c>
      <c r="AI376" s="219"/>
      <c r="AJ376" s="219"/>
      <c r="AK376" s="219" t="str">
        <f t="shared" si="73"/>
        <v>-</v>
      </c>
      <c r="AL376" s="244" t="str">
        <f t="shared" si="74"/>
        <v>-</v>
      </c>
      <c r="AN376" s="219">
        <f t="shared" si="75"/>
        <v>0</v>
      </c>
    </row>
    <row r="377" spans="1:40" ht="15" customHeight="1" x14ac:dyDescent="0.3">
      <c r="A377" s="48">
        <v>0</v>
      </c>
      <c r="B377" s="49" t="s">
        <v>579</v>
      </c>
      <c r="C377" s="50" t="s">
        <v>580</v>
      </c>
      <c r="D377" s="46" t="s">
        <v>1459</v>
      </c>
      <c r="E377" s="46" t="s">
        <v>556</v>
      </c>
      <c r="F377" s="46">
        <v>3503</v>
      </c>
      <c r="G377" s="46" t="s">
        <v>6</v>
      </c>
      <c r="H377" s="46"/>
      <c r="I377" s="51">
        <v>0</v>
      </c>
      <c r="J377" s="51">
        <v>0</v>
      </c>
      <c r="K377" s="51">
        <f t="shared" si="78"/>
        <v>0</v>
      </c>
      <c r="L377" s="51">
        <v>0</v>
      </c>
      <c r="M377" s="51">
        <v>0</v>
      </c>
      <c r="N377" s="51">
        <f t="shared" si="77"/>
        <v>0</v>
      </c>
      <c r="O377" s="51">
        <v>0</v>
      </c>
      <c r="P377" s="179" t="s">
        <v>1489</v>
      </c>
      <c r="Q377" s="179" t="s">
        <v>1489</v>
      </c>
      <c r="R377" s="179" t="s">
        <v>1489</v>
      </c>
      <c r="S377" s="47"/>
      <c r="T377" s="54"/>
      <c r="U377" s="54"/>
      <c r="AA377">
        <f t="shared" si="68"/>
        <v>3503</v>
      </c>
      <c r="AD377" t="str">
        <f t="shared" si="69"/>
        <v>380</v>
      </c>
      <c r="AE377">
        <f t="shared" si="70"/>
        <v>0</v>
      </c>
      <c r="AG377" s="50" t="str">
        <f t="shared" si="71"/>
        <v>AUBERGE et APPT  ATTRIB FONDS RENOVATION (9281.13)</v>
      </c>
      <c r="AH377" s="244" t="str">
        <f t="shared" si="72"/>
        <v>-</v>
      </c>
      <c r="AI377" s="219"/>
      <c r="AJ377" s="219"/>
      <c r="AK377" s="219" t="str">
        <f t="shared" si="73"/>
        <v>-</v>
      </c>
      <c r="AL377" s="244" t="str">
        <f t="shared" si="74"/>
        <v>-</v>
      </c>
      <c r="AN377" s="219">
        <f t="shared" si="75"/>
        <v>0</v>
      </c>
    </row>
    <row r="378" spans="1:40" ht="15" customHeight="1" x14ac:dyDescent="0.3">
      <c r="A378" s="48">
        <v>0</v>
      </c>
      <c r="B378" s="49" t="s">
        <v>581</v>
      </c>
      <c r="C378" s="50" t="s">
        <v>582</v>
      </c>
      <c r="D378" s="46" t="s">
        <v>1459</v>
      </c>
      <c r="E378" s="46" t="s">
        <v>556</v>
      </c>
      <c r="F378" s="46">
        <v>3503</v>
      </c>
      <c r="G378" s="46" t="s">
        <v>335</v>
      </c>
      <c r="H378" s="46">
        <v>2</v>
      </c>
      <c r="I378" s="51">
        <v>0</v>
      </c>
      <c r="J378" s="51">
        <v>-136969.70000000001</v>
      </c>
      <c r="K378" s="51">
        <f t="shared" si="78"/>
        <v>-136969.70000000001</v>
      </c>
      <c r="L378" s="51">
        <v>0</v>
      </c>
      <c r="M378" s="51">
        <v>-136000</v>
      </c>
      <c r="N378" s="51">
        <f t="shared" si="77"/>
        <v>-136000</v>
      </c>
      <c r="O378" s="51">
        <v>0</v>
      </c>
      <c r="P378" s="179" t="s">
        <v>1801</v>
      </c>
      <c r="Q378" s="179" t="s">
        <v>1813</v>
      </c>
      <c r="R378" s="179" t="s">
        <v>2131</v>
      </c>
      <c r="S378" s="57" t="s">
        <v>2199</v>
      </c>
      <c r="T378" s="54">
        <f>+J378</f>
        <v>-136969.70000000001</v>
      </c>
      <c r="U378" s="54"/>
      <c r="AA378">
        <f t="shared" si="68"/>
        <v>3503</v>
      </c>
      <c r="AD378" t="str">
        <f t="shared" si="69"/>
        <v>427</v>
      </c>
      <c r="AE378">
        <f t="shared" si="70"/>
        <v>2</v>
      </c>
      <c r="AG378" s="50" t="str">
        <f t="shared" si="71"/>
        <v>AUBERGE et APPT DECPTE LOYERS REGIE SPG - VALAUR SA</v>
      </c>
      <c r="AH378" s="244" t="str">
        <f t="shared" si="72"/>
        <v>96303</v>
      </c>
      <c r="AI378" s="219"/>
      <c r="AJ378" s="219"/>
      <c r="AK378" s="219" t="str">
        <f t="shared" si="73"/>
        <v>4430</v>
      </c>
      <c r="AL378" s="244" t="str">
        <f t="shared" si="74"/>
        <v>00</v>
      </c>
      <c r="AN378" s="219" t="str">
        <f t="shared" si="75"/>
        <v>Loyers et fermages, immeubles du PF | Bât Auberge communale / Village 9 |</v>
      </c>
    </row>
    <row r="379" spans="1:40" ht="15" customHeight="1" x14ac:dyDescent="0.3">
      <c r="A379" s="48">
        <v>0</v>
      </c>
      <c r="B379" s="49" t="s">
        <v>583</v>
      </c>
      <c r="C379" s="50" t="s">
        <v>584</v>
      </c>
      <c r="D379" s="46" t="s">
        <v>1459</v>
      </c>
      <c r="E379" s="46" t="s">
        <v>556</v>
      </c>
      <c r="F379" s="46">
        <v>3503</v>
      </c>
      <c r="G379" s="46" t="s">
        <v>61</v>
      </c>
      <c r="H379" s="46"/>
      <c r="I379" s="51">
        <v>0</v>
      </c>
      <c r="J379" s="51">
        <v>0</v>
      </c>
      <c r="K379" s="51">
        <f t="shared" si="78"/>
        <v>0</v>
      </c>
      <c r="L379" s="51">
        <v>0</v>
      </c>
      <c r="M379" s="51">
        <v>0</v>
      </c>
      <c r="N379" s="51">
        <f t="shared" si="77"/>
        <v>0</v>
      </c>
      <c r="O379" s="51">
        <v>0</v>
      </c>
      <c r="P379" s="179" t="s">
        <v>1489</v>
      </c>
      <c r="Q379" s="179" t="s">
        <v>1489</v>
      </c>
      <c r="R379" s="179" t="s">
        <v>1489</v>
      </c>
      <c r="S379" s="47"/>
      <c r="T379" s="54"/>
      <c r="U379" s="54"/>
      <c r="AA379">
        <f t="shared" si="68"/>
        <v>3503</v>
      </c>
      <c r="AD379" t="str">
        <f t="shared" si="69"/>
        <v>436</v>
      </c>
      <c r="AE379">
        <f t="shared" si="70"/>
        <v>0</v>
      </c>
      <c r="AG379" s="50" t="str">
        <f t="shared" si="71"/>
        <v>AUBERGE et APPT  PART DE TIERS</v>
      </c>
      <c r="AH379" s="244" t="str">
        <f t="shared" si="72"/>
        <v>-</v>
      </c>
      <c r="AI379" s="219"/>
      <c r="AJ379" s="219"/>
      <c r="AK379" s="219" t="str">
        <f t="shared" si="73"/>
        <v>-</v>
      </c>
      <c r="AL379" s="244" t="str">
        <f t="shared" si="74"/>
        <v>-</v>
      </c>
      <c r="AN379" s="219">
        <f t="shared" si="75"/>
        <v>0</v>
      </c>
    </row>
    <row r="380" spans="1:40" ht="15" customHeight="1" x14ac:dyDescent="0.3">
      <c r="A380" s="48">
        <v>0</v>
      </c>
      <c r="B380" s="49" t="s">
        <v>585</v>
      </c>
      <c r="C380" s="50" t="s">
        <v>586</v>
      </c>
      <c r="D380" s="46" t="s">
        <v>1459</v>
      </c>
      <c r="E380" s="46" t="s">
        <v>556</v>
      </c>
      <c r="F380" s="46">
        <v>3503</v>
      </c>
      <c r="G380" s="46" t="s">
        <v>64</v>
      </c>
      <c r="H380" s="46"/>
      <c r="I380" s="51">
        <v>0</v>
      </c>
      <c r="J380" s="51">
        <v>0</v>
      </c>
      <c r="K380" s="51">
        <f t="shared" si="78"/>
        <v>0</v>
      </c>
      <c r="L380" s="51">
        <v>0</v>
      </c>
      <c r="M380" s="51">
        <v>0</v>
      </c>
      <c r="N380" s="51">
        <f t="shared" si="77"/>
        <v>0</v>
      </c>
      <c r="O380" s="51">
        <v>0</v>
      </c>
      <c r="P380" s="179" t="s">
        <v>1489</v>
      </c>
      <c r="Q380" s="179" t="s">
        <v>1489</v>
      </c>
      <c r="R380" s="179" t="s">
        <v>1489</v>
      </c>
      <c r="S380" s="47"/>
      <c r="T380" s="54"/>
      <c r="U380" s="54"/>
      <c r="AA380">
        <f t="shared" si="68"/>
        <v>3503</v>
      </c>
      <c r="AD380" t="str">
        <f t="shared" si="69"/>
        <v>480</v>
      </c>
      <c r="AE380">
        <f t="shared" si="70"/>
        <v>0</v>
      </c>
      <c r="AG380" s="50" t="str">
        <f t="shared" si="71"/>
        <v>AUBERGE PRELEVEMENT FONDS DE RESERVE</v>
      </c>
      <c r="AH380" s="244" t="str">
        <f t="shared" si="72"/>
        <v>-</v>
      </c>
      <c r="AI380" s="219"/>
      <c r="AJ380" s="219"/>
      <c r="AK380" s="219" t="str">
        <f t="shared" si="73"/>
        <v>-</v>
      </c>
      <c r="AL380" s="244" t="str">
        <f t="shared" si="74"/>
        <v>-</v>
      </c>
      <c r="AN380" s="219">
        <f t="shared" si="75"/>
        <v>0</v>
      </c>
    </row>
    <row r="381" spans="1:40" ht="15" customHeight="1" x14ac:dyDescent="0.3">
      <c r="A381" s="48">
        <v>0</v>
      </c>
      <c r="B381" s="49" t="s">
        <v>588</v>
      </c>
      <c r="C381" s="50" t="s">
        <v>589</v>
      </c>
      <c r="D381" s="46" t="s">
        <v>1459</v>
      </c>
      <c r="E381" s="46" t="s">
        <v>587</v>
      </c>
      <c r="F381" s="46">
        <v>3504</v>
      </c>
      <c r="G381" s="46" t="s">
        <v>439</v>
      </c>
      <c r="H381" s="46"/>
      <c r="I381" s="51">
        <v>0</v>
      </c>
      <c r="J381" s="51">
        <v>0</v>
      </c>
      <c r="K381" s="51">
        <f t="shared" si="78"/>
        <v>0</v>
      </c>
      <c r="L381" s="51">
        <v>0</v>
      </c>
      <c r="M381" s="51">
        <v>0</v>
      </c>
      <c r="N381" s="51">
        <f t="shared" si="77"/>
        <v>0</v>
      </c>
      <c r="O381" s="51">
        <v>0</v>
      </c>
      <c r="P381" s="179" t="s">
        <v>1489</v>
      </c>
      <c r="Q381" s="179" t="s">
        <v>1489</v>
      </c>
      <c r="R381" s="179" t="s">
        <v>1489</v>
      </c>
      <c r="S381" s="47"/>
      <c r="T381" s="54"/>
      <c r="U381" s="54"/>
      <c r="AA381">
        <f t="shared" si="68"/>
        <v>3504</v>
      </c>
      <c r="AD381" t="str">
        <f t="shared" si="69"/>
        <v>313</v>
      </c>
      <c r="AE381">
        <f t="shared" si="70"/>
        <v>0</v>
      </c>
      <c r="AG381" s="50" t="str">
        <f t="shared" si="71"/>
        <v>COLLEGES  ACHATS MARCH PROD ENTRETIEN</v>
      </c>
      <c r="AH381" s="244" t="str">
        <f t="shared" si="72"/>
        <v>-</v>
      </c>
      <c r="AI381" s="219"/>
      <c r="AJ381" s="219"/>
      <c r="AK381" s="219" t="str">
        <f t="shared" si="73"/>
        <v>-</v>
      </c>
      <c r="AL381" s="244" t="str">
        <f t="shared" si="74"/>
        <v>-</v>
      </c>
      <c r="AN381" s="219">
        <f t="shared" si="75"/>
        <v>0</v>
      </c>
    </row>
    <row r="382" spans="1:40" ht="15" customHeight="1" x14ac:dyDescent="0.3">
      <c r="A382" s="48">
        <v>0</v>
      </c>
      <c r="B382" s="49" t="s">
        <v>591</v>
      </c>
      <c r="C382" s="50" t="s">
        <v>592</v>
      </c>
      <c r="D382" s="46" t="s">
        <v>1459</v>
      </c>
      <c r="E382" s="46" t="s">
        <v>590</v>
      </c>
      <c r="F382" s="46">
        <v>3505</v>
      </c>
      <c r="G382" s="46" t="s">
        <v>25</v>
      </c>
      <c r="H382" s="46"/>
      <c r="I382" s="51">
        <v>0</v>
      </c>
      <c r="J382" s="51">
        <v>0</v>
      </c>
      <c r="K382" s="51">
        <f t="shared" si="78"/>
        <v>0</v>
      </c>
      <c r="L382" s="51">
        <v>0</v>
      </c>
      <c r="M382" s="51">
        <v>0</v>
      </c>
      <c r="N382" s="51">
        <f t="shared" si="77"/>
        <v>0</v>
      </c>
      <c r="O382" s="51">
        <v>0</v>
      </c>
      <c r="P382" s="179" t="s">
        <v>1489</v>
      </c>
      <c r="Q382" s="179" t="s">
        <v>1489</v>
      </c>
      <c r="R382" s="179" t="s">
        <v>1489</v>
      </c>
      <c r="S382" s="47"/>
      <c r="T382" s="54"/>
      <c r="U382" s="54"/>
      <c r="AA382">
        <f t="shared" si="68"/>
        <v>3505</v>
      </c>
      <c r="AD382" t="str">
        <f t="shared" si="69"/>
        <v>311</v>
      </c>
      <c r="AE382">
        <f t="shared" si="70"/>
        <v>0</v>
      </c>
      <c r="AG382" s="50" t="str">
        <f t="shared" si="71"/>
        <v>D'UNE FONTAINE ACHATS MOB MACH MATERIEL CNE</v>
      </c>
      <c r="AH382" s="244" t="str">
        <f t="shared" si="72"/>
        <v>-</v>
      </c>
      <c r="AI382" s="219"/>
      <c r="AJ382" s="219"/>
      <c r="AK382" s="219" t="str">
        <f t="shared" si="73"/>
        <v>-</v>
      </c>
      <c r="AL382" s="244" t="str">
        <f t="shared" si="74"/>
        <v>-</v>
      </c>
      <c r="AN382" s="219">
        <f t="shared" si="75"/>
        <v>0</v>
      </c>
    </row>
    <row r="383" spans="1:40" ht="15" customHeight="1" x14ac:dyDescent="0.3">
      <c r="A383" s="48">
        <v>0</v>
      </c>
      <c r="B383" s="49" t="s">
        <v>593</v>
      </c>
      <c r="C383" s="50" t="s">
        <v>594</v>
      </c>
      <c r="D383" s="46" t="s">
        <v>1459</v>
      </c>
      <c r="E383" s="46" t="s">
        <v>590</v>
      </c>
      <c r="F383" s="46">
        <v>3505</v>
      </c>
      <c r="G383" s="46" t="s">
        <v>159</v>
      </c>
      <c r="H383" s="46"/>
      <c r="I383" s="51">
        <v>0</v>
      </c>
      <c r="J383" s="51">
        <v>0</v>
      </c>
      <c r="K383" s="51">
        <f t="shared" si="78"/>
        <v>0</v>
      </c>
      <c r="L383" s="51">
        <v>0</v>
      </c>
      <c r="M383" s="51">
        <v>0</v>
      </c>
      <c r="N383" s="51">
        <f t="shared" si="77"/>
        <v>0</v>
      </c>
      <c r="O383" s="51">
        <v>0</v>
      </c>
      <c r="P383" s="179" t="s">
        <v>1489</v>
      </c>
      <c r="Q383" s="179" t="s">
        <v>1489</v>
      </c>
      <c r="R383" s="179" t="s">
        <v>1489</v>
      </c>
      <c r="S383" s="47"/>
      <c r="T383" s="54"/>
      <c r="U383" s="54"/>
      <c r="AA383">
        <f t="shared" si="68"/>
        <v>3505</v>
      </c>
      <c r="AD383" t="str">
        <f t="shared" si="69"/>
        <v>312</v>
      </c>
      <c r="AE383">
        <f t="shared" si="70"/>
        <v>0</v>
      </c>
      <c r="AG383" s="50" t="str">
        <f t="shared" si="71"/>
        <v>D'UNE FONTAINE ACHATS ELECTRICITE COMMUNAL</v>
      </c>
      <c r="AH383" s="244" t="str">
        <f t="shared" si="72"/>
        <v>-</v>
      </c>
      <c r="AI383" s="219"/>
      <c r="AJ383" s="219"/>
      <c r="AK383" s="219" t="str">
        <f t="shared" si="73"/>
        <v>-</v>
      </c>
      <c r="AL383" s="244" t="str">
        <f t="shared" si="74"/>
        <v>-</v>
      </c>
      <c r="AN383" s="219">
        <f t="shared" si="75"/>
        <v>0</v>
      </c>
    </row>
    <row r="384" spans="1:40" ht="15" customHeight="1" x14ac:dyDescent="0.3">
      <c r="A384" s="48">
        <v>0</v>
      </c>
      <c r="B384" s="49" t="s">
        <v>595</v>
      </c>
      <c r="C384" s="50" t="s">
        <v>596</v>
      </c>
      <c r="D384" s="46" t="s">
        <v>1459</v>
      </c>
      <c r="E384" s="46" t="s">
        <v>590</v>
      </c>
      <c r="F384" s="46">
        <v>3505</v>
      </c>
      <c r="G384" s="46" t="s">
        <v>159</v>
      </c>
      <c r="H384" s="46">
        <v>1</v>
      </c>
      <c r="I384" s="51">
        <v>0</v>
      </c>
      <c r="J384" s="51">
        <v>0</v>
      </c>
      <c r="K384" s="51">
        <f t="shared" si="78"/>
        <v>0</v>
      </c>
      <c r="L384" s="51">
        <v>0</v>
      </c>
      <c r="M384" s="51">
        <v>0</v>
      </c>
      <c r="N384" s="51">
        <f t="shared" si="77"/>
        <v>0</v>
      </c>
      <c r="O384" s="51">
        <v>0</v>
      </c>
      <c r="P384" s="179" t="s">
        <v>1489</v>
      </c>
      <c r="Q384" s="179" t="s">
        <v>1489</v>
      </c>
      <c r="R384" s="179" t="s">
        <v>1489</v>
      </c>
      <c r="S384" s="47"/>
      <c r="T384" s="54"/>
      <c r="U384" s="54"/>
      <c r="AA384">
        <f t="shared" si="68"/>
        <v>3505</v>
      </c>
      <c r="AD384" t="str">
        <f t="shared" si="69"/>
        <v>312</v>
      </c>
      <c r="AE384">
        <f t="shared" si="70"/>
        <v>1</v>
      </c>
      <c r="AG384" s="50" t="str">
        <f t="shared" si="71"/>
        <v>D'UNE FONTAINE ACHATS COMBUSTIBLE CAD COMMUNAL</v>
      </c>
      <c r="AH384" s="244" t="str">
        <f t="shared" si="72"/>
        <v>-</v>
      </c>
      <c r="AI384" s="219"/>
      <c r="AJ384" s="219"/>
      <c r="AK384" s="219" t="str">
        <f t="shared" si="73"/>
        <v>-</v>
      </c>
      <c r="AL384" s="244" t="str">
        <f t="shared" si="74"/>
        <v>-</v>
      </c>
      <c r="AN384" s="219">
        <f t="shared" si="75"/>
        <v>0</v>
      </c>
    </row>
    <row r="385" spans="1:40" ht="15" customHeight="1" x14ac:dyDescent="0.3">
      <c r="A385" s="48">
        <v>0</v>
      </c>
      <c r="B385" s="49" t="s">
        <v>597</v>
      </c>
      <c r="C385" s="50" t="s">
        <v>598</v>
      </c>
      <c r="D385" s="46" t="s">
        <v>1459</v>
      </c>
      <c r="E385" s="46" t="s">
        <v>590</v>
      </c>
      <c r="F385" s="46">
        <v>3505</v>
      </c>
      <c r="G385" s="46" t="s">
        <v>439</v>
      </c>
      <c r="H385" s="46"/>
      <c r="I385" s="51">
        <v>0</v>
      </c>
      <c r="J385" s="51">
        <v>0</v>
      </c>
      <c r="K385" s="51">
        <f t="shared" si="78"/>
        <v>0</v>
      </c>
      <c r="L385" s="51">
        <v>0</v>
      </c>
      <c r="M385" s="51">
        <v>0</v>
      </c>
      <c r="N385" s="51">
        <f t="shared" si="77"/>
        <v>0</v>
      </c>
      <c r="O385" s="51">
        <v>0</v>
      </c>
      <c r="P385" s="179" t="s">
        <v>1489</v>
      </c>
      <c r="Q385" s="179" t="s">
        <v>1489</v>
      </c>
      <c r="R385" s="179" t="s">
        <v>1489</v>
      </c>
      <c r="S385" s="47"/>
      <c r="T385" s="54"/>
      <c r="U385" s="54"/>
      <c r="AA385">
        <f t="shared" si="68"/>
        <v>3505</v>
      </c>
      <c r="AD385" t="str">
        <f t="shared" si="69"/>
        <v>313</v>
      </c>
      <c r="AE385">
        <f t="shared" si="70"/>
        <v>0</v>
      </c>
      <c r="AG385" s="50" t="str">
        <f t="shared" si="71"/>
        <v>D'UNE FONTAINE ACHATS MARCH PROD ENT COMMUNAL</v>
      </c>
      <c r="AH385" s="244" t="str">
        <f t="shared" si="72"/>
        <v>-</v>
      </c>
      <c r="AI385" s="219"/>
      <c r="AJ385" s="219"/>
      <c r="AK385" s="219" t="str">
        <f t="shared" si="73"/>
        <v>-</v>
      </c>
      <c r="AL385" s="244" t="str">
        <f t="shared" si="74"/>
        <v>-</v>
      </c>
      <c r="AN385" s="219">
        <f t="shared" si="75"/>
        <v>0</v>
      </c>
    </row>
    <row r="386" spans="1:40" ht="15" customHeight="1" x14ac:dyDescent="0.3">
      <c r="A386" s="48">
        <v>0</v>
      </c>
      <c r="B386" s="49" t="s">
        <v>599</v>
      </c>
      <c r="C386" s="50" t="s">
        <v>600</v>
      </c>
      <c r="D386" s="46" t="s">
        <v>1459</v>
      </c>
      <c r="E386" s="46" t="s">
        <v>590</v>
      </c>
      <c r="F386" s="46">
        <v>3505</v>
      </c>
      <c r="G386" s="46" t="s">
        <v>131</v>
      </c>
      <c r="H386" s="46"/>
      <c r="I386" s="51">
        <v>0</v>
      </c>
      <c r="J386" s="51">
        <v>0</v>
      </c>
      <c r="K386" s="51">
        <f t="shared" si="78"/>
        <v>0</v>
      </c>
      <c r="L386" s="51">
        <v>0</v>
      </c>
      <c r="M386" s="51">
        <v>0</v>
      </c>
      <c r="N386" s="51">
        <f t="shared" si="77"/>
        <v>0</v>
      </c>
      <c r="O386" s="51">
        <v>0</v>
      </c>
      <c r="P386" s="179" t="s">
        <v>1489</v>
      </c>
      <c r="Q386" s="179" t="s">
        <v>1489</v>
      </c>
      <c r="R386" s="179" t="s">
        <v>1489</v>
      </c>
      <c r="S386" s="47"/>
      <c r="T386" s="54"/>
      <c r="U386" s="54"/>
      <c r="AA386">
        <f t="shared" si="68"/>
        <v>3505</v>
      </c>
      <c r="AD386" t="str">
        <f t="shared" si="69"/>
        <v>314</v>
      </c>
      <c r="AE386">
        <f t="shared" si="70"/>
        <v>0</v>
      </c>
      <c r="AG386" s="50" t="str">
        <f t="shared" si="71"/>
        <v>D'UNE FONTAINE ENTRETIEN BÂTIMENT COMMUNAL</v>
      </c>
      <c r="AH386" s="244" t="str">
        <f t="shared" si="72"/>
        <v>-</v>
      </c>
      <c r="AI386" s="219"/>
      <c r="AJ386" s="219"/>
      <c r="AK386" s="219" t="str">
        <f t="shared" si="73"/>
        <v>-</v>
      </c>
      <c r="AL386" s="244" t="str">
        <f t="shared" si="74"/>
        <v>-</v>
      </c>
      <c r="AN386" s="219">
        <f t="shared" si="75"/>
        <v>0</v>
      </c>
    </row>
    <row r="387" spans="1:40" ht="15" customHeight="1" x14ac:dyDescent="0.3">
      <c r="A387" s="48">
        <v>0</v>
      </c>
      <c r="B387" s="49" t="s">
        <v>601</v>
      </c>
      <c r="C387" s="50" t="s">
        <v>602</v>
      </c>
      <c r="D387" s="46" t="s">
        <v>1459</v>
      </c>
      <c r="E387" s="46" t="s">
        <v>590</v>
      </c>
      <c r="F387" s="46">
        <v>3505</v>
      </c>
      <c r="G387" s="46" t="s">
        <v>131</v>
      </c>
      <c r="H387" s="46">
        <v>1</v>
      </c>
      <c r="I387" s="51">
        <v>0</v>
      </c>
      <c r="J387" s="51">
        <v>0</v>
      </c>
      <c r="K387" s="51">
        <f t="shared" si="78"/>
        <v>0</v>
      </c>
      <c r="L387" s="51">
        <v>0</v>
      </c>
      <c r="M387" s="51">
        <v>0</v>
      </c>
      <c r="N387" s="51">
        <f t="shared" si="77"/>
        <v>0</v>
      </c>
      <c r="O387" s="51">
        <v>0</v>
      </c>
      <c r="P387" s="179" t="s">
        <v>1489</v>
      </c>
      <c r="Q387" s="179" t="s">
        <v>1489</v>
      </c>
      <c r="R387" s="179" t="s">
        <v>1489</v>
      </c>
      <c r="S387" s="47"/>
      <c r="T387" s="54"/>
      <c r="U387" s="54"/>
      <c r="AA387">
        <f t="shared" si="68"/>
        <v>3505</v>
      </c>
      <c r="AD387" t="str">
        <f t="shared" si="69"/>
        <v>314</v>
      </c>
      <c r="AE387">
        <f t="shared" si="70"/>
        <v>1</v>
      </c>
      <c r="AG387" s="50" t="str">
        <f t="shared" si="71"/>
        <v>D'UNE FONTAINE CONTRATS ENTRETIEN BÂT</v>
      </c>
      <c r="AH387" s="244" t="str">
        <f t="shared" si="72"/>
        <v>-</v>
      </c>
      <c r="AI387" s="219"/>
      <c r="AJ387" s="219"/>
      <c r="AK387" s="219" t="str">
        <f t="shared" si="73"/>
        <v>-</v>
      </c>
      <c r="AL387" s="244" t="str">
        <f t="shared" si="74"/>
        <v>-</v>
      </c>
      <c r="AN387" s="219">
        <f t="shared" si="75"/>
        <v>0</v>
      </c>
    </row>
    <row r="388" spans="1:40" ht="15" customHeight="1" x14ac:dyDescent="0.3">
      <c r="A388" s="48">
        <v>0</v>
      </c>
      <c r="B388" s="74" t="s">
        <v>603</v>
      </c>
      <c r="C388" s="67" t="s">
        <v>604</v>
      </c>
      <c r="D388" s="46" t="s">
        <v>1459</v>
      </c>
      <c r="E388" s="46" t="s">
        <v>590</v>
      </c>
      <c r="F388" s="46">
        <v>3505</v>
      </c>
      <c r="G388" s="46" t="s">
        <v>131</v>
      </c>
      <c r="H388" s="46">
        <v>2</v>
      </c>
      <c r="I388" s="51">
        <v>71890.17</v>
      </c>
      <c r="J388" s="51">
        <v>0</v>
      </c>
      <c r="K388" s="51">
        <f t="shared" si="78"/>
        <v>71890.17</v>
      </c>
      <c r="L388" s="51">
        <v>40000</v>
      </c>
      <c r="M388" s="51">
        <v>0</v>
      </c>
      <c r="N388" s="51">
        <f t="shared" si="77"/>
        <v>40000</v>
      </c>
      <c r="O388" s="51">
        <v>0</v>
      </c>
      <c r="P388" s="179" t="s">
        <v>1802</v>
      </c>
      <c r="Q388" s="179" t="s">
        <v>1812</v>
      </c>
      <c r="R388" s="179" t="s">
        <v>2131</v>
      </c>
      <c r="S388" s="57" t="s">
        <v>2205</v>
      </c>
      <c r="T388" s="54">
        <f>+I388</f>
        <v>71890.17</v>
      </c>
      <c r="U388" s="54"/>
      <c r="AA388">
        <f t="shared" ref="AA388:AA451" si="79">+F388</f>
        <v>3505</v>
      </c>
      <c r="AD388" t="str">
        <f t="shared" ref="AD388:AD451" si="80">+G388</f>
        <v>314</v>
      </c>
      <c r="AE388">
        <f t="shared" ref="AE388:AE451" si="81">+H388</f>
        <v>2</v>
      </c>
      <c r="AG388" s="50" t="str">
        <f t="shared" ref="AG388:AG451" si="82">+C388</f>
        <v>D'UNE FONTAINE DECPTE CHARGES REGIE SPG - VALAUR SA</v>
      </c>
      <c r="AH388" s="244" t="str">
        <f t="shared" ref="AH388:AH451" si="83">+P388</f>
        <v>96304</v>
      </c>
      <c r="AI388" s="219"/>
      <c r="AJ388" s="219"/>
      <c r="AK388" s="219" t="str">
        <f t="shared" ref="AK388:AK451" si="84">+Q388</f>
        <v>3431</v>
      </c>
      <c r="AL388" s="244" t="str">
        <f t="shared" ref="AL388:AL451" si="85">+R388</f>
        <v>00</v>
      </c>
      <c r="AN388" s="219" t="str">
        <f t="shared" ref="AN388:AN451" si="86">+S388</f>
        <v>Entretien courant, biens-fonds PF | Bât D'une Fontaine à l'autre / Derrière l'Eglise 1-3 |</v>
      </c>
    </row>
    <row r="389" spans="1:40" ht="15" customHeight="1" x14ac:dyDescent="0.3">
      <c r="A389" s="48"/>
      <c r="B389" s="74" t="s">
        <v>603</v>
      </c>
      <c r="C389" s="67" t="s">
        <v>604</v>
      </c>
      <c r="D389" s="46" t="s">
        <v>1459</v>
      </c>
      <c r="E389" s="46" t="s">
        <v>590</v>
      </c>
      <c r="F389" s="46">
        <v>3505</v>
      </c>
      <c r="G389" s="46" t="s">
        <v>131</v>
      </c>
      <c r="H389" s="46">
        <v>2</v>
      </c>
      <c r="I389" s="51"/>
      <c r="J389" s="51"/>
      <c r="K389" s="51">
        <f t="shared" si="78"/>
        <v>0</v>
      </c>
      <c r="L389" s="51"/>
      <c r="M389" s="51"/>
      <c r="N389" s="51">
        <f t="shared" si="77"/>
        <v>0</v>
      </c>
      <c r="O389" s="51"/>
      <c r="P389" s="179" t="s">
        <v>1802</v>
      </c>
      <c r="Q389" s="179" t="s">
        <v>1504</v>
      </c>
      <c r="R389" s="179" t="s">
        <v>2132</v>
      </c>
      <c r="S389" s="57" t="s">
        <v>2206</v>
      </c>
      <c r="T389" s="54"/>
      <c r="U389" s="54"/>
      <c r="AA389">
        <f t="shared" si="79"/>
        <v>3505</v>
      </c>
      <c r="AD389" t="str">
        <f t="shared" si="80"/>
        <v>314</v>
      </c>
      <c r="AE389">
        <f t="shared" si="81"/>
        <v>2</v>
      </c>
      <c r="AG389" s="50" t="str">
        <f t="shared" si="82"/>
        <v>D'UNE FONTAINE DECPTE CHARGES REGIE SPG - VALAUR SA</v>
      </c>
      <c r="AH389" s="244" t="str">
        <f t="shared" si="83"/>
        <v>96304</v>
      </c>
      <c r="AI389" s="219"/>
      <c r="AJ389" s="219"/>
      <c r="AK389" s="219" t="str">
        <f t="shared" si="84"/>
        <v>3439</v>
      </c>
      <c r="AL389" s="244" t="str">
        <f t="shared" si="85"/>
        <v>01</v>
      </c>
      <c r="AN389" s="219" t="str">
        <f t="shared" si="86"/>
        <v>Autres charges de biens-fonds PF | Bât D'une Fontaine à l'autre / Derrière l'Eglise 1-3 | Eau</v>
      </c>
    </row>
    <row r="390" spans="1:40" ht="15" customHeight="1" x14ac:dyDescent="0.3">
      <c r="A390" s="48"/>
      <c r="B390" s="74" t="s">
        <v>603</v>
      </c>
      <c r="C390" s="67" t="s">
        <v>604</v>
      </c>
      <c r="D390" s="46" t="s">
        <v>1459</v>
      </c>
      <c r="E390" s="46" t="s">
        <v>590</v>
      </c>
      <c r="F390" s="46">
        <v>3505</v>
      </c>
      <c r="G390" s="46" t="s">
        <v>131</v>
      </c>
      <c r="H390" s="46">
        <v>2</v>
      </c>
      <c r="I390" s="51"/>
      <c r="J390" s="51"/>
      <c r="K390" s="51">
        <f t="shared" si="78"/>
        <v>0</v>
      </c>
      <c r="L390" s="51"/>
      <c r="M390" s="51"/>
      <c r="N390" s="51">
        <f t="shared" si="77"/>
        <v>0</v>
      </c>
      <c r="O390" s="51"/>
      <c r="P390" s="179" t="s">
        <v>1802</v>
      </c>
      <c r="Q390" s="179" t="s">
        <v>1504</v>
      </c>
      <c r="R390" s="179" t="s">
        <v>2133</v>
      </c>
      <c r="S390" s="57" t="s">
        <v>2207</v>
      </c>
      <c r="T390" s="54"/>
      <c r="U390" s="54"/>
      <c r="AA390">
        <f t="shared" si="79"/>
        <v>3505</v>
      </c>
      <c r="AD390" t="str">
        <f t="shared" si="80"/>
        <v>314</v>
      </c>
      <c r="AE390">
        <f t="shared" si="81"/>
        <v>2</v>
      </c>
      <c r="AG390" s="50" t="str">
        <f t="shared" si="82"/>
        <v>D'UNE FONTAINE DECPTE CHARGES REGIE SPG - VALAUR SA</v>
      </c>
      <c r="AH390" s="244" t="str">
        <f t="shared" si="83"/>
        <v>96304</v>
      </c>
      <c r="AI390" s="219"/>
      <c r="AJ390" s="219"/>
      <c r="AK390" s="219" t="str">
        <f t="shared" si="84"/>
        <v>3439</v>
      </c>
      <c r="AL390" s="244" t="str">
        <f t="shared" si="85"/>
        <v>02</v>
      </c>
      <c r="AN390" s="219" t="str">
        <f t="shared" si="86"/>
        <v>Autres charges de biens-fonds PF | Bât D'une Fontaine à l'autre / Derrière l'Eglise 1-3 | Electricité</v>
      </c>
    </row>
    <row r="391" spans="1:40" ht="15" customHeight="1" x14ac:dyDescent="0.3">
      <c r="A391" s="48"/>
      <c r="B391" s="74" t="s">
        <v>603</v>
      </c>
      <c r="C391" s="67" t="s">
        <v>604</v>
      </c>
      <c r="D391" s="46" t="s">
        <v>1459</v>
      </c>
      <c r="E391" s="46" t="s">
        <v>590</v>
      </c>
      <c r="F391" s="46">
        <v>3505</v>
      </c>
      <c r="G391" s="46" t="s">
        <v>131</v>
      </c>
      <c r="H391" s="46">
        <v>2</v>
      </c>
      <c r="I391" s="51"/>
      <c r="J391" s="51"/>
      <c r="K391" s="51">
        <f t="shared" si="78"/>
        <v>0</v>
      </c>
      <c r="L391" s="51"/>
      <c r="M391" s="51"/>
      <c r="N391" s="51">
        <f t="shared" si="77"/>
        <v>0</v>
      </c>
      <c r="O391" s="51"/>
      <c r="P391" s="179" t="s">
        <v>1802</v>
      </c>
      <c r="Q391" s="179" t="s">
        <v>1504</v>
      </c>
      <c r="R391" s="179" t="s">
        <v>2134</v>
      </c>
      <c r="S391" s="57" t="s">
        <v>2208</v>
      </c>
      <c r="T391" s="54"/>
      <c r="U391" s="54"/>
      <c r="AA391">
        <f t="shared" si="79"/>
        <v>3505</v>
      </c>
      <c r="AD391" t="str">
        <f t="shared" si="80"/>
        <v>314</v>
      </c>
      <c r="AE391">
        <f t="shared" si="81"/>
        <v>2</v>
      </c>
      <c r="AG391" s="50" t="str">
        <f t="shared" si="82"/>
        <v>D'UNE FONTAINE DECPTE CHARGES REGIE SPG - VALAUR SA</v>
      </c>
      <c r="AH391" s="244" t="str">
        <f t="shared" si="83"/>
        <v>96304</v>
      </c>
      <c r="AI391" s="219"/>
      <c r="AJ391" s="219"/>
      <c r="AK391" s="219" t="str">
        <f t="shared" si="84"/>
        <v>3439</v>
      </c>
      <c r="AL391" s="244" t="str">
        <f t="shared" si="85"/>
        <v>03</v>
      </c>
      <c r="AN391" s="219" t="str">
        <f t="shared" si="86"/>
        <v>Autres charges de biens-fonds PF | Bât D'une Fontaine à l'autre / Derrière l'Eglise 1-3 | Chauffage</v>
      </c>
    </row>
    <row r="392" spans="1:40" ht="15" customHeight="1" x14ac:dyDescent="0.3">
      <c r="A392" s="48"/>
      <c r="B392" s="74" t="s">
        <v>603</v>
      </c>
      <c r="C392" s="67" t="s">
        <v>604</v>
      </c>
      <c r="D392" s="46" t="s">
        <v>1459</v>
      </c>
      <c r="E392" s="46" t="s">
        <v>590</v>
      </c>
      <c r="F392" s="46">
        <v>3505</v>
      </c>
      <c r="G392" s="46" t="s">
        <v>131</v>
      </c>
      <c r="H392" s="46">
        <v>2</v>
      </c>
      <c r="I392" s="51"/>
      <c r="J392" s="51"/>
      <c r="K392" s="51">
        <f t="shared" si="78"/>
        <v>0</v>
      </c>
      <c r="L392" s="51"/>
      <c r="M392" s="51"/>
      <c r="N392" s="51">
        <f t="shared" si="77"/>
        <v>0</v>
      </c>
      <c r="O392" s="51"/>
      <c r="P392" s="179" t="s">
        <v>1802</v>
      </c>
      <c r="Q392" s="179" t="s">
        <v>1504</v>
      </c>
      <c r="R392" s="179" t="s">
        <v>2135</v>
      </c>
      <c r="S392" s="57" t="s">
        <v>2209</v>
      </c>
      <c r="T392" s="54"/>
      <c r="U392" s="54"/>
      <c r="AA392">
        <f t="shared" si="79"/>
        <v>3505</v>
      </c>
      <c r="AD392" t="str">
        <f t="shared" si="80"/>
        <v>314</v>
      </c>
      <c r="AE392">
        <f t="shared" si="81"/>
        <v>2</v>
      </c>
      <c r="AG392" s="50" t="str">
        <f t="shared" si="82"/>
        <v>D'UNE FONTAINE DECPTE CHARGES REGIE SPG - VALAUR SA</v>
      </c>
      <c r="AH392" s="244" t="str">
        <f t="shared" si="83"/>
        <v>96304</v>
      </c>
      <c r="AI392" s="219"/>
      <c r="AJ392" s="219"/>
      <c r="AK392" s="219" t="str">
        <f t="shared" si="84"/>
        <v>3439</v>
      </c>
      <c r="AL392" s="244" t="str">
        <f t="shared" si="85"/>
        <v>04</v>
      </c>
      <c r="AN392" s="219" t="str">
        <f t="shared" si="86"/>
        <v>Autres charges de biens-fonds PF | Bât D'une Fontaine à l'autre / Derrière l'Eglise 1-3 | Frais de gérance</v>
      </c>
    </row>
    <row r="393" spans="1:40" ht="15" customHeight="1" x14ac:dyDescent="0.3">
      <c r="A393" s="48"/>
      <c r="B393" s="74" t="s">
        <v>603</v>
      </c>
      <c r="C393" s="67" t="s">
        <v>604</v>
      </c>
      <c r="D393" s="46" t="s">
        <v>1459</v>
      </c>
      <c r="E393" s="46" t="s">
        <v>590</v>
      </c>
      <c r="F393" s="46">
        <v>3505</v>
      </c>
      <c r="G393" s="46" t="s">
        <v>131</v>
      </c>
      <c r="H393" s="46">
        <v>2</v>
      </c>
      <c r="I393" s="51"/>
      <c r="J393" s="51"/>
      <c r="K393" s="51">
        <f t="shared" ref="K393:K424" si="87">+I393+J393</f>
        <v>0</v>
      </c>
      <c r="L393" s="51"/>
      <c r="M393" s="51"/>
      <c r="N393" s="51">
        <f t="shared" si="77"/>
        <v>0</v>
      </c>
      <c r="O393" s="51"/>
      <c r="P393" s="179" t="s">
        <v>1802</v>
      </c>
      <c r="Q393" s="179" t="s">
        <v>1822</v>
      </c>
      <c r="R393" s="179" t="s">
        <v>2131</v>
      </c>
      <c r="S393" s="57" t="s">
        <v>2210</v>
      </c>
      <c r="T393" s="54"/>
      <c r="U393" s="54"/>
      <c r="AA393">
        <f t="shared" si="79"/>
        <v>3505</v>
      </c>
      <c r="AD393" t="str">
        <f t="shared" si="80"/>
        <v>314</v>
      </c>
      <c r="AE393">
        <f t="shared" si="81"/>
        <v>2</v>
      </c>
      <c r="AG393" s="50" t="str">
        <f t="shared" si="82"/>
        <v>D'UNE FONTAINE DECPTE CHARGES REGIE SPG - VALAUR SA</v>
      </c>
      <c r="AH393" s="244" t="str">
        <f t="shared" si="83"/>
        <v>96304</v>
      </c>
      <c r="AI393" s="219"/>
      <c r="AJ393" s="219"/>
      <c r="AK393" s="219" t="str">
        <f t="shared" si="84"/>
        <v>3430</v>
      </c>
      <c r="AL393" s="244" t="str">
        <f t="shared" si="85"/>
        <v>00</v>
      </c>
      <c r="AN393" s="219" t="str">
        <f t="shared" si="86"/>
        <v>Tavaux Ponctuels, biens-fonds PF | Bât D'une Fontaine à l'autre / Derrière l'Eglise 1-3 |</v>
      </c>
    </row>
    <row r="394" spans="1:40" ht="15" customHeight="1" x14ac:dyDescent="0.3">
      <c r="A394" s="48">
        <v>0</v>
      </c>
      <c r="B394" s="49" t="s">
        <v>605</v>
      </c>
      <c r="C394" s="50" t="s">
        <v>606</v>
      </c>
      <c r="D394" s="46" t="s">
        <v>1459</v>
      </c>
      <c r="E394" s="46" t="s">
        <v>590</v>
      </c>
      <c r="F394" s="46">
        <v>3505</v>
      </c>
      <c r="G394" s="46" t="s">
        <v>123</v>
      </c>
      <c r="H394" s="46"/>
      <c r="I394" s="51">
        <v>0</v>
      </c>
      <c r="J394" s="51">
        <v>0</v>
      </c>
      <c r="K394" s="51">
        <f t="shared" si="87"/>
        <v>0</v>
      </c>
      <c r="L394" s="51">
        <v>0</v>
      </c>
      <c r="M394" s="51">
        <v>0</v>
      </c>
      <c r="N394" s="51">
        <f t="shared" si="77"/>
        <v>0</v>
      </c>
      <c r="O394" s="51">
        <v>0</v>
      </c>
      <c r="P394" s="179" t="s">
        <v>1489</v>
      </c>
      <c r="Q394" s="179" t="s">
        <v>1489</v>
      </c>
      <c r="R394" s="179" t="s">
        <v>1489</v>
      </c>
      <c r="S394" s="47"/>
      <c r="T394" s="54"/>
      <c r="U394" s="54"/>
      <c r="AA394">
        <f t="shared" si="79"/>
        <v>3505</v>
      </c>
      <c r="AD394" t="str">
        <f t="shared" si="80"/>
        <v>315</v>
      </c>
      <c r="AE394">
        <f t="shared" si="81"/>
        <v>0</v>
      </c>
      <c r="AG394" s="50" t="str">
        <f t="shared" si="82"/>
        <v>D'UNE FONTAINE ENTRETIEN MOB et INST TECH COMMUNAL</v>
      </c>
      <c r="AH394" s="244" t="str">
        <f t="shared" si="83"/>
        <v>-</v>
      </c>
      <c r="AI394" s="219"/>
      <c r="AJ394" s="219"/>
      <c r="AK394" s="219" t="str">
        <f t="shared" si="84"/>
        <v>-</v>
      </c>
      <c r="AL394" s="244" t="str">
        <f t="shared" si="85"/>
        <v>-</v>
      </c>
      <c r="AN394" s="219">
        <f t="shared" si="86"/>
        <v>0</v>
      </c>
    </row>
    <row r="395" spans="1:40" ht="15" customHeight="1" x14ac:dyDescent="0.3">
      <c r="A395" s="48">
        <v>0</v>
      </c>
      <c r="B395" s="49" t="s">
        <v>607</v>
      </c>
      <c r="C395" s="50" t="s">
        <v>608</v>
      </c>
      <c r="D395" s="46" t="s">
        <v>1459</v>
      </c>
      <c r="E395" s="46" t="s">
        <v>590</v>
      </c>
      <c r="F395" s="46">
        <v>3505</v>
      </c>
      <c r="G395" s="46" t="s">
        <v>123</v>
      </c>
      <c r="H395" s="46">
        <v>1</v>
      </c>
      <c r="I395" s="51">
        <v>0</v>
      </c>
      <c r="J395" s="51">
        <v>0</v>
      </c>
      <c r="K395" s="51">
        <f t="shared" si="87"/>
        <v>0</v>
      </c>
      <c r="L395" s="51">
        <v>0</v>
      </c>
      <c r="M395" s="51">
        <v>0</v>
      </c>
      <c r="N395" s="51">
        <f t="shared" si="77"/>
        <v>0</v>
      </c>
      <c r="O395" s="51">
        <v>0</v>
      </c>
      <c r="P395" s="179" t="s">
        <v>1489</v>
      </c>
      <c r="Q395" s="179" t="s">
        <v>1489</v>
      </c>
      <c r="R395" s="179" t="s">
        <v>1489</v>
      </c>
      <c r="S395" s="47"/>
      <c r="T395" s="54"/>
      <c r="U395" s="54"/>
      <c r="AA395">
        <f t="shared" si="79"/>
        <v>3505</v>
      </c>
      <c r="AD395" t="str">
        <f t="shared" si="80"/>
        <v>315</v>
      </c>
      <c r="AE395">
        <f t="shared" si="81"/>
        <v>1</v>
      </c>
      <c r="AG395" s="50" t="str">
        <f t="shared" si="82"/>
        <v>D'UNE FONTAINE CONTRAT ENT MOB et INST TECH COMMUNAL</v>
      </c>
      <c r="AH395" s="244" t="str">
        <f t="shared" si="83"/>
        <v>-</v>
      </c>
      <c r="AI395" s="219"/>
      <c r="AJ395" s="219"/>
      <c r="AK395" s="219" t="str">
        <f t="shared" si="84"/>
        <v>-</v>
      </c>
      <c r="AL395" s="244" t="str">
        <f t="shared" si="85"/>
        <v>-</v>
      </c>
      <c r="AN395" s="219">
        <f t="shared" si="86"/>
        <v>0</v>
      </c>
    </row>
    <row r="396" spans="1:40" ht="15" customHeight="1" thickBot="1" x14ac:dyDescent="0.35">
      <c r="A396" s="48">
        <v>0</v>
      </c>
      <c r="B396" s="49" t="s">
        <v>609</v>
      </c>
      <c r="C396" s="50" t="s">
        <v>610</v>
      </c>
      <c r="D396" s="46" t="s">
        <v>1459</v>
      </c>
      <c r="E396" s="46" t="s">
        <v>590</v>
      </c>
      <c r="F396" s="46">
        <v>3505</v>
      </c>
      <c r="G396" s="46" t="s">
        <v>48</v>
      </c>
      <c r="H396" s="46"/>
      <c r="I396" s="65">
        <v>1543.1</v>
      </c>
      <c r="J396" s="51">
        <v>0</v>
      </c>
      <c r="K396" s="51">
        <f t="shared" si="87"/>
        <v>1543.1</v>
      </c>
      <c r="L396" s="51">
        <v>0</v>
      </c>
      <c r="M396" s="51">
        <v>0</v>
      </c>
      <c r="N396" s="51">
        <f t="shared" ref="N396:N459" si="88">+L396+M396</f>
        <v>0</v>
      </c>
      <c r="O396" s="51">
        <v>0</v>
      </c>
      <c r="P396" s="179" t="s">
        <v>1802</v>
      </c>
      <c r="Q396" s="179" t="s">
        <v>1504</v>
      </c>
      <c r="R396" s="179" t="s">
        <v>2131</v>
      </c>
      <c r="S396" s="57" t="s">
        <v>2211</v>
      </c>
      <c r="T396" s="53">
        <f>+I396</f>
        <v>1543.1</v>
      </c>
      <c r="U396" s="54"/>
      <c r="AA396">
        <f t="shared" si="79"/>
        <v>3505</v>
      </c>
      <c r="AD396" t="str">
        <f t="shared" si="80"/>
        <v>318</v>
      </c>
      <c r="AE396">
        <f t="shared" si="81"/>
        <v>0</v>
      </c>
      <c r="AG396" s="50" t="str">
        <f t="shared" si="82"/>
        <v>D'UNE FONTAINE PREST ASS et HONORAIRES CNE</v>
      </c>
      <c r="AH396" s="244" t="str">
        <f t="shared" si="83"/>
        <v>96304</v>
      </c>
      <c r="AI396" s="219"/>
      <c r="AJ396" s="219"/>
      <c r="AK396" s="219" t="str">
        <f t="shared" si="84"/>
        <v>3439</v>
      </c>
      <c r="AL396" s="244" t="str">
        <f t="shared" si="85"/>
        <v>00</v>
      </c>
      <c r="AN396" s="219" t="str">
        <f t="shared" si="86"/>
        <v>Autres charges de biens-fonds PF | Bât D'une Fontaine à l'autre / Derrière l'Eglise 1-3 | Assurances</v>
      </c>
    </row>
    <row r="397" spans="1:40" ht="15" customHeight="1" x14ac:dyDescent="0.3">
      <c r="A397" s="48">
        <v>0</v>
      </c>
      <c r="B397" s="49" t="s">
        <v>611</v>
      </c>
      <c r="C397" s="50" t="s">
        <v>612</v>
      </c>
      <c r="D397" s="46" t="s">
        <v>1459</v>
      </c>
      <c r="E397" s="46" t="s">
        <v>590</v>
      </c>
      <c r="F397" s="46">
        <v>3505</v>
      </c>
      <c r="G397" s="46" t="s">
        <v>6</v>
      </c>
      <c r="H397" s="46"/>
      <c r="I397" s="51">
        <v>0</v>
      </c>
      <c r="J397" s="51">
        <v>0</v>
      </c>
      <c r="K397" s="51">
        <f t="shared" si="87"/>
        <v>0</v>
      </c>
      <c r="L397" s="51">
        <v>13500</v>
      </c>
      <c r="M397" s="51">
        <v>0</v>
      </c>
      <c r="N397" s="51">
        <f t="shared" si="88"/>
        <v>13500</v>
      </c>
      <c r="O397" s="51">
        <v>0</v>
      </c>
      <c r="P397" s="179" t="s">
        <v>1802</v>
      </c>
      <c r="Q397" s="234">
        <v>3511</v>
      </c>
      <c r="R397" s="179" t="s">
        <v>2131</v>
      </c>
      <c r="S397" s="57" t="s">
        <v>2212</v>
      </c>
      <c r="T397" s="54"/>
      <c r="U397" s="54"/>
      <c r="AA397">
        <f t="shared" si="79"/>
        <v>3505</v>
      </c>
      <c r="AD397" t="str">
        <f t="shared" si="80"/>
        <v>380</v>
      </c>
      <c r="AE397">
        <f t="shared" si="81"/>
        <v>0</v>
      </c>
      <c r="AG397" s="50" t="str">
        <f t="shared" si="82"/>
        <v>D'UNE FONTAINE ATTRIB FONDS RENOVATION (9281.15)</v>
      </c>
      <c r="AH397" s="244" t="str">
        <f t="shared" si="83"/>
        <v>96304</v>
      </c>
      <c r="AI397" s="219"/>
      <c r="AJ397" s="219"/>
      <c r="AK397" s="219">
        <f t="shared" si="84"/>
        <v>3511</v>
      </c>
      <c r="AL397" s="244" t="str">
        <f t="shared" si="85"/>
        <v>00</v>
      </c>
      <c r="AN397" s="219" t="str">
        <f t="shared" si="86"/>
        <v xml:space="preserve">Attributions aux fonds  PF | Bât D'une Fontaine à l'autre / Derrière l'Eglise 1-3 | </v>
      </c>
    </row>
    <row r="398" spans="1:40" ht="15" customHeight="1" x14ac:dyDescent="0.3">
      <c r="A398" s="48">
        <v>0</v>
      </c>
      <c r="B398" s="49" t="s">
        <v>613</v>
      </c>
      <c r="C398" s="50" t="s">
        <v>614</v>
      </c>
      <c r="D398" s="46" t="s">
        <v>1459</v>
      </c>
      <c r="E398" s="46" t="s">
        <v>590</v>
      </c>
      <c r="F398" s="46">
        <v>3505</v>
      </c>
      <c r="G398" s="46" t="s">
        <v>28</v>
      </c>
      <c r="H398" s="46">
        <v>2</v>
      </c>
      <c r="I398" s="51">
        <v>0</v>
      </c>
      <c r="J398" s="51">
        <v>0</v>
      </c>
      <c r="K398" s="51">
        <f t="shared" si="87"/>
        <v>0</v>
      </c>
      <c r="L398" s="51">
        <v>0</v>
      </c>
      <c r="M398" s="51">
        <v>0</v>
      </c>
      <c r="N398" s="51">
        <f t="shared" si="88"/>
        <v>0</v>
      </c>
      <c r="O398" s="51">
        <v>0</v>
      </c>
      <c r="P398" s="179" t="s">
        <v>1489</v>
      </c>
      <c r="Q398" s="179" t="s">
        <v>1489</v>
      </c>
      <c r="R398" s="179" t="s">
        <v>1489</v>
      </c>
      <c r="S398" s="47"/>
      <c r="T398" s="54"/>
      <c r="U398" s="54"/>
      <c r="AA398">
        <f t="shared" si="79"/>
        <v>3505</v>
      </c>
      <c r="AD398" t="str">
        <f t="shared" si="80"/>
        <v>390</v>
      </c>
      <c r="AE398">
        <f t="shared" si="81"/>
        <v>2</v>
      </c>
      <c r="AG398" s="50" t="str">
        <f t="shared" si="82"/>
        <v>D'UNE FONTAINE IMPUTATIONS INTERNES INTERÊTS</v>
      </c>
      <c r="AH398" s="244" t="str">
        <f t="shared" si="83"/>
        <v>-</v>
      </c>
      <c r="AI398" s="219"/>
      <c r="AJ398" s="219"/>
      <c r="AK398" s="219" t="str">
        <f t="shared" si="84"/>
        <v>-</v>
      </c>
      <c r="AL398" s="244" t="str">
        <f t="shared" si="85"/>
        <v>-</v>
      </c>
      <c r="AN398" s="219">
        <f t="shared" si="86"/>
        <v>0</v>
      </c>
    </row>
    <row r="399" spans="1:40" ht="15" customHeight="1" x14ac:dyDescent="0.3">
      <c r="A399" s="48">
        <v>0</v>
      </c>
      <c r="B399" s="49" t="s">
        <v>615</v>
      </c>
      <c r="C399" s="50" t="s">
        <v>616</v>
      </c>
      <c r="D399" s="46" t="s">
        <v>1459</v>
      </c>
      <c r="E399" s="46" t="s">
        <v>590</v>
      </c>
      <c r="F399" s="46">
        <v>3505</v>
      </c>
      <c r="G399" s="46" t="s">
        <v>326</v>
      </c>
      <c r="H399" s="46">
        <v>2</v>
      </c>
      <c r="I399" s="51">
        <v>0</v>
      </c>
      <c r="J399" s="51">
        <v>-325707.59999999998</v>
      </c>
      <c r="K399" s="51">
        <f t="shared" si="87"/>
        <v>-325707.59999999998</v>
      </c>
      <c r="L399" s="51">
        <v>0</v>
      </c>
      <c r="M399" s="51">
        <v>-320000</v>
      </c>
      <c r="N399" s="51">
        <f t="shared" si="88"/>
        <v>-320000</v>
      </c>
      <c r="O399" s="51">
        <v>0</v>
      </c>
      <c r="P399" s="179" t="s">
        <v>1802</v>
      </c>
      <c r="Q399" s="179" t="s">
        <v>1813</v>
      </c>
      <c r="R399" s="179" t="s">
        <v>2131</v>
      </c>
      <c r="S399" s="57" t="s">
        <v>2213</v>
      </c>
      <c r="T399" s="54">
        <f>+J399</f>
        <v>-325707.59999999998</v>
      </c>
      <c r="U399" s="54"/>
      <c r="AA399">
        <f t="shared" si="79"/>
        <v>3505</v>
      </c>
      <c r="AD399" t="str">
        <f t="shared" si="80"/>
        <v>423</v>
      </c>
      <c r="AE399">
        <f t="shared" si="81"/>
        <v>2</v>
      </c>
      <c r="AG399" s="50" t="str">
        <f t="shared" si="82"/>
        <v>D'UNE FONTAINE DECPTE LOYERS REGIE SPG - VALAUR SA</v>
      </c>
      <c r="AH399" s="244" t="str">
        <f t="shared" si="83"/>
        <v>96304</v>
      </c>
      <c r="AI399" s="219"/>
      <c r="AJ399" s="219"/>
      <c r="AK399" s="219" t="str">
        <f t="shared" si="84"/>
        <v>4430</v>
      </c>
      <c r="AL399" s="244" t="str">
        <f t="shared" si="85"/>
        <v>00</v>
      </c>
      <c r="AN399" s="219" t="str">
        <f t="shared" si="86"/>
        <v>Loyers et fermages, immeubles du PF | Bât D'une Fontaine à l'autre / Derrière l'Eglise 1-3 |</v>
      </c>
    </row>
    <row r="400" spans="1:40" ht="15" customHeight="1" x14ac:dyDescent="0.3">
      <c r="A400" s="48">
        <v>0</v>
      </c>
      <c r="B400" s="49" t="s">
        <v>617</v>
      </c>
      <c r="C400" s="50" t="s">
        <v>618</v>
      </c>
      <c r="D400" s="46" t="s">
        <v>1459</v>
      </c>
      <c r="E400" s="46" t="s">
        <v>590</v>
      </c>
      <c r="F400" s="46">
        <v>3505</v>
      </c>
      <c r="G400" s="46" t="s">
        <v>61</v>
      </c>
      <c r="H400" s="46"/>
      <c r="I400" s="51">
        <v>0</v>
      </c>
      <c r="J400" s="51">
        <v>0</v>
      </c>
      <c r="K400" s="51">
        <f t="shared" si="87"/>
        <v>0</v>
      </c>
      <c r="L400" s="51">
        <v>0</v>
      </c>
      <c r="M400" s="51">
        <v>0</v>
      </c>
      <c r="N400" s="51">
        <f t="shared" si="88"/>
        <v>0</v>
      </c>
      <c r="O400" s="51">
        <v>0</v>
      </c>
      <c r="P400" s="179" t="s">
        <v>1489</v>
      </c>
      <c r="Q400" s="179" t="s">
        <v>1489</v>
      </c>
      <c r="R400" s="179" t="s">
        <v>1489</v>
      </c>
      <c r="S400" s="47"/>
      <c r="T400" s="54"/>
      <c r="U400" s="54"/>
      <c r="AA400">
        <f t="shared" si="79"/>
        <v>3505</v>
      </c>
      <c r="AD400" t="str">
        <f t="shared" si="80"/>
        <v>436</v>
      </c>
      <c r="AE400">
        <f t="shared" si="81"/>
        <v>0</v>
      </c>
      <c r="AG400" s="50" t="str">
        <f t="shared" si="82"/>
        <v>D'UNE FONTAINE PART DE TIERS</v>
      </c>
      <c r="AH400" s="244" t="str">
        <f t="shared" si="83"/>
        <v>-</v>
      </c>
      <c r="AI400" s="219"/>
      <c r="AJ400" s="219"/>
      <c r="AK400" s="219" t="str">
        <f t="shared" si="84"/>
        <v>-</v>
      </c>
      <c r="AL400" s="244" t="str">
        <f t="shared" si="85"/>
        <v>-</v>
      </c>
      <c r="AN400" s="219">
        <f t="shared" si="86"/>
        <v>0</v>
      </c>
    </row>
    <row r="401" spans="1:40" ht="15" customHeight="1" x14ac:dyDescent="0.3">
      <c r="A401" s="48">
        <v>0</v>
      </c>
      <c r="B401" s="49" t="s">
        <v>620</v>
      </c>
      <c r="C401" s="50" t="s">
        <v>621</v>
      </c>
      <c r="D401" s="46" t="s">
        <v>1459</v>
      </c>
      <c r="E401" s="46" t="s">
        <v>619</v>
      </c>
      <c r="F401" s="46">
        <v>3506</v>
      </c>
      <c r="G401" s="46" t="s">
        <v>25</v>
      </c>
      <c r="H401" s="46"/>
      <c r="I401" s="51">
        <v>0</v>
      </c>
      <c r="J401" s="51">
        <v>0</v>
      </c>
      <c r="K401" s="51">
        <f t="shared" si="87"/>
        <v>0</v>
      </c>
      <c r="L401" s="51">
        <v>500</v>
      </c>
      <c r="M401" s="51">
        <v>0</v>
      </c>
      <c r="N401" s="51">
        <f t="shared" si="88"/>
        <v>500</v>
      </c>
      <c r="O401" s="51">
        <v>0</v>
      </c>
      <c r="P401" s="179" t="s">
        <v>1800</v>
      </c>
      <c r="Q401" s="179" t="s">
        <v>1493</v>
      </c>
      <c r="R401" s="179" t="s">
        <v>2131</v>
      </c>
      <c r="S401" s="4" t="s">
        <v>2253</v>
      </c>
      <c r="T401" s="54"/>
      <c r="U401" s="54"/>
      <c r="AA401">
        <f t="shared" si="79"/>
        <v>3506</v>
      </c>
      <c r="AD401" t="str">
        <f t="shared" si="80"/>
        <v>311</v>
      </c>
      <c r="AE401">
        <f t="shared" si="81"/>
        <v>0</v>
      </c>
      <c r="AG401" s="50" t="str">
        <f t="shared" si="82"/>
        <v>1912 - LE MONTANT  ACHATS MOBILIER MACH. MATERIEL COMMUNAL</v>
      </c>
      <c r="AH401" s="244" t="str">
        <f t="shared" si="83"/>
        <v>02902</v>
      </c>
      <c r="AI401" s="219"/>
      <c r="AJ401" s="219"/>
      <c r="AK401" s="219" t="str">
        <f t="shared" si="84"/>
        <v>3111</v>
      </c>
      <c r="AL401" s="244" t="str">
        <f t="shared" si="85"/>
        <v>00</v>
      </c>
      <c r="AN401" s="219" t="str">
        <f t="shared" si="86"/>
        <v>Machines, appareils PA | Bât 1912 / Le Montant / Vieux-Collège - Duillier 9 |</v>
      </c>
    </row>
    <row r="402" spans="1:40" ht="15" customHeight="1" x14ac:dyDescent="0.3">
      <c r="A402" s="48">
        <v>0</v>
      </c>
      <c r="B402" s="49" t="s">
        <v>622</v>
      </c>
      <c r="C402" s="50" t="s">
        <v>623</v>
      </c>
      <c r="D402" s="46" t="s">
        <v>1459</v>
      </c>
      <c r="E402" s="46" t="s">
        <v>619</v>
      </c>
      <c r="F402" s="46">
        <v>3506</v>
      </c>
      <c r="G402" s="46" t="s">
        <v>159</v>
      </c>
      <c r="H402" s="46"/>
      <c r="I402" s="51">
        <v>4288.45</v>
      </c>
      <c r="J402" s="51">
        <v>0</v>
      </c>
      <c r="K402" s="51">
        <f t="shared" si="87"/>
        <v>4288.45</v>
      </c>
      <c r="L402" s="51">
        <v>2000</v>
      </c>
      <c r="M402" s="51">
        <v>0</v>
      </c>
      <c r="N402" s="51">
        <f t="shared" si="88"/>
        <v>2000</v>
      </c>
      <c r="O402" s="51">
        <v>510.15</v>
      </c>
      <c r="P402" s="179" t="s">
        <v>1800</v>
      </c>
      <c r="Q402" s="179" t="s">
        <v>1500</v>
      </c>
      <c r="R402" s="179" t="s">
        <v>2132</v>
      </c>
      <c r="S402" s="57" t="s">
        <v>2254</v>
      </c>
      <c r="T402" s="54">
        <f>+I402</f>
        <v>4288.45</v>
      </c>
      <c r="U402" s="54"/>
      <c r="AA402">
        <f t="shared" si="79"/>
        <v>3506</v>
      </c>
      <c r="AD402" t="str">
        <f t="shared" si="80"/>
        <v>312</v>
      </c>
      <c r="AE402">
        <f t="shared" si="81"/>
        <v>0</v>
      </c>
      <c r="AG402" s="50" t="str">
        <f t="shared" si="82"/>
        <v>1912 - LE MONTANT  ACHATS ELECTRICITE COMMUNAL</v>
      </c>
      <c r="AH402" s="244" t="str">
        <f t="shared" si="83"/>
        <v>02902</v>
      </c>
      <c r="AI402" s="219"/>
      <c r="AJ402" s="219"/>
      <c r="AK402" s="219" t="str">
        <f t="shared" si="84"/>
        <v>3120</v>
      </c>
      <c r="AL402" s="244" t="str">
        <f t="shared" si="85"/>
        <v>01</v>
      </c>
      <c r="AN402" s="219" t="str">
        <f t="shared" si="86"/>
        <v>Frais d'électricité PA | Bât 1912 / Le Montant / Vieux-Collège - Duillier 9 |</v>
      </c>
    </row>
    <row r="403" spans="1:40" ht="15" customHeight="1" x14ac:dyDescent="0.3">
      <c r="A403" s="48">
        <v>0</v>
      </c>
      <c r="B403" s="49" t="s">
        <v>624</v>
      </c>
      <c r="C403" s="50" t="s">
        <v>625</v>
      </c>
      <c r="D403" s="46" t="s">
        <v>1459</v>
      </c>
      <c r="E403" s="46" t="s">
        <v>619</v>
      </c>
      <c r="F403" s="46">
        <v>3506</v>
      </c>
      <c r="G403" s="46" t="s">
        <v>159</v>
      </c>
      <c r="H403" s="46">
        <v>1</v>
      </c>
      <c r="I403" s="51">
        <v>16986.349999999999</v>
      </c>
      <c r="J403" s="51">
        <v>0</v>
      </c>
      <c r="K403" s="51">
        <f t="shared" si="87"/>
        <v>16986.349999999999</v>
      </c>
      <c r="L403" s="51">
        <v>20000</v>
      </c>
      <c r="M403" s="51">
        <v>0</v>
      </c>
      <c r="N403" s="51">
        <f t="shared" si="88"/>
        <v>20000</v>
      </c>
      <c r="O403" s="51">
        <v>0</v>
      </c>
      <c r="P403" s="179" t="s">
        <v>1800</v>
      </c>
      <c r="Q403" s="179" t="s">
        <v>1500</v>
      </c>
      <c r="R403" s="179" t="s">
        <v>2131</v>
      </c>
      <c r="S403" s="55" t="s">
        <v>2255</v>
      </c>
      <c r="T403" s="54">
        <f>+I403</f>
        <v>16986.349999999999</v>
      </c>
      <c r="U403" s="54"/>
      <c r="AA403">
        <f t="shared" si="79"/>
        <v>3506</v>
      </c>
      <c r="AD403" t="str">
        <f t="shared" si="80"/>
        <v>312</v>
      </c>
      <c r="AE403">
        <f t="shared" si="81"/>
        <v>1</v>
      </c>
      <c r="AG403" s="50" t="str">
        <f t="shared" si="82"/>
        <v>1912 - LE MONTANT  ACHATS COMBUSTIBLE CAD</v>
      </c>
      <c r="AH403" s="244" t="str">
        <f t="shared" si="83"/>
        <v>02902</v>
      </c>
      <c r="AI403" s="219"/>
      <c r="AJ403" s="219"/>
      <c r="AK403" s="219" t="str">
        <f t="shared" si="84"/>
        <v>3120</v>
      </c>
      <c r="AL403" s="244" t="str">
        <f t="shared" si="85"/>
        <v>00</v>
      </c>
      <c r="AN403" s="219" t="str">
        <f t="shared" si="86"/>
        <v>Frais de chauffage  PA | Bât 1912 / Le Montant / Vieux-Collège - Duillier 9 |</v>
      </c>
    </row>
    <row r="404" spans="1:40" ht="15" customHeight="1" x14ac:dyDescent="0.3">
      <c r="A404" s="48">
        <v>0</v>
      </c>
      <c r="B404" s="49" t="s">
        <v>626</v>
      </c>
      <c r="C404" s="50" t="s">
        <v>627</v>
      </c>
      <c r="D404" s="46" t="s">
        <v>1459</v>
      </c>
      <c r="E404" s="46" t="s">
        <v>619</v>
      </c>
      <c r="F404" s="46">
        <v>3506</v>
      </c>
      <c r="G404" s="46" t="s">
        <v>439</v>
      </c>
      <c r="H404" s="46"/>
      <c r="I404" s="51">
        <v>1238.7</v>
      </c>
      <c r="J404" s="51">
        <v>0</v>
      </c>
      <c r="K404" s="51">
        <f t="shared" si="87"/>
        <v>1238.7</v>
      </c>
      <c r="L404" s="51">
        <v>1000</v>
      </c>
      <c r="M404" s="51">
        <v>0</v>
      </c>
      <c r="N404" s="51">
        <f t="shared" si="88"/>
        <v>1000</v>
      </c>
      <c r="O404" s="51">
        <v>663.95</v>
      </c>
      <c r="P404" s="179" t="s">
        <v>1800</v>
      </c>
      <c r="Q404" s="179" t="s">
        <v>1426</v>
      </c>
      <c r="R404" s="179" t="s">
        <v>2131</v>
      </c>
      <c r="S404" s="55" t="s">
        <v>2256</v>
      </c>
      <c r="T404" s="54">
        <f>+I404</f>
        <v>1238.7</v>
      </c>
      <c r="U404" s="54"/>
      <c r="AA404">
        <f t="shared" si="79"/>
        <v>3506</v>
      </c>
      <c r="AD404" t="str">
        <f t="shared" si="80"/>
        <v>313</v>
      </c>
      <c r="AE404">
        <f t="shared" si="81"/>
        <v>0</v>
      </c>
      <c r="AG404" s="50" t="str">
        <f t="shared" si="82"/>
        <v>1912 - LE MONTANT  ACHATS MARCH PROD ENTRETIEN COMMUNAL</v>
      </c>
      <c r="AH404" s="244" t="str">
        <f t="shared" si="83"/>
        <v>02902</v>
      </c>
      <c r="AI404" s="219"/>
      <c r="AJ404" s="219"/>
      <c r="AK404" s="219" t="str">
        <f t="shared" si="84"/>
        <v>3101</v>
      </c>
      <c r="AL404" s="244" t="str">
        <f t="shared" si="85"/>
        <v>00</v>
      </c>
      <c r="AN404" s="219" t="str">
        <f t="shared" si="86"/>
        <v>Matériel d'exploitation, petites fournitures (produits entretien) PA | Bât 1912 / Le Montant / Vieux-Collège - Duillier 9 |</v>
      </c>
    </row>
    <row r="405" spans="1:40" ht="15" customHeight="1" x14ac:dyDescent="0.3">
      <c r="A405" s="48">
        <v>0</v>
      </c>
      <c r="B405" s="49" t="s">
        <v>628</v>
      </c>
      <c r="C405" s="50" t="s">
        <v>629</v>
      </c>
      <c r="D405" s="46" t="s">
        <v>1459</v>
      </c>
      <c r="E405" s="46" t="s">
        <v>619</v>
      </c>
      <c r="F405" s="46">
        <v>3506</v>
      </c>
      <c r="G405" s="46" t="s">
        <v>131</v>
      </c>
      <c r="H405" s="46"/>
      <c r="I405" s="51">
        <v>7108.65</v>
      </c>
      <c r="J405" s="51">
        <v>0</v>
      </c>
      <c r="K405" s="51">
        <f t="shared" si="87"/>
        <v>7108.65</v>
      </c>
      <c r="L405" s="51">
        <v>12000</v>
      </c>
      <c r="M405" s="51">
        <v>0</v>
      </c>
      <c r="N405" s="51">
        <f t="shared" si="88"/>
        <v>12000</v>
      </c>
      <c r="O405" s="51">
        <v>6200</v>
      </c>
      <c r="P405" s="179" t="s">
        <v>1800</v>
      </c>
      <c r="Q405" s="179" t="s">
        <v>1678</v>
      </c>
      <c r="R405" s="179" t="s">
        <v>2131</v>
      </c>
      <c r="S405" s="55" t="s">
        <v>2257</v>
      </c>
      <c r="T405" s="54">
        <f>+I405</f>
        <v>7108.65</v>
      </c>
      <c r="U405" s="54"/>
      <c r="AA405">
        <f t="shared" si="79"/>
        <v>3506</v>
      </c>
      <c r="AD405" t="str">
        <f t="shared" si="80"/>
        <v>314</v>
      </c>
      <c r="AE405">
        <f t="shared" si="81"/>
        <v>0</v>
      </c>
      <c r="AG405" s="50" t="str">
        <f t="shared" si="82"/>
        <v>1912 - LE MONTANT  ENTRETIEN BÂTIMENT COMMUNAL</v>
      </c>
      <c r="AH405" s="244" t="str">
        <f t="shared" si="83"/>
        <v>02902</v>
      </c>
      <c r="AI405" s="219"/>
      <c r="AJ405" s="219"/>
      <c r="AK405" s="219" t="str">
        <f t="shared" si="84"/>
        <v>3144</v>
      </c>
      <c r="AL405" s="244" t="str">
        <f t="shared" si="85"/>
        <v>00</v>
      </c>
      <c r="AN405" s="219" t="str">
        <f t="shared" si="86"/>
        <v>Entretien des bâtiments, immeubles  PA | Bât 1912 / Le Montant / Vieux-Collège - Duillier 9 |</v>
      </c>
    </row>
    <row r="406" spans="1:40" ht="15" customHeight="1" x14ac:dyDescent="0.3">
      <c r="A406" s="48">
        <v>0</v>
      </c>
      <c r="B406" s="49" t="s">
        <v>630</v>
      </c>
      <c r="C406" s="50" t="s">
        <v>631</v>
      </c>
      <c r="D406" s="46" t="s">
        <v>1459</v>
      </c>
      <c r="E406" s="46" t="s">
        <v>619</v>
      </c>
      <c r="F406" s="46">
        <v>3506</v>
      </c>
      <c r="G406" s="46" t="s">
        <v>131</v>
      </c>
      <c r="H406" s="46">
        <v>1</v>
      </c>
      <c r="I406" s="51">
        <v>0</v>
      </c>
      <c r="J406" s="51">
        <v>0</v>
      </c>
      <c r="K406" s="51">
        <f t="shared" si="87"/>
        <v>0</v>
      </c>
      <c r="L406" s="51">
        <v>600</v>
      </c>
      <c r="M406" s="51">
        <v>0</v>
      </c>
      <c r="N406" s="51">
        <f t="shared" si="88"/>
        <v>600</v>
      </c>
      <c r="O406" s="51">
        <v>0</v>
      </c>
      <c r="P406" s="179" t="s">
        <v>1800</v>
      </c>
      <c r="Q406" s="179" t="s">
        <v>1678</v>
      </c>
      <c r="R406" s="179" t="s">
        <v>2131</v>
      </c>
      <c r="S406" s="55" t="s">
        <v>2257</v>
      </c>
      <c r="T406" s="54"/>
      <c r="U406" s="54"/>
      <c r="AA406">
        <f t="shared" si="79"/>
        <v>3506</v>
      </c>
      <c r="AD406" t="str">
        <f t="shared" si="80"/>
        <v>314</v>
      </c>
      <c r="AE406">
        <f t="shared" si="81"/>
        <v>1</v>
      </c>
      <c r="AG406" s="50" t="str">
        <f t="shared" si="82"/>
        <v>1912 - LE MONTANT  CONTRATS ENTRETIEN BÂT</v>
      </c>
      <c r="AH406" s="244" t="str">
        <f t="shared" si="83"/>
        <v>02902</v>
      </c>
      <c r="AI406" s="219"/>
      <c r="AJ406" s="219"/>
      <c r="AK406" s="219" t="str">
        <f t="shared" si="84"/>
        <v>3144</v>
      </c>
      <c r="AL406" s="244" t="str">
        <f t="shared" si="85"/>
        <v>00</v>
      </c>
      <c r="AN406" s="219" t="str">
        <f t="shared" si="86"/>
        <v>Entretien des bâtiments, immeubles  PA | Bât 1912 / Le Montant / Vieux-Collège - Duillier 9 |</v>
      </c>
    </row>
    <row r="407" spans="1:40" ht="15" customHeight="1" x14ac:dyDescent="0.3">
      <c r="A407" s="48">
        <v>0</v>
      </c>
      <c r="B407" s="74" t="s">
        <v>632</v>
      </c>
      <c r="C407" s="67" t="s">
        <v>633</v>
      </c>
      <c r="D407" s="188" t="s">
        <v>1459</v>
      </c>
      <c r="E407" s="188" t="s">
        <v>619</v>
      </c>
      <c r="F407" s="46">
        <v>3506</v>
      </c>
      <c r="G407" s="188" t="s">
        <v>131</v>
      </c>
      <c r="H407" s="188">
        <v>2</v>
      </c>
      <c r="I407" s="51">
        <v>29069.15</v>
      </c>
      <c r="J407" s="51">
        <v>0</v>
      </c>
      <c r="K407" s="51">
        <f t="shared" si="87"/>
        <v>29069.15</v>
      </c>
      <c r="L407" s="51">
        <v>6000</v>
      </c>
      <c r="M407" s="51">
        <v>0</v>
      </c>
      <c r="N407" s="51">
        <f t="shared" si="88"/>
        <v>6000</v>
      </c>
      <c r="O407" s="51">
        <v>0</v>
      </c>
      <c r="P407" s="179" t="s">
        <v>1800</v>
      </c>
      <c r="Q407" s="179" t="s">
        <v>1678</v>
      </c>
      <c r="R407" s="179" t="s">
        <v>2131</v>
      </c>
      <c r="S407" s="55" t="s">
        <v>2257</v>
      </c>
      <c r="T407" s="54">
        <f>+I407</f>
        <v>29069.15</v>
      </c>
      <c r="U407" s="54"/>
      <c r="AA407">
        <f t="shared" si="79"/>
        <v>3506</v>
      </c>
      <c r="AD407" t="str">
        <f t="shared" si="80"/>
        <v>314</v>
      </c>
      <c r="AE407">
        <f t="shared" si="81"/>
        <v>2</v>
      </c>
      <c r="AG407" s="50" t="str">
        <f t="shared" si="82"/>
        <v>1912 - LE MONTANT  DECPTE CHARGES REGIE SPG - VALAUR SA</v>
      </c>
      <c r="AH407" s="244" t="str">
        <f t="shared" si="83"/>
        <v>02902</v>
      </c>
      <c r="AI407" s="219"/>
      <c r="AJ407" s="219"/>
      <c r="AK407" s="219" t="str">
        <f t="shared" si="84"/>
        <v>3144</v>
      </c>
      <c r="AL407" s="244" t="str">
        <f t="shared" si="85"/>
        <v>00</v>
      </c>
      <c r="AN407" s="219" t="str">
        <f t="shared" si="86"/>
        <v>Entretien des bâtiments, immeubles  PA | Bât 1912 / Le Montant / Vieux-Collège - Duillier 9 |</v>
      </c>
    </row>
    <row r="408" spans="1:40" ht="15" customHeight="1" x14ac:dyDescent="0.3">
      <c r="A408" s="48"/>
      <c r="B408" s="74" t="s">
        <v>632</v>
      </c>
      <c r="C408" s="67" t="s">
        <v>633</v>
      </c>
      <c r="D408" s="188" t="s">
        <v>1459</v>
      </c>
      <c r="E408" s="188" t="s">
        <v>619</v>
      </c>
      <c r="F408" s="46">
        <v>3506</v>
      </c>
      <c r="G408" s="188" t="s">
        <v>131</v>
      </c>
      <c r="H408" s="188">
        <v>2</v>
      </c>
      <c r="I408" s="51"/>
      <c r="J408" s="51"/>
      <c r="K408" s="51">
        <f t="shared" si="87"/>
        <v>0</v>
      </c>
      <c r="L408" s="51"/>
      <c r="M408" s="51"/>
      <c r="N408" s="51">
        <f t="shared" si="88"/>
        <v>0</v>
      </c>
      <c r="O408" s="51"/>
      <c r="P408" s="179" t="s">
        <v>1800</v>
      </c>
      <c r="Q408" s="179" t="s">
        <v>1500</v>
      </c>
      <c r="R408" s="179" t="s">
        <v>2133</v>
      </c>
      <c r="S408" s="55" t="s">
        <v>2258</v>
      </c>
      <c r="T408" s="54"/>
      <c r="U408" s="54"/>
      <c r="AA408">
        <f t="shared" si="79"/>
        <v>3506</v>
      </c>
      <c r="AD408" t="str">
        <f t="shared" si="80"/>
        <v>314</v>
      </c>
      <c r="AE408">
        <f t="shared" si="81"/>
        <v>2</v>
      </c>
      <c r="AG408" s="50" t="str">
        <f t="shared" si="82"/>
        <v>1912 - LE MONTANT  DECPTE CHARGES REGIE SPG - VALAUR SA</v>
      </c>
      <c r="AH408" s="244" t="str">
        <f t="shared" si="83"/>
        <v>02902</v>
      </c>
      <c r="AI408" s="219"/>
      <c r="AJ408" s="219"/>
      <c r="AK408" s="219" t="str">
        <f t="shared" si="84"/>
        <v>3120</v>
      </c>
      <c r="AL408" s="244" t="str">
        <f t="shared" si="85"/>
        <v>02</v>
      </c>
      <c r="AN408" s="219" t="str">
        <f t="shared" si="86"/>
        <v>Frais d'eau PA | Bât 1912 / Le Montant / Vieux-Collège - Duillier 9 |</v>
      </c>
    </row>
    <row r="409" spans="1:40" ht="15" customHeight="1" x14ac:dyDescent="0.3">
      <c r="A409" s="48"/>
      <c r="B409" s="74" t="s">
        <v>632</v>
      </c>
      <c r="C409" s="67" t="s">
        <v>633</v>
      </c>
      <c r="D409" s="188" t="s">
        <v>1459</v>
      </c>
      <c r="E409" s="188" t="s">
        <v>619</v>
      </c>
      <c r="F409" s="46">
        <v>3506</v>
      </c>
      <c r="G409" s="188" t="s">
        <v>131</v>
      </c>
      <c r="H409" s="188">
        <v>2</v>
      </c>
      <c r="I409" s="51"/>
      <c r="J409" s="51"/>
      <c r="K409" s="51">
        <f t="shared" si="87"/>
        <v>0</v>
      </c>
      <c r="L409" s="51"/>
      <c r="M409" s="51"/>
      <c r="N409" s="51">
        <f t="shared" si="88"/>
        <v>0</v>
      </c>
      <c r="O409" s="51"/>
      <c r="P409" s="179" t="s">
        <v>1800</v>
      </c>
      <c r="Q409" s="179" t="s">
        <v>1831</v>
      </c>
      <c r="R409" s="179" t="s">
        <v>2131</v>
      </c>
      <c r="S409" s="55" t="s">
        <v>2259</v>
      </c>
      <c r="T409" s="54"/>
      <c r="U409" s="54"/>
      <c r="AA409">
        <f t="shared" si="79"/>
        <v>3506</v>
      </c>
      <c r="AD409" t="str">
        <f t="shared" si="80"/>
        <v>314</v>
      </c>
      <c r="AE409">
        <f t="shared" si="81"/>
        <v>2</v>
      </c>
      <c r="AG409" s="50" t="str">
        <f t="shared" si="82"/>
        <v>1912 - LE MONTANT  DECPTE CHARGES REGIE SPG - VALAUR SA</v>
      </c>
      <c r="AH409" s="244" t="str">
        <f t="shared" si="83"/>
        <v>02902</v>
      </c>
      <c r="AI409" s="219"/>
      <c r="AJ409" s="219"/>
      <c r="AK409" s="219" t="str">
        <f t="shared" si="84"/>
        <v>3110</v>
      </c>
      <c r="AL409" s="244" t="str">
        <f t="shared" si="85"/>
        <v>00</v>
      </c>
      <c r="AN409" s="219" t="str">
        <f t="shared" si="86"/>
        <v>Meubles et appareils de bureau PA | Bât 1912 / Le Montant / Vieux-Collège - Duillier 9 |</v>
      </c>
    </row>
    <row r="410" spans="1:40" ht="15" customHeight="1" x14ac:dyDescent="0.3">
      <c r="A410" s="48"/>
      <c r="B410" s="74" t="s">
        <v>632</v>
      </c>
      <c r="C410" s="67" t="s">
        <v>633</v>
      </c>
      <c r="D410" s="188" t="s">
        <v>1459</v>
      </c>
      <c r="E410" s="188" t="s">
        <v>619</v>
      </c>
      <c r="F410" s="46">
        <v>3506</v>
      </c>
      <c r="G410" s="188" t="s">
        <v>131</v>
      </c>
      <c r="H410" s="188">
        <v>2</v>
      </c>
      <c r="I410" s="51"/>
      <c r="J410" s="51"/>
      <c r="K410" s="51">
        <f t="shared" si="87"/>
        <v>0</v>
      </c>
      <c r="L410" s="51"/>
      <c r="M410" s="51"/>
      <c r="N410" s="51">
        <f t="shared" si="88"/>
        <v>0</v>
      </c>
      <c r="O410" s="51"/>
      <c r="P410" s="179" t="s">
        <v>1800</v>
      </c>
      <c r="Q410" s="179" t="s">
        <v>1493</v>
      </c>
      <c r="R410" s="179" t="s">
        <v>2131</v>
      </c>
      <c r="S410" s="55" t="s">
        <v>2253</v>
      </c>
      <c r="T410" s="54"/>
      <c r="U410" s="54"/>
      <c r="AA410">
        <f t="shared" si="79"/>
        <v>3506</v>
      </c>
      <c r="AD410" t="str">
        <f t="shared" si="80"/>
        <v>314</v>
      </c>
      <c r="AE410">
        <f t="shared" si="81"/>
        <v>2</v>
      </c>
      <c r="AG410" s="50" t="str">
        <f t="shared" si="82"/>
        <v>1912 - LE MONTANT  DECPTE CHARGES REGIE SPG - VALAUR SA</v>
      </c>
      <c r="AH410" s="244" t="str">
        <f t="shared" si="83"/>
        <v>02902</v>
      </c>
      <c r="AI410" s="219"/>
      <c r="AJ410" s="219"/>
      <c r="AK410" s="219" t="str">
        <f t="shared" si="84"/>
        <v>3111</v>
      </c>
      <c r="AL410" s="244" t="str">
        <f t="shared" si="85"/>
        <v>00</v>
      </c>
      <c r="AN410" s="219" t="str">
        <f t="shared" si="86"/>
        <v>Machines, appareils PA | Bât 1912 / Le Montant / Vieux-Collège - Duillier 9 |</v>
      </c>
    </row>
    <row r="411" spans="1:40" ht="15" customHeight="1" x14ac:dyDescent="0.3">
      <c r="A411" s="48">
        <v>0</v>
      </c>
      <c r="B411" s="49" t="s">
        <v>634</v>
      </c>
      <c r="C411" s="50" t="s">
        <v>635</v>
      </c>
      <c r="D411" s="46" t="s">
        <v>1459</v>
      </c>
      <c r="E411" s="46" t="s">
        <v>619</v>
      </c>
      <c r="F411" s="46">
        <v>3506</v>
      </c>
      <c r="G411" s="46" t="s">
        <v>123</v>
      </c>
      <c r="H411" s="46"/>
      <c r="I411" s="51">
        <v>6687.9</v>
      </c>
      <c r="J411" s="51">
        <v>0</v>
      </c>
      <c r="K411" s="51">
        <f t="shared" si="87"/>
        <v>6687.9</v>
      </c>
      <c r="L411" s="51">
        <v>8000</v>
      </c>
      <c r="M411" s="51">
        <v>0</v>
      </c>
      <c r="N411" s="51">
        <f t="shared" si="88"/>
        <v>8000</v>
      </c>
      <c r="O411" s="51">
        <v>754.95</v>
      </c>
      <c r="P411" s="179" t="s">
        <v>1800</v>
      </c>
      <c r="Q411" s="179" t="s">
        <v>1678</v>
      </c>
      <c r="R411" s="179" t="s">
        <v>2131</v>
      </c>
      <c r="S411" s="55" t="s">
        <v>2257</v>
      </c>
      <c r="T411" s="54">
        <f>+I411</f>
        <v>6687.9</v>
      </c>
      <c r="U411" s="54"/>
      <c r="AA411">
        <f t="shared" si="79"/>
        <v>3506</v>
      </c>
      <c r="AD411" t="str">
        <f t="shared" si="80"/>
        <v>315</v>
      </c>
      <c r="AE411">
        <f t="shared" si="81"/>
        <v>0</v>
      </c>
      <c r="AG411" s="50" t="str">
        <f t="shared" si="82"/>
        <v>1912 - LE MONTANT  ENTRETIEN MOB et INST TECH COMMUNAL</v>
      </c>
      <c r="AH411" s="244" t="str">
        <f t="shared" si="83"/>
        <v>02902</v>
      </c>
      <c r="AI411" s="219"/>
      <c r="AJ411" s="219"/>
      <c r="AK411" s="219" t="str">
        <f t="shared" si="84"/>
        <v>3144</v>
      </c>
      <c r="AL411" s="244" t="str">
        <f t="shared" si="85"/>
        <v>00</v>
      </c>
      <c r="AN411" s="219" t="str">
        <f t="shared" si="86"/>
        <v>Entretien des bâtiments, immeubles  PA | Bât 1912 / Le Montant / Vieux-Collège - Duillier 9 |</v>
      </c>
    </row>
    <row r="412" spans="1:40" ht="15" customHeight="1" x14ac:dyDescent="0.3">
      <c r="A412" s="48">
        <v>0</v>
      </c>
      <c r="B412" s="49" t="s">
        <v>636</v>
      </c>
      <c r="C412" s="50" t="s">
        <v>637</v>
      </c>
      <c r="D412" s="46" t="s">
        <v>1459</v>
      </c>
      <c r="E412" s="46" t="s">
        <v>619</v>
      </c>
      <c r="F412" s="46">
        <v>3506</v>
      </c>
      <c r="G412" s="46" t="s">
        <v>123</v>
      </c>
      <c r="H412" s="46">
        <v>1</v>
      </c>
      <c r="I412" s="51">
        <v>124.65</v>
      </c>
      <c r="J412" s="51">
        <v>0</v>
      </c>
      <c r="K412" s="51">
        <f t="shared" si="87"/>
        <v>124.65</v>
      </c>
      <c r="L412" s="51">
        <v>130</v>
      </c>
      <c r="M412" s="51">
        <v>0</v>
      </c>
      <c r="N412" s="51">
        <f t="shared" si="88"/>
        <v>130</v>
      </c>
      <c r="O412" s="51">
        <v>124.65</v>
      </c>
      <c r="P412" s="179" t="s">
        <v>1800</v>
      </c>
      <c r="Q412" s="179" t="s">
        <v>1678</v>
      </c>
      <c r="R412" s="179" t="s">
        <v>2131</v>
      </c>
      <c r="S412" s="55" t="s">
        <v>2257</v>
      </c>
      <c r="T412" s="54">
        <f>+I412</f>
        <v>124.65</v>
      </c>
      <c r="U412" s="54"/>
      <c r="AA412">
        <f t="shared" si="79"/>
        <v>3506</v>
      </c>
      <c r="AD412" t="str">
        <f t="shared" si="80"/>
        <v>315</v>
      </c>
      <c r="AE412">
        <f t="shared" si="81"/>
        <v>1</v>
      </c>
      <c r="AG412" s="50" t="str">
        <f t="shared" si="82"/>
        <v>1912 - LE MONTANT  CONTRATS ENT MOB et INST TECH COMMUNAL</v>
      </c>
      <c r="AH412" s="244" t="str">
        <f t="shared" si="83"/>
        <v>02902</v>
      </c>
      <c r="AI412" s="219"/>
      <c r="AJ412" s="219"/>
      <c r="AK412" s="219" t="str">
        <f t="shared" si="84"/>
        <v>3144</v>
      </c>
      <c r="AL412" s="244" t="str">
        <f t="shared" si="85"/>
        <v>00</v>
      </c>
      <c r="AN412" s="219" t="str">
        <f t="shared" si="86"/>
        <v>Entretien des bâtiments, immeubles  PA | Bât 1912 / Le Montant / Vieux-Collège - Duillier 9 |</v>
      </c>
    </row>
    <row r="413" spans="1:40" ht="15" customHeight="1" x14ac:dyDescent="0.3">
      <c r="A413" s="48">
        <v>0</v>
      </c>
      <c r="B413" s="49" t="s">
        <v>638</v>
      </c>
      <c r="C413" s="50" t="s">
        <v>639</v>
      </c>
      <c r="D413" s="46" t="s">
        <v>1459</v>
      </c>
      <c r="E413" s="46" t="s">
        <v>619</v>
      </c>
      <c r="F413" s="46">
        <v>3506</v>
      </c>
      <c r="G413" s="46" t="s">
        <v>48</v>
      </c>
      <c r="H413" s="46"/>
      <c r="I413" s="51">
        <v>1965.4</v>
      </c>
      <c r="J413" s="51">
        <v>0</v>
      </c>
      <c r="K413" s="51">
        <f t="shared" si="87"/>
        <v>1965.4</v>
      </c>
      <c r="L413" s="51">
        <v>2000</v>
      </c>
      <c r="M413" s="51">
        <v>0</v>
      </c>
      <c r="N413" s="51">
        <f t="shared" si="88"/>
        <v>2000</v>
      </c>
      <c r="O413" s="51">
        <v>0</v>
      </c>
      <c r="P413" s="179" t="s">
        <v>1800</v>
      </c>
      <c r="Q413" s="179" t="s">
        <v>1418</v>
      </c>
      <c r="R413" s="179" t="s">
        <v>2131</v>
      </c>
      <c r="S413" s="55" t="s">
        <v>2260</v>
      </c>
      <c r="T413" s="54">
        <f>+I413</f>
        <v>1965.4</v>
      </c>
      <c r="U413" s="54"/>
      <c r="AA413">
        <f t="shared" si="79"/>
        <v>3506</v>
      </c>
      <c r="AD413" t="str">
        <f t="shared" si="80"/>
        <v>318</v>
      </c>
      <c r="AE413">
        <f t="shared" si="81"/>
        <v>0</v>
      </c>
      <c r="AG413" s="50" t="str">
        <f t="shared" si="82"/>
        <v>1912 - LE MONTANT  PREST SERVICES ASS et HONORAIRES COMMUNAL</v>
      </c>
      <c r="AH413" s="244" t="str">
        <f t="shared" si="83"/>
        <v>02902</v>
      </c>
      <c r="AI413" s="219"/>
      <c r="AJ413" s="219"/>
      <c r="AK413" s="219" t="str">
        <f t="shared" si="84"/>
        <v>3134</v>
      </c>
      <c r="AL413" s="244" t="str">
        <f t="shared" si="85"/>
        <v>00</v>
      </c>
      <c r="AN413" s="219" t="str">
        <f t="shared" si="86"/>
        <v>Frais Assurances PA | Bât 1912 / Le Montant / Vieux-Collège - Duillier 9 |</v>
      </c>
    </row>
    <row r="414" spans="1:40" ht="15" customHeight="1" x14ac:dyDescent="0.3">
      <c r="A414" s="48">
        <v>0</v>
      </c>
      <c r="B414" s="49" t="s">
        <v>640</v>
      </c>
      <c r="C414" s="50" t="s">
        <v>641</v>
      </c>
      <c r="D414" s="46" t="s">
        <v>1459</v>
      </c>
      <c r="E414" s="46" t="s">
        <v>619</v>
      </c>
      <c r="F414" s="46">
        <v>3506</v>
      </c>
      <c r="G414" s="46" t="s">
        <v>164</v>
      </c>
      <c r="H414" s="46"/>
      <c r="I414" s="51">
        <v>0</v>
      </c>
      <c r="J414" s="51">
        <v>0</v>
      </c>
      <c r="K414" s="51">
        <f t="shared" si="87"/>
        <v>0</v>
      </c>
      <c r="L414" s="51">
        <v>0</v>
      </c>
      <c r="M414" s="51">
        <v>0</v>
      </c>
      <c r="N414" s="51">
        <f t="shared" si="88"/>
        <v>0</v>
      </c>
      <c r="O414" s="51">
        <v>0</v>
      </c>
      <c r="P414" s="179" t="s">
        <v>1489</v>
      </c>
      <c r="Q414" s="179" t="s">
        <v>1489</v>
      </c>
      <c r="R414" s="179" t="s">
        <v>1489</v>
      </c>
      <c r="S414" s="47"/>
      <c r="T414" s="54"/>
      <c r="U414" s="54"/>
      <c r="AA414">
        <f t="shared" si="79"/>
        <v>3506</v>
      </c>
      <c r="AD414" t="str">
        <f t="shared" si="80"/>
        <v>331</v>
      </c>
      <c r="AE414">
        <f t="shared" si="81"/>
        <v>0</v>
      </c>
      <c r="AG414" s="50" t="str">
        <f t="shared" si="82"/>
        <v>Amortissement Montant</v>
      </c>
      <c r="AH414" s="244" t="str">
        <f t="shared" si="83"/>
        <v>-</v>
      </c>
      <c r="AI414" s="219"/>
      <c r="AJ414" s="219"/>
      <c r="AK414" s="219" t="str">
        <f t="shared" si="84"/>
        <v>-</v>
      </c>
      <c r="AL414" s="244" t="str">
        <f t="shared" si="85"/>
        <v>-</v>
      </c>
      <c r="AN414" s="219">
        <f t="shared" si="86"/>
        <v>0</v>
      </c>
    </row>
    <row r="415" spans="1:40" ht="15" customHeight="1" x14ac:dyDescent="0.3">
      <c r="A415" s="48">
        <v>0</v>
      </c>
      <c r="B415" s="49" t="s">
        <v>642</v>
      </c>
      <c r="C415" s="50" t="s">
        <v>643</v>
      </c>
      <c r="D415" s="46" t="s">
        <v>1459</v>
      </c>
      <c r="E415" s="46" t="s">
        <v>619</v>
      </c>
      <c r="F415" s="46">
        <v>3506</v>
      </c>
      <c r="G415" s="46" t="s">
        <v>6</v>
      </c>
      <c r="H415" s="46"/>
      <c r="I415" s="51">
        <v>0</v>
      </c>
      <c r="J415" s="51">
        <v>0</v>
      </c>
      <c r="K415" s="51">
        <f t="shared" si="87"/>
        <v>0</v>
      </c>
      <c r="L415" s="51">
        <v>0</v>
      </c>
      <c r="M415" s="51">
        <v>0</v>
      </c>
      <c r="N415" s="51">
        <f t="shared" si="88"/>
        <v>0</v>
      </c>
      <c r="O415" s="51">
        <v>0</v>
      </c>
      <c r="P415" s="179" t="s">
        <v>1489</v>
      </c>
      <c r="Q415" s="179" t="s">
        <v>1489</v>
      </c>
      <c r="R415" s="179" t="s">
        <v>1489</v>
      </c>
      <c r="S415" s="47"/>
      <c r="T415" s="54"/>
      <c r="U415" s="54"/>
      <c r="AA415">
        <f t="shared" si="79"/>
        <v>3506</v>
      </c>
      <c r="AD415" t="str">
        <f t="shared" si="80"/>
        <v>380</v>
      </c>
      <c r="AE415">
        <f t="shared" si="81"/>
        <v>0</v>
      </c>
      <c r="AG415" s="50" t="str">
        <f t="shared" si="82"/>
        <v>1912 - LE MONTANT  ATTRIB FONDS RENOVATION (9281.16)</v>
      </c>
      <c r="AH415" s="244" t="str">
        <f t="shared" si="83"/>
        <v>-</v>
      </c>
      <c r="AI415" s="219"/>
      <c r="AJ415" s="219"/>
      <c r="AK415" s="219" t="str">
        <f t="shared" si="84"/>
        <v>-</v>
      </c>
      <c r="AL415" s="244" t="str">
        <f t="shared" si="85"/>
        <v>-</v>
      </c>
      <c r="AN415" s="219">
        <f t="shared" si="86"/>
        <v>0</v>
      </c>
    </row>
    <row r="416" spans="1:40" ht="15" customHeight="1" x14ac:dyDescent="0.3">
      <c r="A416" s="48">
        <v>0</v>
      </c>
      <c r="B416" s="49" t="s">
        <v>644</v>
      </c>
      <c r="C416" s="50" t="s">
        <v>645</v>
      </c>
      <c r="D416" s="46" t="s">
        <v>1459</v>
      </c>
      <c r="E416" s="46" t="s">
        <v>619</v>
      </c>
      <c r="F416" s="46">
        <v>3506</v>
      </c>
      <c r="G416" s="46" t="s">
        <v>28</v>
      </c>
      <c r="H416" s="46">
        <v>1</v>
      </c>
      <c r="I416" s="51">
        <v>0</v>
      </c>
      <c r="J416" s="51">
        <v>0</v>
      </c>
      <c r="K416" s="51">
        <f t="shared" si="87"/>
        <v>0</v>
      </c>
      <c r="L416" s="51">
        <v>0</v>
      </c>
      <c r="M416" s="51">
        <v>0</v>
      </c>
      <c r="N416" s="51">
        <f t="shared" si="88"/>
        <v>0</v>
      </c>
      <c r="O416" s="51">
        <v>0</v>
      </c>
      <c r="P416" s="179" t="s">
        <v>1489</v>
      </c>
      <c r="Q416" s="179" t="s">
        <v>1489</v>
      </c>
      <c r="R416" s="179" t="s">
        <v>1489</v>
      </c>
      <c r="S416" s="47"/>
      <c r="T416" s="54"/>
      <c r="U416" s="54"/>
      <c r="AA416">
        <f t="shared" si="79"/>
        <v>3506</v>
      </c>
      <c r="AD416" t="str">
        <f t="shared" si="80"/>
        <v>390</v>
      </c>
      <c r="AE416">
        <f t="shared" si="81"/>
        <v>1</v>
      </c>
      <c r="AG416" s="50" t="str">
        <f t="shared" si="82"/>
        <v>1912 - LE MONTANT  IMPUTATIONS INT SALAIRES</v>
      </c>
      <c r="AH416" s="244" t="str">
        <f t="shared" si="83"/>
        <v>-</v>
      </c>
      <c r="AI416" s="219"/>
      <c r="AJ416" s="219"/>
      <c r="AK416" s="219" t="str">
        <f t="shared" si="84"/>
        <v>-</v>
      </c>
      <c r="AL416" s="244" t="str">
        <f t="shared" si="85"/>
        <v>-</v>
      </c>
      <c r="AN416" s="219">
        <f t="shared" si="86"/>
        <v>0</v>
      </c>
    </row>
    <row r="417" spans="1:40" ht="15" customHeight="1" x14ac:dyDescent="0.3">
      <c r="A417" s="48">
        <v>0</v>
      </c>
      <c r="B417" s="49" t="s">
        <v>646</v>
      </c>
      <c r="C417" s="50" t="s">
        <v>647</v>
      </c>
      <c r="D417" s="46" t="s">
        <v>1459</v>
      </c>
      <c r="E417" s="46" t="s">
        <v>619</v>
      </c>
      <c r="F417" s="46">
        <v>3506</v>
      </c>
      <c r="G417" s="46" t="s">
        <v>335</v>
      </c>
      <c r="H417" s="46"/>
      <c r="I417" s="51">
        <v>0</v>
      </c>
      <c r="J417" s="51">
        <v>-78711</v>
      </c>
      <c r="K417" s="51">
        <f t="shared" si="87"/>
        <v>-78711</v>
      </c>
      <c r="L417" s="51">
        <v>0</v>
      </c>
      <c r="M417" s="51">
        <v>-78000</v>
      </c>
      <c r="N417" s="51">
        <f t="shared" si="88"/>
        <v>-78000</v>
      </c>
      <c r="O417" s="51">
        <v>-22806</v>
      </c>
      <c r="P417" s="179" t="s">
        <v>1800</v>
      </c>
      <c r="Q417" s="179">
        <v>4612</v>
      </c>
      <c r="R417" s="179" t="s">
        <v>2131</v>
      </c>
      <c r="S417" s="131" t="s">
        <v>2261</v>
      </c>
      <c r="T417" s="54">
        <f>+J417</f>
        <v>-78711</v>
      </c>
      <c r="U417" s="212">
        <v>-80274.399999999994</v>
      </c>
      <c r="W417" t="s">
        <v>2086</v>
      </c>
      <c r="AA417">
        <f t="shared" si="79"/>
        <v>3506</v>
      </c>
      <c r="AD417" t="str">
        <f t="shared" si="80"/>
        <v>427</v>
      </c>
      <c r="AE417">
        <f t="shared" si="81"/>
        <v>0</v>
      </c>
      <c r="AG417" s="50" t="str">
        <f t="shared" si="82"/>
        <v>1912 - LE MONTANT  LOYER CLASSES et BUREAU</v>
      </c>
      <c r="AH417" s="244" t="str">
        <f t="shared" si="83"/>
        <v>02902</v>
      </c>
      <c r="AI417" s="219"/>
      <c r="AJ417" s="219"/>
      <c r="AK417" s="219">
        <f t="shared" si="84"/>
        <v>4612</v>
      </c>
      <c r="AL417" s="244" t="str">
        <f t="shared" si="85"/>
        <v>00</v>
      </c>
      <c r="AN417" s="219" t="str">
        <f t="shared" si="86"/>
        <v>AISGE - Loyers PA  | Bât 1912 / Le Montant / Vieux-Collège - Duillier 9 | - Ecole, Bureaux, Centre Jeunes</v>
      </c>
    </row>
    <row r="418" spans="1:40" ht="15" customHeight="1" x14ac:dyDescent="0.3">
      <c r="A418" s="48">
        <v>0</v>
      </c>
      <c r="B418" s="49" t="s">
        <v>648</v>
      </c>
      <c r="C418" s="50" t="s">
        <v>649</v>
      </c>
      <c r="D418" s="46" t="s">
        <v>1459</v>
      </c>
      <c r="E418" s="46" t="s">
        <v>619</v>
      </c>
      <c r="F418" s="46">
        <v>3506</v>
      </c>
      <c r="G418" s="46" t="s">
        <v>335</v>
      </c>
      <c r="H418" s="46">
        <v>2</v>
      </c>
      <c r="I418" s="51">
        <v>0</v>
      </c>
      <c r="J418" s="51">
        <v>-24920.25</v>
      </c>
      <c r="K418" s="51">
        <f t="shared" si="87"/>
        <v>-24920.25</v>
      </c>
      <c r="L418" s="51">
        <v>0</v>
      </c>
      <c r="M418" s="51">
        <v>-10000</v>
      </c>
      <c r="N418" s="51">
        <f t="shared" si="88"/>
        <v>-10000</v>
      </c>
      <c r="O418" s="51">
        <v>0</v>
      </c>
      <c r="P418" s="179" t="s">
        <v>1800</v>
      </c>
      <c r="Q418" s="179" t="s">
        <v>1842</v>
      </c>
      <c r="R418" s="179" t="s">
        <v>2131</v>
      </c>
      <c r="S418" s="55" t="s">
        <v>2262</v>
      </c>
      <c r="T418" s="54">
        <f>+J418</f>
        <v>-24920.25</v>
      </c>
      <c r="U418" s="54"/>
      <c r="AA418">
        <f t="shared" si="79"/>
        <v>3506</v>
      </c>
      <c r="AD418" t="str">
        <f t="shared" si="80"/>
        <v>427</v>
      </c>
      <c r="AE418">
        <f t="shared" si="81"/>
        <v>2</v>
      </c>
      <c r="AG418" s="50" t="str">
        <f t="shared" si="82"/>
        <v>1912 - LE MONTANT  DECPTE LOYERS REGIE SPG - VALAUR SA</v>
      </c>
      <c r="AH418" s="244" t="str">
        <f t="shared" si="83"/>
        <v>02902</v>
      </c>
      <c r="AI418" s="219"/>
      <c r="AJ418" s="219"/>
      <c r="AK418" s="219" t="str">
        <f t="shared" si="84"/>
        <v>4470</v>
      </c>
      <c r="AL418" s="244" t="str">
        <f t="shared" si="85"/>
        <v>00</v>
      </c>
      <c r="AN418" s="219" t="str">
        <f t="shared" si="86"/>
        <v>Loyers et fermages des biens-fonds PA | Bât 1912 / Le Montant / Vieux-Collège - Duillier 9 |</v>
      </c>
    </row>
    <row r="419" spans="1:40" ht="15" customHeight="1" x14ac:dyDescent="0.3">
      <c r="A419" s="48">
        <v>0</v>
      </c>
      <c r="B419" s="49" t="s">
        <v>650</v>
      </c>
      <c r="C419" s="50" t="s">
        <v>651</v>
      </c>
      <c r="D419" s="46" t="s">
        <v>1459</v>
      </c>
      <c r="E419" s="46" t="s">
        <v>619</v>
      </c>
      <c r="F419" s="46">
        <v>3506</v>
      </c>
      <c r="G419" s="46" t="s">
        <v>61</v>
      </c>
      <c r="H419" s="46"/>
      <c r="I419" s="51">
        <v>0</v>
      </c>
      <c r="J419" s="51">
        <v>-349</v>
      </c>
      <c r="K419" s="51">
        <f t="shared" si="87"/>
        <v>-349</v>
      </c>
      <c r="L419" s="51">
        <v>0</v>
      </c>
      <c r="M419" s="51">
        <v>0</v>
      </c>
      <c r="N419" s="51">
        <f t="shared" si="88"/>
        <v>0</v>
      </c>
      <c r="O419" s="51">
        <v>0</v>
      </c>
      <c r="P419" s="179" t="s">
        <v>1800</v>
      </c>
      <c r="Q419" s="179" t="s">
        <v>1856</v>
      </c>
      <c r="R419" s="179" t="s">
        <v>2131</v>
      </c>
      <c r="S419" s="47" t="s">
        <v>2263</v>
      </c>
      <c r="T419" s="54">
        <f>+J419</f>
        <v>-349</v>
      </c>
      <c r="U419" s="54"/>
      <c r="W419" t="s">
        <v>1852</v>
      </c>
      <c r="AA419">
        <f t="shared" si="79"/>
        <v>3506</v>
      </c>
      <c r="AD419" t="str">
        <f t="shared" si="80"/>
        <v>436</v>
      </c>
      <c r="AE419">
        <f t="shared" si="81"/>
        <v>0</v>
      </c>
      <c r="AG419" s="50" t="str">
        <f t="shared" si="82"/>
        <v>1912 - LE MONTANT  PART DE TIERS</v>
      </c>
      <c r="AH419" s="244" t="str">
        <f t="shared" si="83"/>
        <v>02902</v>
      </c>
      <c r="AI419" s="219"/>
      <c r="AJ419" s="219"/>
      <c r="AK419" s="219" t="str">
        <f t="shared" si="84"/>
        <v>4472</v>
      </c>
      <c r="AL419" s="244" t="str">
        <f t="shared" si="85"/>
        <v>00</v>
      </c>
      <c r="AN419" s="219" t="str">
        <f t="shared" si="86"/>
        <v>Paiement pour utilisation des immeubles - PA | Bât 1912 / Le Montant / Vieux-Collège - Duillier 9 |</v>
      </c>
    </row>
    <row r="420" spans="1:40" ht="15" customHeight="1" x14ac:dyDescent="0.3">
      <c r="A420" s="48">
        <v>0</v>
      </c>
      <c r="B420" s="49" t="s">
        <v>652</v>
      </c>
      <c r="C420" s="50" t="s">
        <v>653</v>
      </c>
      <c r="D420" s="46" t="s">
        <v>1459</v>
      </c>
      <c r="E420" s="46" t="s">
        <v>619</v>
      </c>
      <c r="F420" s="46">
        <v>3506</v>
      </c>
      <c r="G420" s="46" t="s">
        <v>64</v>
      </c>
      <c r="H420" s="46"/>
      <c r="I420" s="51">
        <v>0</v>
      </c>
      <c r="J420" s="51">
        <v>0</v>
      </c>
      <c r="K420" s="51">
        <f t="shared" si="87"/>
        <v>0</v>
      </c>
      <c r="L420" s="51">
        <v>0</v>
      </c>
      <c r="M420" s="51">
        <v>0</v>
      </c>
      <c r="N420" s="51">
        <f t="shared" si="88"/>
        <v>0</v>
      </c>
      <c r="O420" s="51">
        <v>0</v>
      </c>
      <c r="P420" s="179" t="s">
        <v>1489</v>
      </c>
      <c r="Q420" s="179" t="s">
        <v>1489</v>
      </c>
      <c r="R420" s="179" t="s">
        <v>1489</v>
      </c>
      <c r="S420" s="47"/>
      <c r="T420" s="54"/>
      <c r="U420" s="54"/>
      <c r="AA420">
        <f t="shared" si="79"/>
        <v>3506</v>
      </c>
      <c r="AD420" t="str">
        <f t="shared" si="80"/>
        <v>480</v>
      </c>
      <c r="AE420">
        <f t="shared" si="81"/>
        <v>0</v>
      </c>
      <c r="AG420" s="50" t="str">
        <f t="shared" si="82"/>
        <v>Prél. s/fonds de réserve Le Montant (9282.1)</v>
      </c>
      <c r="AH420" s="244" t="str">
        <f t="shared" si="83"/>
        <v>-</v>
      </c>
      <c r="AI420" s="219"/>
      <c r="AJ420" s="219"/>
      <c r="AK420" s="219" t="str">
        <f t="shared" si="84"/>
        <v>-</v>
      </c>
      <c r="AL420" s="244" t="str">
        <f t="shared" si="85"/>
        <v>-</v>
      </c>
      <c r="AN420" s="219">
        <f t="shared" si="86"/>
        <v>0</v>
      </c>
    </row>
    <row r="421" spans="1:40" ht="15" customHeight="1" x14ac:dyDescent="0.3">
      <c r="A421" s="48">
        <v>0</v>
      </c>
      <c r="B421" s="49" t="s">
        <v>654</v>
      </c>
      <c r="C421" s="50" t="s">
        <v>655</v>
      </c>
      <c r="D421" s="46" t="s">
        <v>1459</v>
      </c>
      <c r="E421" s="46" t="s">
        <v>619</v>
      </c>
      <c r="F421" s="46">
        <v>3506</v>
      </c>
      <c r="G421" s="46" t="s">
        <v>67</v>
      </c>
      <c r="H421" s="46"/>
      <c r="I421" s="51">
        <v>0</v>
      </c>
      <c r="J421" s="51">
        <v>0</v>
      </c>
      <c r="K421" s="51">
        <f t="shared" si="87"/>
        <v>0</v>
      </c>
      <c r="L421" s="51">
        <v>0</v>
      </c>
      <c r="M421" s="51">
        <v>0</v>
      </c>
      <c r="N421" s="51">
        <f t="shared" si="88"/>
        <v>0</v>
      </c>
      <c r="O421" s="51">
        <v>0</v>
      </c>
      <c r="P421" s="179" t="s">
        <v>1489</v>
      </c>
      <c r="Q421" s="179" t="s">
        <v>1489</v>
      </c>
      <c r="R421" s="179" t="s">
        <v>1489</v>
      </c>
      <c r="S421" s="47"/>
      <c r="T421" s="54"/>
      <c r="U421" s="54"/>
      <c r="AA421">
        <f t="shared" si="79"/>
        <v>3506</v>
      </c>
      <c r="AD421" t="str">
        <f t="shared" si="80"/>
        <v>490</v>
      </c>
      <c r="AE421">
        <f t="shared" si="81"/>
        <v>0</v>
      </c>
      <c r="AG421" s="50" t="str">
        <f t="shared" si="82"/>
        <v>1912 - LE MONTANT  IMPUTATIONS INTERNES</v>
      </c>
      <c r="AH421" s="244" t="str">
        <f t="shared" si="83"/>
        <v>-</v>
      </c>
      <c r="AI421" s="219"/>
      <c r="AJ421" s="219"/>
      <c r="AK421" s="219" t="str">
        <f t="shared" si="84"/>
        <v>-</v>
      </c>
      <c r="AL421" s="244" t="str">
        <f t="shared" si="85"/>
        <v>-</v>
      </c>
      <c r="AN421" s="219">
        <f t="shared" si="86"/>
        <v>0</v>
      </c>
    </row>
    <row r="422" spans="1:40" ht="15" customHeight="1" x14ac:dyDescent="0.3">
      <c r="A422" s="48">
        <v>0</v>
      </c>
      <c r="B422" s="49" t="s">
        <v>657</v>
      </c>
      <c r="C422" s="50" t="s">
        <v>658</v>
      </c>
      <c r="D422" s="46" t="s">
        <v>1459</v>
      </c>
      <c r="E422" s="46" t="s">
        <v>656</v>
      </c>
      <c r="F422" s="46">
        <v>3507</v>
      </c>
      <c r="G422" s="46" t="s">
        <v>25</v>
      </c>
      <c r="H422" s="46"/>
      <c r="I422" s="51">
        <v>0</v>
      </c>
      <c r="J422" s="51">
        <v>0</v>
      </c>
      <c r="K422" s="51">
        <f t="shared" si="87"/>
        <v>0</v>
      </c>
      <c r="L422" s="51">
        <v>0</v>
      </c>
      <c r="M422" s="51">
        <v>0</v>
      </c>
      <c r="N422" s="51">
        <f t="shared" si="88"/>
        <v>0</v>
      </c>
      <c r="O422" s="51">
        <v>0</v>
      </c>
      <c r="P422" s="179" t="s">
        <v>1489</v>
      </c>
      <c r="Q422" s="179" t="s">
        <v>1489</v>
      </c>
      <c r="R422" s="179" t="s">
        <v>1489</v>
      </c>
      <c r="S422" s="47"/>
      <c r="T422" s="54"/>
      <c r="U422" s="54"/>
      <c r="AA422">
        <f t="shared" si="79"/>
        <v>3507</v>
      </c>
      <c r="AD422" t="str">
        <f t="shared" si="80"/>
        <v>311</v>
      </c>
      <c r="AE422">
        <f t="shared" si="81"/>
        <v>0</v>
      </c>
      <c r="AG422" s="50" t="str">
        <f t="shared" si="82"/>
        <v>BOUCHERIE  ACHATS MOBILIER MACH. MATERIEL COMMUNAL</v>
      </c>
      <c r="AH422" s="244" t="str">
        <f t="shared" si="83"/>
        <v>-</v>
      </c>
      <c r="AI422" s="219"/>
      <c r="AJ422" s="219"/>
      <c r="AK422" s="219" t="str">
        <f t="shared" si="84"/>
        <v>-</v>
      </c>
      <c r="AL422" s="244" t="str">
        <f t="shared" si="85"/>
        <v>-</v>
      </c>
      <c r="AN422" s="219">
        <f t="shared" si="86"/>
        <v>0</v>
      </c>
    </row>
    <row r="423" spans="1:40" ht="15" customHeight="1" x14ac:dyDescent="0.3">
      <c r="A423" s="48">
        <v>0</v>
      </c>
      <c r="B423" s="49" t="s">
        <v>659</v>
      </c>
      <c r="C423" s="50" t="s">
        <v>660</v>
      </c>
      <c r="D423" s="46" t="s">
        <v>1459</v>
      </c>
      <c r="E423" s="46" t="s">
        <v>656</v>
      </c>
      <c r="F423" s="46">
        <v>3507</v>
      </c>
      <c r="G423" s="46" t="s">
        <v>159</v>
      </c>
      <c r="H423" s="46"/>
      <c r="I423" s="51">
        <v>0</v>
      </c>
      <c r="J423" s="51">
        <v>0</v>
      </c>
      <c r="K423" s="51">
        <f t="shared" si="87"/>
        <v>0</v>
      </c>
      <c r="L423" s="51">
        <v>0</v>
      </c>
      <c r="M423" s="51">
        <v>0</v>
      </c>
      <c r="N423" s="51">
        <f t="shared" si="88"/>
        <v>0</v>
      </c>
      <c r="O423" s="51">
        <v>0</v>
      </c>
      <c r="P423" s="179" t="s">
        <v>1489</v>
      </c>
      <c r="Q423" s="179" t="s">
        <v>1489</v>
      </c>
      <c r="R423" s="179" t="s">
        <v>1489</v>
      </c>
      <c r="S423" s="47"/>
      <c r="T423" s="54"/>
      <c r="U423" s="54"/>
      <c r="AA423">
        <f t="shared" si="79"/>
        <v>3507</v>
      </c>
      <c r="AD423" t="str">
        <f t="shared" si="80"/>
        <v>312</v>
      </c>
      <c r="AE423">
        <f t="shared" si="81"/>
        <v>0</v>
      </c>
      <c r="AG423" s="50" t="str">
        <f t="shared" si="82"/>
        <v>BOUCHERIE  ACHATS ELECTRICITE (INACTIF)</v>
      </c>
      <c r="AH423" s="244" t="str">
        <f t="shared" si="83"/>
        <v>-</v>
      </c>
      <c r="AI423" s="219"/>
      <c r="AJ423" s="219"/>
      <c r="AK423" s="219" t="str">
        <f t="shared" si="84"/>
        <v>-</v>
      </c>
      <c r="AL423" s="244" t="str">
        <f t="shared" si="85"/>
        <v>-</v>
      </c>
      <c r="AN423" s="219">
        <f t="shared" si="86"/>
        <v>0</v>
      </c>
    </row>
    <row r="424" spans="1:40" ht="15" customHeight="1" x14ac:dyDescent="0.3">
      <c r="A424" s="48">
        <v>0</v>
      </c>
      <c r="B424" s="49" t="s">
        <v>661</v>
      </c>
      <c r="C424" s="50" t="s">
        <v>662</v>
      </c>
      <c r="D424" s="46" t="s">
        <v>1459</v>
      </c>
      <c r="E424" s="46" t="s">
        <v>656</v>
      </c>
      <c r="F424" s="46">
        <v>3507</v>
      </c>
      <c r="G424" s="46" t="s">
        <v>159</v>
      </c>
      <c r="H424" s="46">
        <v>1</v>
      </c>
      <c r="I424" s="51">
        <v>0</v>
      </c>
      <c r="J424" s="51">
        <v>0</v>
      </c>
      <c r="K424" s="51">
        <f t="shared" si="87"/>
        <v>0</v>
      </c>
      <c r="L424" s="51">
        <v>0</v>
      </c>
      <c r="M424" s="51">
        <v>0</v>
      </c>
      <c r="N424" s="51">
        <f t="shared" si="88"/>
        <v>0</v>
      </c>
      <c r="O424" s="51">
        <v>0</v>
      </c>
      <c r="P424" s="179" t="s">
        <v>1489</v>
      </c>
      <c r="Q424" s="179" t="s">
        <v>1489</v>
      </c>
      <c r="R424" s="179" t="s">
        <v>1489</v>
      </c>
      <c r="S424" s="47"/>
      <c r="T424" s="54"/>
      <c r="U424" s="54"/>
      <c r="AA424">
        <f t="shared" si="79"/>
        <v>3507</v>
      </c>
      <c r="AD424" t="str">
        <f t="shared" si="80"/>
        <v>312</v>
      </c>
      <c r="AE424">
        <f t="shared" si="81"/>
        <v>1</v>
      </c>
      <c r="AG424" s="50" t="str">
        <f t="shared" si="82"/>
        <v>BOUCHERIE  ACHATS COMBUSTIBLE CAD (INACTIF)</v>
      </c>
      <c r="AH424" s="244" t="str">
        <f t="shared" si="83"/>
        <v>-</v>
      </c>
      <c r="AI424" s="219"/>
      <c r="AJ424" s="219"/>
      <c r="AK424" s="219" t="str">
        <f t="shared" si="84"/>
        <v>-</v>
      </c>
      <c r="AL424" s="244" t="str">
        <f t="shared" si="85"/>
        <v>-</v>
      </c>
      <c r="AN424" s="219">
        <f t="shared" si="86"/>
        <v>0</v>
      </c>
    </row>
    <row r="425" spans="1:40" ht="15" customHeight="1" x14ac:dyDescent="0.3">
      <c r="A425" s="48">
        <v>0</v>
      </c>
      <c r="B425" s="49" t="s">
        <v>663</v>
      </c>
      <c r="C425" s="50" t="s">
        <v>664</v>
      </c>
      <c r="D425" s="46" t="s">
        <v>1459</v>
      </c>
      <c r="E425" s="46" t="s">
        <v>656</v>
      </c>
      <c r="F425" s="46">
        <v>3507</v>
      </c>
      <c r="G425" s="46" t="s">
        <v>439</v>
      </c>
      <c r="H425" s="46"/>
      <c r="I425" s="51">
        <v>0</v>
      </c>
      <c r="J425" s="51">
        <v>0</v>
      </c>
      <c r="K425" s="51">
        <f t="shared" ref="K425:K456" si="89">+I425+J425</f>
        <v>0</v>
      </c>
      <c r="L425" s="51">
        <v>0</v>
      </c>
      <c r="M425" s="51">
        <v>0</v>
      </c>
      <c r="N425" s="51">
        <f t="shared" si="88"/>
        <v>0</v>
      </c>
      <c r="O425" s="51">
        <v>0</v>
      </c>
      <c r="P425" s="179" t="s">
        <v>1489</v>
      </c>
      <c r="Q425" s="179" t="s">
        <v>1489</v>
      </c>
      <c r="R425" s="179" t="s">
        <v>1489</v>
      </c>
      <c r="S425" s="47"/>
      <c r="T425" s="54"/>
      <c r="U425" s="54"/>
      <c r="AA425">
        <f t="shared" si="79"/>
        <v>3507</v>
      </c>
      <c r="AD425" t="str">
        <f t="shared" si="80"/>
        <v>313</v>
      </c>
      <c r="AE425">
        <f t="shared" si="81"/>
        <v>0</v>
      </c>
      <c r="AG425" s="50" t="str">
        <f t="shared" si="82"/>
        <v>BOUCHERIE  ACHATS MARCHANDISES (INACTIF)</v>
      </c>
      <c r="AH425" s="244" t="str">
        <f t="shared" si="83"/>
        <v>-</v>
      </c>
      <c r="AI425" s="219"/>
      <c r="AJ425" s="219"/>
      <c r="AK425" s="219" t="str">
        <f t="shared" si="84"/>
        <v>-</v>
      </c>
      <c r="AL425" s="244" t="str">
        <f t="shared" si="85"/>
        <v>-</v>
      </c>
      <c r="AN425" s="219">
        <f t="shared" si="86"/>
        <v>0</v>
      </c>
    </row>
    <row r="426" spans="1:40" ht="15" customHeight="1" x14ac:dyDescent="0.3">
      <c r="A426" s="48">
        <v>0</v>
      </c>
      <c r="B426" s="49" t="s">
        <v>665</v>
      </c>
      <c r="C426" s="50" t="s">
        <v>666</v>
      </c>
      <c r="D426" s="46" t="s">
        <v>1459</v>
      </c>
      <c r="E426" s="46" t="s">
        <v>656</v>
      </c>
      <c r="F426" s="46">
        <v>3507</v>
      </c>
      <c r="G426" s="46" t="s">
        <v>131</v>
      </c>
      <c r="H426" s="46"/>
      <c r="I426" s="51">
        <v>7482</v>
      </c>
      <c r="J426" s="51">
        <v>0</v>
      </c>
      <c r="K426" s="51">
        <f t="shared" si="89"/>
        <v>7482</v>
      </c>
      <c r="L426" s="51">
        <v>1000</v>
      </c>
      <c r="M426" s="51">
        <v>0</v>
      </c>
      <c r="N426" s="51">
        <f t="shared" si="88"/>
        <v>1000</v>
      </c>
      <c r="O426" s="51">
        <v>0</v>
      </c>
      <c r="P426" s="179" t="s">
        <v>1803</v>
      </c>
      <c r="Q426" s="179" t="s">
        <v>1812</v>
      </c>
      <c r="R426" s="179" t="s">
        <v>2131</v>
      </c>
      <c r="S426" s="57" t="s">
        <v>2214</v>
      </c>
      <c r="T426" s="54">
        <f>+I426</f>
        <v>7482</v>
      </c>
      <c r="U426" s="54"/>
      <c r="AA426">
        <f t="shared" si="79"/>
        <v>3507</v>
      </c>
      <c r="AD426" t="str">
        <f t="shared" si="80"/>
        <v>314</v>
      </c>
      <c r="AE426">
        <f t="shared" si="81"/>
        <v>0</v>
      </c>
      <c r="AG426" s="50" t="str">
        <f t="shared" si="82"/>
        <v>BOUCHERIE  ENTRETIEN BÂTIMENT COMMUNAL</v>
      </c>
      <c r="AH426" s="244" t="str">
        <f t="shared" si="83"/>
        <v>96305</v>
      </c>
      <c r="AI426" s="219"/>
      <c r="AJ426" s="219"/>
      <c r="AK426" s="219" t="str">
        <f t="shared" si="84"/>
        <v>3431</v>
      </c>
      <c r="AL426" s="244" t="str">
        <f t="shared" si="85"/>
        <v>00</v>
      </c>
      <c r="AN426" s="219" t="str">
        <f t="shared" si="86"/>
        <v>Entretien courant, biens-fonds PF | Bât Boucherie / Village 9 |</v>
      </c>
    </row>
    <row r="427" spans="1:40" ht="15" customHeight="1" x14ac:dyDescent="0.3">
      <c r="A427" s="48">
        <v>0</v>
      </c>
      <c r="B427" s="49" t="s">
        <v>667</v>
      </c>
      <c r="C427" s="50" t="s">
        <v>668</v>
      </c>
      <c r="D427" s="46" t="s">
        <v>1459</v>
      </c>
      <c r="E427" s="46" t="s">
        <v>656</v>
      </c>
      <c r="F427" s="46">
        <v>3507</v>
      </c>
      <c r="G427" s="46" t="s">
        <v>131</v>
      </c>
      <c r="H427" s="46">
        <v>1</v>
      </c>
      <c r="I427" s="51">
        <v>0</v>
      </c>
      <c r="J427" s="51">
        <v>0</v>
      </c>
      <c r="K427" s="51">
        <f t="shared" si="89"/>
        <v>0</v>
      </c>
      <c r="L427" s="51">
        <v>0</v>
      </c>
      <c r="M427" s="51">
        <v>0</v>
      </c>
      <c r="N427" s="51">
        <f t="shared" si="88"/>
        <v>0</v>
      </c>
      <c r="O427" s="51">
        <v>0</v>
      </c>
      <c r="P427" s="179" t="s">
        <v>1489</v>
      </c>
      <c r="Q427" s="179" t="s">
        <v>1489</v>
      </c>
      <c r="R427" s="179" t="s">
        <v>1489</v>
      </c>
      <c r="S427" s="47"/>
      <c r="T427" s="54"/>
      <c r="U427" s="54"/>
      <c r="AA427">
        <f t="shared" si="79"/>
        <v>3507</v>
      </c>
      <c r="AD427" t="str">
        <f t="shared" si="80"/>
        <v>314</v>
      </c>
      <c r="AE427">
        <f t="shared" si="81"/>
        <v>1</v>
      </c>
      <c r="AG427" s="50" t="str">
        <f t="shared" si="82"/>
        <v>BOUCHERIE  CONTRATS ENTRETIEN BÂT</v>
      </c>
      <c r="AH427" s="244" t="str">
        <f t="shared" si="83"/>
        <v>-</v>
      </c>
      <c r="AI427" s="219"/>
      <c r="AJ427" s="219"/>
      <c r="AK427" s="219" t="str">
        <f t="shared" si="84"/>
        <v>-</v>
      </c>
      <c r="AL427" s="244" t="str">
        <f t="shared" si="85"/>
        <v>-</v>
      </c>
      <c r="AN427" s="219">
        <f t="shared" si="86"/>
        <v>0</v>
      </c>
    </row>
    <row r="428" spans="1:40" ht="15" customHeight="1" x14ac:dyDescent="0.3">
      <c r="A428" s="48">
        <v>0</v>
      </c>
      <c r="B428" s="74" t="s">
        <v>669</v>
      </c>
      <c r="C428" s="67" t="s">
        <v>670</v>
      </c>
      <c r="D428" s="188" t="s">
        <v>1459</v>
      </c>
      <c r="E428" s="188" t="s">
        <v>656</v>
      </c>
      <c r="F428" s="46">
        <v>3507</v>
      </c>
      <c r="G428" s="188" t="s">
        <v>131</v>
      </c>
      <c r="H428" s="188">
        <v>2</v>
      </c>
      <c r="I428" s="51">
        <v>307.60000000000002</v>
      </c>
      <c r="J428" s="51">
        <v>0</v>
      </c>
      <c r="K428" s="51">
        <f t="shared" si="89"/>
        <v>307.60000000000002</v>
      </c>
      <c r="L428" s="51">
        <v>2000</v>
      </c>
      <c r="M428" s="51">
        <v>0</v>
      </c>
      <c r="N428" s="51">
        <f t="shared" si="88"/>
        <v>2000</v>
      </c>
      <c r="O428" s="51">
        <v>0</v>
      </c>
      <c r="P428" s="179" t="s">
        <v>1803</v>
      </c>
      <c r="Q428" s="179" t="s">
        <v>1812</v>
      </c>
      <c r="R428" s="179" t="s">
        <v>2131</v>
      </c>
      <c r="S428" s="57" t="s">
        <v>2214</v>
      </c>
      <c r="T428" s="54">
        <f>+I428</f>
        <v>307.60000000000002</v>
      </c>
      <c r="U428" s="54"/>
      <c r="AA428">
        <f t="shared" si="79"/>
        <v>3507</v>
      </c>
      <c r="AD428" t="str">
        <f t="shared" si="80"/>
        <v>314</v>
      </c>
      <c r="AE428">
        <f t="shared" si="81"/>
        <v>2</v>
      </c>
      <c r="AG428" s="50" t="str">
        <f t="shared" si="82"/>
        <v>BOUCHERIE  DECPT CHARGES REGIE SPG - VALAUR SA</v>
      </c>
      <c r="AH428" s="244" t="str">
        <f t="shared" si="83"/>
        <v>96305</v>
      </c>
      <c r="AI428" s="219"/>
      <c r="AJ428" s="219"/>
      <c r="AK428" s="219" t="str">
        <f t="shared" si="84"/>
        <v>3431</v>
      </c>
      <c r="AL428" s="244" t="str">
        <f t="shared" si="85"/>
        <v>00</v>
      </c>
      <c r="AN428" s="219" t="str">
        <f t="shared" si="86"/>
        <v>Entretien courant, biens-fonds PF | Bât Boucherie / Village 9 |</v>
      </c>
    </row>
    <row r="429" spans="1:40" ht="15" customHeight="1" x14ac:dyDescent="0.3">
      <c r="A429" s="48"/>
      <c r="B429" s="74" t="s">
        <v>669</v>
      </c>
      <c r="C429" s="67" t="s">
        <v>670</v>
      </c>
      <c r="D429" s="188" t="s">
        <v>1459</v>
      </c>
      <c r="E429" s="188" t="s">
        <v>656</v>
      </c>
      <c r="F429" s="46">
        <v>3507</v>
      </c>
      <c r="G429" s="188" t="s">
        <v>131</v>
      </c>
      <c r="H429" s="188">
        <v>2</v>
      </c>
      <c r="I429" s="51"/>
      <c r="J429" s="51"/>
      <c r="K429" s="51">
        <f t="shared" si="89"/>
        <v>0</v>
      </c>
      <c r="L429" s="51"/>
      <c r="M429" s="51"/>
      <c r="N429" s="51">
        <f t="shared" si="88"/>
        <v>0</v>
      </c>
      <c r="O429" s="51"/>
      <c r="P429" s="179" t="s">
        <v>1803</v>
      </c>
      <c r="Q429" s="179" t="s">
        <v>1504</v>
      </c>
      <c r="R429" s="179" t="s">
        <v>2132</v>
      </c>
      <c r="S429" s="57" t="s">
        <v>2215</v>
      </c>
      <c r="T429" s="54"/>
      <c r="U429" s="54"/>
      <c r="AA429">
        <f t="shared" si="79"/>
        <v>3507</v>
      </c>
      <c r="AD429" t="str">
        <f t="shared" si="80"/>
        <v>314</v>
      </c>
      <c r="AE429">
        <f t="shared" si="81"/>
        <v>2</v>
      </c>
      <c r="AG429" s="50" t="str">
        <f t="shared" si="82"/>
        <v>BOUCHERIE  DECPT CHARGES REGIE SPG - VALAUR SA</v>
      </c>
      <c r="AH429" s="244" t="str">
        <f t="shared" si="83"/>
        <v>96305</v>
      </c>
      <c r="AI429" s="219"/>
      <c r="AJ429" s="219"/>
      <c r="AK429" s="219" t="str">
        <f t="shared" si="84"/>
        <v>3439</v>
      </c>
      <c r="AL429" s="244" t="str">
        <f t="shared" si="85"/>
        <v>01</v>
      </c>
      <c r="AN429" s="219" t="str">
        <f t="shared" si="86"/>
        <v>Autres charges de biens-fonds PF | Bât Boucherie / Village 9 | Eau</v>
      </c>
    </row>
    <row r="430" spans="1:40" ht="15" customHeight="1" x14ac:dyDescent="0.3">
      <c r="A430" s="48"/>
      <c r="B430" s="74" t="s">
        <v>669</v>
      </c>
      <c r="C430" s="67" t="s">
        <v>670</v>
      </c>
      <c r="D430" s="188" t="s">
        <v>1459</v>
      </c>
      <c r="E430" s="188" t="s">
        <v>656</v>
      </c>
      <c r="F430" s="46">
        <v>3507</v>
      </c>
      <c r="G430" s="188" t="s">
        <v>131</v>
      </c>
      <c r="H430" s="188">
        <v>2</v>
      </c>
      <c r="I430" s="51"/>
      <c r="J430" s="51"/>
      <c r="K430" s="51">
        <f t="shared" si="89"/>
        <v>0</v>
      </c>
      <c r="L430" s="51"/>
      <c r="M430" s="51"/>
      <c r="N430" s="51">
        <f t="shared" si="88"/>
        <v>0</v>
      </c>
      <c r="O430" s="51"/>
      <c r="P430" s="179" t="s">
        <v>1803</v>
      </c>
      <c r="Q430" s="179" t="s">
        <v>1504</v>
      </c>
      <c r="R430" s="179" t="s">
        <v>2133</v>
      </c>
      <c r="S430" s="57" t="s">
        <v>2216</v>
      </c>
      <c r="T430" s="54"/>
      <c r="U430" s="54"/>
      <c r="AA430">
        <f t="shared" si="79"/>
        <v>3507</v>
      </c>
      <c r="AD430" t="str">
        <f t="shared" si="80"/>
        <v>314</v>
      </c>
      <c r="AE430">
        <f t="shared" si="81"/>
        <v>2</v>
      </c>
      <c r="AG430" s="50" t="str">
        <f t="shared" si="82"/>
        <v>BOUCHERIE  DECPT CHARGES REGIE SPG - VALAUR SA</v>
      </c>
      <c r="AH430" s="244" t="str">
        <f t="shared" si="83"/>
        <v>96305</v>
      </c>
      <c r="AI430" s="219"/>
      <c r="AJ430" s="219"/>
      <c r="AK430" s="219" t="str">
        <f t="shared" si="84"/>
        <v>3439</v>
      </c>
      <c r="AL430" s="244" t="str">
        <f t="shared" si="85"/>
        <v>02</v>
      </c>
      <c r="AN430" s="219" t="str">
        <f t="shared" si="86"/>
        <v>Autres charges de biens-fonds PF | Bât Boucherie / Village 9 | Electricité</v>
      </c>
    </row>
    <row r="431" spans="1:40" ht="15" customHeight="1" x14ac:dyDescent="0.3">
      <c r="A431" s="48"/>
      <c r="B431" s="74" t="s">
        <v>669</v>
      </c>
      <c r="C431" s="67" t="s">
        <v>670</v>
      </c>
      <c r="D431" s="188" t="s">
        <v>1459</v>
      </c>
      <c r="E431" s="188" t="s">
        <v>656</v>
      </c>
      <c r="F431" s="46">
        <v>3507</v>
      </c>
      <c r="G431" s="188" t="s">
        <v>131</v>
      </c>
      <c r="H431" s="188">
        <v>2</v>
      </c>
      <c r="I431" s="51"/>
      <c r="J431" s="51"/>
      <c r="K431" s="51">
        <f t="shared" si="89"/>
        <v>0</v>
      </c>
      <c r="L431" s="51"/>
      <c r="M431" s="51"/>
      <c r="N431" s="51">
        <f t="shared" si="88"/>
        <v>0</v>
      </c>
      <c r="O431" s="51"/>
      <c r="P431" s="179" t="s">
        <v>1803</v>
      </c>
      <c r="Q431" s="179" t="s">
        <v>1504</v>
      </c>
      <c r="R431" s="179" t="s">
        <v>2134</v>
      </c>
      <c r="S431" s="57" t="s">
        <v>2217</v>
      </c>
      <c r="T431" s="54"/>
      <c r="U431" s="54"/>
      <c r="AA431">
        <f t="shared" si="79"/>
        <v>3507</v>
      </c>
      <c r="AD431" t="str">
        <f t="shared" si="80"/>
        <v>314</v>
      </c>
      <c r="AE431">
        <f t="shared" si="81"/>
        <v>2</v>
      </c>
      <c r="AG431" s="50" t="str">
        <f t="shared" si="82"/>
        <v>BOUCHERIE  DECPT CHARGES REGIE SPG - VALAUR SA</v>
      </c>
      <c r="AH431" s="244" t="str">
        <f t="shared" si="83"/>
        <v>96305</v>
      </c>
      <c r="AI431" s="219"/>
      <c r="AJ431" s="219"/>
      <c r="AK431" s="219" t="str">
        <f t="shared" si="84"/>
        <v>3439</v>
      </c>
      <c r="AL431" s="244" t="str">
        <f t="shared" si="85"/>
        <v>03</v>
      </c>
      <c r="AN431" s="219" t="str">
        <f t="shared" si="86"/>
        <v>Autres charges de biens-fonds PF | Bât Boucherie / Village 9 | Chauffage</v>
      </c>
    </row>
    <row r="432" spans="1:40" ht="15" customHeight="1" x14ac:dyDescent="0.3">
      <c r="A432" s="48"/>
      <c r="B432" s="74" t="s">
        <v>669</v>
      </c>
      <c r="C432" s="67" t="s">
        <v>670</v>
      </c>
      <c r="D432" s="188" t="s">
        <v>1459</v>
      </c>
      <c r="E432" s="188" t="s">
        <v>656</v>
      </c>
      <c r="F432" s="46">
        <v>3507</v>
      </c>
      <c r="G432" s="188" t="s">
        <v>131</v>
      </c>
      <c r="H432" s="188">
        <v>2</v>
      </c>
      <c r="I432" s="51"/>
      <c r="J432" s="51"/>
      <c r="K432" s="51">
        <f t="shared" si="89"/>
        <v>0</v>
      </c>
      <c r="L432" s="51"/>
      <c r="M432" s="51"/>
      <c r="N432" s="51">
        <f t="shared" si="88"/>
        <v>0</v>
      </c>
      <c r="O432" s="51"/>
      <c r="P432" s="179" t="s">
        <v>1803</v>
      </c>
      <c r="Q432" s="179" t="s">
        <v>1504</v>
      </c>
      <c r="R432" s="179" t="s">
        <v>2135</v>
      </c>
      <c r="S432" s="57" t="s">
        <v>2218</v>
      </c>
      <c r="T432" s="54"/>
      <c r="U432" s="54"/>
      <c r="AA432">
        <f t="shared" si="79"/>
        <v>3507</v>
      </c>
      <c r="AD432" t="str">
        <f t="shared" si="80"/>
        <v>314</v>
      </c>
      <c r="AE432">
        <f t="shared" si="81"/>
        <v>2</v>
      </c>
      <c r="AG432" s="50" t="str">
        <f t="shared" si="82"/>
        <v>BOUCHERIE  DECPT CHARGES REGIE SPG - VALAUR SA</v>
      </c>
      <c r="AH432" s="244" t="str">
        <f t="shared" si="83"/>
        <v>96305</v>
      </c>
      <c r="AI432" s="219"/>
      <c r="AJ432" s="219"/>
      <c r="AK432" s="219" t="str">
        <f t="shared" si="84"/>
        <v>3439</v>
      </c>
      <c r="AL432" s="244" t="str">
        <f t="shared" si="85"/>
        <v>04</v>
      </c>
      <c r="AN432" s="219" t="str">
        <f t="shared" si="86"/>
        <v>Autres charges de biens-fonds PF | Bât Boucherie / Village 9 | Frais de gérance</v>
      </c>
    </row>
    <row r="433" spans="1:40" ht="15" customHeight="1" x14ac:dyDescent="0.3">
      <c r="A433" s="48"/>
      <c r="B433" s="74" t="s">
        <v>669</v>
      </c>
      <c r="C433" s="67" t="s">
        <v>670</v>
      </c>
      <c r="D433" s="188" t="s">
        <v>1459</v>
      </c>
      <c r="E433" s="188" t="s">
        <v>656</v>
      </c>
      <c r="F433" s="46">
        <v>3507</v>
      </c>
      <c r="G433" s="188" t="s">
        <v>131</v>
      </c>
      <c r="H433" s="188">
        <v>2</v>
      </c>
      <c r="I433" s="51"/>
      <c r="J433" s="51"/>
      <c r="K433" s="51">
        <f t="shared" si="89"/>
        <v>0</v>
      </c>
      <c r="L433" s="51"/>
      <c r="M433" s="51"/>
      <c r="N433" s="51">
        <f t="shared" si="88"/>
        <v>0</v>
      </c>
      <c r="O433" s="51"/>
      <c r="P433" s="179" t="s">
        <v>1803</v>
      </c>
      <c r="Q433" s="179" t="s">
        <v>1822</v>
      </c>
      <c r="R433" s="179" t="s">
        <v>2131</v>
      </c>
      <c r="S433" s="57" t="s">
        <v>2219</v>
      </c>
      <c r="T433" s="54"/>
      <c r="U433" s="54"/>
      <c r="AA433">
        <f t="shared" si="79"/>
        <v>3507</v>
      </c>
      <c r="AD433" t="str">
        <f t="shared" si="80"/>
        <v>314</v>
      </c>
      <c r="AE433">
        <f t="shared" si="81"/>
        <v>2</v>
      </c>
      <c r="AG433" s="50" t="str">
        <f t="shared" si="82"/>
        <v>BOUCHERIE  DECPT CHARGES REGIE SPG - VALAUR SA</v>
      </c>
      <c r="AH433" s="244" t="str">
        <f t="shared" si="83"/>
        <v>96305</v>
      </c>
      <c r="AI433" s="219"/>
      <c r="AJ433" s="219"/>
      <c r="AK433" s="219" t="str">
        <f t="shared" si="84"/>
        <v>3430</v>
      </c>
      <c r="AL433" s="244" t="str">
        <f t="shared" si="85"/>
        <v>00</v>
      </c>
      <c r="AN433" s="219" t="str">
        <f t="shared" si="86"/>
        <v>Tavaux Ponctuels, biens-fonds PF | Bât Boucherie / Village 9 |</v>
      </c>
    </row>
    <row r="434" spans="1:40" ht="15" customHeight="1" x14ac:dyDescent="0.3">
      <c r="A434" s="48">
        <v>0</v>
      </c>
      <c r="B434" s="49" t="s">
        <v>671</v>
      </c>
      <c r="C434" s="50" t="s">
        <v>672</v>
      </c>
      <c r="D434" s="46" t="s">
        <v>1459</v>
      </c>
      <c r="E434" s="46" t="s">
        <v>656</v>
      </c>
      <c r="F434" s="46">
        <v>3507</v>
      </c>
      <c r="G434" s="46" t="s">
        <v>123</v>
      </c>
      <c r="H434" s="46"/>
      <c r="I434" s="51">
        <v>0</v>
      </c>
      <c r="J434" s="51">
        <v>0</v>
      </c>
      <c r="K434" s="51">
        <f t="shared" si="89"/>
        <v>0</v>
      </c>
      <c r="L434" s="51">
        <v>0</v>
      </c>
      <c r="M434" s="51">
        <v>0</v>
      </c>
      <c r="N434" s="51">
        <f t="shared" si="88"/>
        <v>0</v>
      </c>
      <c r="O434" s="51">
        <v>0</v>
      </c>
      <c r="P434" s="179" t="s">
        <v>1489</v>
      </c>
      <c r="Q434" s="179" t="s">
        <v>1489</v>
      </c>
      <c r="R434" s="179" t="s">
        <v>1489</v>
      </c>
      <c r="S434" s="47"/>
      <c r="T434" s="54"/>
      <c r="U434" s="54"/>
      <c r="AA434">
        <f t="shared" si="79"/>
        <v>3507</v>
      </c>
      <c r="AD434" t="str">
        <f t="shared" si="80"/>
        <v>315</v>
      </c>
      <c r="AE434">
        <f t="shared" si="81"/>
        <v>0</v>
      </c>
      <c r="AG434" s="50" t="str">
        <f t="shared" si="82"/>
        <v>BOUCHERIE  ENT MOB et INST TECH</v>
      </c>
      <c r="AH434" s="244" t="str">
        <f t="shared" si="83"/>
        <v>-</v>
      </c>
      <c r="AI434" s="219"/>
      <c r="AJ434" s="219"/>
      <c r="AK434" s="219" t="str">
        <f t="shared" si="84"/>
        <v>-</v>
      </c>
      <c r="AL434" s="244" t="str">
        <f t="shared" si="85"/>
        <v>-</v>
      </c>
      <c r="AN434" s="219">
        <f t="shared" si="86"/>
        <v>0</v>
      </c>
    </row>
    <row r="435" spans="1:40" ht="15" customHeight="1" x14ac:dyDescent="0.3">
      <c r="A435" s="48">
        <v>0</v>
      </c>
      <c r="B435" s="49" t="s">
        <v>673</v>
      </c>
      <c r="C435" s="50" t="s">
        <v>674</v>
      </c>
      <c r="D435" s="46" t="s">
        <v>1459</v>
      </c>
      <c r="E435" s="46" t="s">
        <v>656</v>
      </c>
      <c r="F435" s="46">
        <v>3507</v>
      </c>
      <c r="G435" s="46" t="s">
        <v>123</v>
      </c>
      <c r="H435" s="46">
        <v>1</v>
      </c>
      <c r="I435" s="51">
        <v>0</v>
      </c>
      <c r="J435" s="51">
        <v>0</v>
      </c>
      <c r="K435" s="51">
        <f t="shared" si="89"/>
        <v>0</v>
      </c>
      <c r="L435" s="51">
        <v>0</v>
      </c>
      <c r="M435" s="51">
        <v>0</v>
      </c>
      <c r="N435" s="51">
        <f t="shared" si="88"/>
        <v>0</v>
      </c>
      <c r="O435" s="51">
        <v>0</v>
      </c>
      <c r="P435" s="179" t="s">
        <v>1489</v>
      </c>
      <c r="Q435" s="179" t="s">
        <v>1489</v>
      </c>
      <c r="R435" s="179" t="s">
        <v>1489</v>
      </c>
      <c r="S435" s="47"/>
      <c r="T435" s="54"/>
      <c r="U435" s="54"/>
      <c r="AA435">
        <f t="shared" si="79"/>
        <v>3507</v>
      </c>
      <c r="AD435" t="str">
        <f t="shared" si="80"/>
        <v>315</v>
      </c>
      <c r="AE435">
        <f t="shared" si="81"/>
        <v>1</v>
      </c>
      <c r="AG435" s="50" t="str">
        <f t="shared" si="82"/>
        <v>BOUCHERIE  CONTRAT ENT INST TECH (INACTIF)</v>
      </c>
      <c r="AH435" s="244" t="str">
        <f t="shared" si="83"/>
        <v>-</v>
      </c>
      <c r="AI435" s="219"/>
      <c r="AJ435" s="219"/>
      <c r="AK435" s="219" t="str">
        <f t="shared" si="84"/>
        <v>-</v>
      </c>
      <c r="AL435" s="244" t="str">
        <f t="shared" si="85"/>
        <v>-</v>
      </c>
      <c r="AN435" s="219">
        <f t="shared" si="86"/>
        <v>0</v>
      </c>
    </row>
    <row r="436" spans="1:40" ht="15" customHeight="1" x14ac:dyDescent="0.3">
      <c r="A436" s="48">
        <v>0</v>
      </c>
      <c r="B436" s="49" t="s">
        <v>675</v>
      </c>
      <c r="C436" s="50" t="s">
        <v>676</v>
      </c>
      <c r="D436" s="46" t="s">
        <v>1459</v>
      </c>
      <c r="E436" s="46" t="s">
        <v>656</v>
      </c>
      <c r="F436" s="46">
        <v>3507</v>
      </c>
      <c r="G436" s="46" t="s">
        <v>48</v>
      </c>
      <c r="H436" s="46"/>
      <c r="I436" s="51">
        <v>325.14999999999998</v>
      </c>
      <c r="J436" s="51">
        <v>0</v>
      </c>
      <c r="K436" s="51">
        <f t="shared" si="89"/>
        <v>325.14999999999998</v>
      </c>
      <c r="L436" s="51">
        <v>0</v>
      </c>
      <c r="M436" s="51">
        <v>0</v>
      </c>
      <c r="N436" s="51">
        <f t="shared" si="88"/>
        <v>0</v>
      </c>
      <c r="O436" s="51">
        <v>0</v>
      </c>
      <c r="P436" s="179" t="s">
        <v>1803</v>
      </c>
      <c r="Q436" s="179" t="s">
        <v>1504</v>
      </c>
      <c r="R436" s="179" t="s">
        <v>2131</v>
      </c>
      <c r="S436" s="57" t="s">
        <v>2220</v>
      </c>
      <c r="T436" s="54">
        <f>+I436</f>
        <v>325.14999999999998</v>
      </c>
      <c r="U436" s="54"/>
      <c r="AA436">
        <f t="shared" si="79"/>
        <v>3507</v>
      </c>
      <c r="AD436" t="str">
        <f t="shared" si="80"/>
        <v>318</v>
      </c>
      <c r="AE436">
        <f t="shared" si="81"/>
        <v>0</v>
      </c>
      <c r="AG436" s="50" t="str">
        <f t="shared" si="82"/>
        <v>BOUCHERIE  PREST SERVICES ASS et HONORAIRES</v>
      </c>
      <c r="AH436" s="244" t="str">
        <f t="shared" si="83"/>
        <v>96305</v>
      </c>
      <c r="AI436" s="219"/>
      <c r="AJ436" s="219"/>
      <c r="AK436" s="219" t="str">
        <f t="shared" si="84"/>
        <v>3439</v>
      </c>
      <c r="AL436" s="244" t="str">
        <f t="shared" si="85"/>
        <v>00</v>
      </c>
      <c r="AN436" s="219" t="str">
        <f t="shared" si="86"/>
        <v>Autres charges de biens-fonds PF | Bât Boucherie / Village 9 | Assurances</v>
      </c>
    </row>
    <row r="437" spans="1:40" ht="15" customHeight="1" x14ac:dyDescent="0.3">
      <c r="A437" s="48">
        <v>0</v>
      </c>
      <c r="B437" s="49" t="s">
        <v>677</v>
      </c>
      <c r="C437" s="50" t="s">
        <v>678</v>
      </c>
      <c r="D437" s="46" t="s">
        <v>1459</v>
      </c>
      <c r="E437" s="46" t="s">
        <v>656</v>
      </c>
      <c r="F437" s="46">
        <v>3507</v>
      </c>
      <c r="G437" s="46" t="s">
        <v>6</v>
      </c>
      <c r="H437" s="46"/>
      <c r="I437" s="51">
        <v>0</v>
      </c>
      <c r="J437" s="51">
        <v>0</v>
      </c>
      <c r="K437" s="51">
        <f t="shared" si="89"/>
        <v>0</v>
      </c>
      <c r="L437" s="51">
        <v>0</v>
      </c>
      <c r="M437" s="51">
        <v>0</v>
      </c>
      <c r="N437" s="51">
        <f t="shared" si="88"/>
        <v>0</v>
      </c>
      <c r="O437" s="51">
        <v>0</v>
      </c>
      <c r="P437" s="179" t="s">
        <v>1489</v>
      </c>
      <c r="Q437" s="179" t="s">
        <v>1489</v>
      </c>
      <c r="R437" s="179" t="s">
        <v>1489</v>
      </c>
      <c r="S437" s="47"/>
      <c r="T437" s="54"/>
      <c r="U437" s="54"/>
      <c r="AA437">
        <f t="shared" si="79"/>
        <v>3507</v>
      </c>
      <c r="AD437" t="str">
        <f t="shared" si="80"/>
        <v>380</v>
      </c>
      <c r="AE437">
        <f t="shared" si="81"/>
        <v>0</v>
      </c>
      <c r="AG437" s="50" t="str">
        <f t="shared" si="82"/>
        <v>BOUCHERIE  ATTRIB FONDS RENOVATION (9281.17)</v>
      </c>
      <c r="AH437" s="244" t="str">
        <f t="shared" si="83"/>
        <v>-</v>
      </c>
      <c r="AI437" s="219"/>
      <c r="AJ437" s="219"/>
      <c r="AK437" s="219" t="str">
        <f t="shared" si="84"/>
        <v>-</v>
      </c>
      <c r="AL437" s="244" t="str">
        <f t="shared" si="85"/>
        <v>-</v>
      </c>
      <c r="AN437" s="219">
        <f t="shared" si="86"/>
        <v>0</v>
      </c>
    </row>
    <row r="438" spans="1:40" ht="15" customHeight="1" x14ac:dyDescent="0.3">
      <c r="A438" s="48">
        <v>0</v>
      </c>
      <c r="B438" s="49" t="s">
        <v>679</v>
      </c>
      <c r="C438" s="50" t="s">
        <v>680</v>
      </c>
      <c r="D438" s="46" t="s">
        <v>1459</v>
      </c>
      <c r="E438" s="46" t="s">
        <v>656</v>
      </c>
      <c r="F438" s="46">
        <v>3507</v>
      </c>
      <c r="G438" s="46" t="s">
        <v>335</v>
      </c>
      <c r="H438" s="46">
        <v>2</v>
      </c>
      <c r="I438" s="51">
        <v>0</v>
      </c>
      <c r="J438" s="51">
        <v>-26534</v>
      </c>
      <c r="K438" s="51">
        <f t="shared" si="89"/>
        <v>-26534</v>
      </c>
      <c r="L438" s="51">
        <v>0</v>
      </c>
      <c r="M438" s="51">
        <v>-27500</v>
      </c>
      <c r="N438" s="51">
        <f t="shared" si="88"/>
        <v>-27500</v>
      </c>
      <c r="O438" s="51">
        <v>0</v>
      </c>
      <c r="P438" s="179" t="s">
        <v>1803</v>
      </c>
      <c r="Q438" s="179" t="s">
        <v>1813</v>
      </c>
      <c r="R438" s="179" t="s">
        <v>2131</v>
      </c>
      <c r="S438" s="57" t="s">
        <v>2221</v>
      </c>
      <c r="T438" s="54">
        <f>+J438</f>
        <v>-26534</v>
      </c>
      <c r="U438" s="54"/>
      <c r="AA438">
        <f t="shared" si="79"/>
        <v>3507</v>
      </c>
      <c r="AD438" t="str">
        <f t="shared" si="80"/>
        <v>427</v>
      </c>
      <c r="AE438">
        <f t="shared" si="81"/>
        <v>2</v>
      </c>
      <c r="AG438" s="50" t="str">
        <f t="shared" si="82"/>
        <v>BOUCHERIE  DECPTE LOYERS REGIE SPG - VALAUR SA</v>
      </c>
      <c r="AH438" s="244" t="str">
        <f t="shared" si="83"/>
        <v>96305</v>
      </c>
      <c r="AI438" s="219"/>
      <c r="AJ438" s="219"/>
      <c r="AK438" s="219" t="str">
        <f t="shared" si="84"/>
        <v>4430</v>
      </c>
      <c r="AL438" s="244" t="str">
        <f t="shared" si="85"/>
        <v>00</v>
      </c>
      <c r="AN438" s="219" t="str">
        <f t="shared" si="86"/>
        <v>Loyers et fermages, immeubles du PF | Bât Boucherie / Village 9 |</v>
      </c>
    </row>
    <row r="439" spans="1:40" ht="15" customHeight="1" x14ac:dyDescent="0.3">
      <c r="A439" s="48">
        <v>0</v>
      </c>
      <c r="B439" s="49" t="s">
        <v>681</v>
      </c>
      <c r="C439" s="50" t="s">
        <v>682</v>
      </c>
      <c r="D439" s="46" t="s">
        <v>1459</v>
      </c>
      <c r="E439" s="46" t="s">
        <v>656</v>
      </c>
      <c r="F439" s="46">
        <v>3507</v>
      </c>
      <c r="G439" s="46" t="s">
        <v>61</v>
      </c>
      <c r="H439" s="46"/>
      <c r="I439" s="51">
        <v>0</v>
      </c>
      <c r="J439" s="51">
        <v>-1593.3</v>
      </c>
      <c r="K439" s="51">
        <f t="shared" si="89"/>
        <v>-1593.3</v>
      </c>
      <c r="L439" s="51">
        <v>0</v>
      </c>
      <c r="M439" s="51">
        <v>0</v>
      </c>
      <c r="N439" s="51">
        <f t="shared" si="88"/>
        <v>0</v>
      </c>
      <c r="O439" s="51">
        <v>0</v>
      </c>
      <c r="P439" s="179" t="s">
        <v>1803</v>
      </c>
      <c r="Q439" s="179" t="s">
        <v>1580</v>
      </c>
      <c r="R439" s="179" t="s">
        <v>2131</v>
      </c>
      <c r="S439" s="47" t="s">
        <v>2222</v>
      </c>
      <c r="T439" s="54">
        <f>+J439</f>
        <v>-1593.3</v>
      </c>
      <c r="U439" s="54"/>
      <c r="AA439">
        <f t="shared" si="79"/>
        <v>3507</v>
      </c>
      <c r="AD439" t="str">
        <f t="shared" si="80"/>
        <v>436</v>
      </c>
      <c r="AE439">
        <f t="shared" si="81"/>
        <v>0</v>
      </c>
      <c r="AG439" s="50" t="str">
        <f t="shared" si="82"/>
        <v>BOUCHERIE PART. TIERS</v>
      </c>
      <c r="AH439" s="244" t="str">
        <f t="shared" si="83"/>
        <v>96305</v>
      </c>
      <c r="AI439" s="219"/>
      <c r="AJ439" s="219"/>
      <c r="AK439" s="219" t="str">
        <f t="shared" si="84"/>
        <v>4260</v>
      </c>
      <c r="AL439" s="244" t="str">
        <f t="shared" si="85"/>
        <v>00</v>
      </c>
      <c r="AN439" s="219" t="str">
        <f t="shared" si="86"/>
        <v>Remboursements et participations de tiers PF | Bât Boucherie / Village 9 |</v>
      </c>
    </row>
    <row r="440" spans="1:40" ht="15" customHeight="1" x14ac:dyDescent="0.3">
      <c r="A440" s="48">
        <v>0</v>
      </c>
      <c r="B440" s="77" t="s">
        <v>684</v>
      </c>
      <c r="C440" s="78" t="s">
        <v>685</v>
      </c>
      <c r="D440" s="182" t="s">
        <v>1459</v>
      </c>
      <c r="E440" s="46" t="s">
        <v>683</v>
      </c>
      <c r="F440" s="46">
        <v>3508</v>
      </c>
      <c r="G440" s="46" t="s">
        <v>3</v>
      </c>
      <c r="H440" s="46"/>
      <c r="I440" s="51">
        <v>3893.55</v>
      </c>
      <c r="J440" s="51">
        <v>0</v>
      </c>
      <c r="K440" s="51">
        <f t="shared" si="89"/>
        <v>3893.55</v>
      </c>
      <c r="L440" s="51">
        <v>3500</v>
      </c>
      <c r="M440" s="51">
        <v>0</v>
      </c>
      <c r="N440" s="51">
        <f t="shared" si="88"/>
        <v>3500</v>
      </c>
      <c r="O440" s="51">
        <v>1621.7</v>
      </c>
      <c r="P440" s="179" t="s">
        <v>1532</v>
      </c>
      <c r="Q440" s="179" t="s">
        <v>1410</v>
      </c>
      <c r="R440" s="179" t="s">
        <v>2131</v>
      </c>
      <c r="S440" s="47" t="s">
        <v>1411</v>
      </c>
      <c r="T440" s="54">
        <f>+I440</f>
        <v>3893.55</v>
      </c>
      <c r="U440" s="54"/>
      <c r="W440" t="s">
        <v>2016</v>
      </c>
      <c r="AA440">
        <f t="shared" si="79"/>
        <v>3508</v>
      </c>
      <c r="AD440" t="str">
        <f t="shared" si="80"/>
        <v>301</v>
      </c>
      <c r="AE440">
        <f t="shared" si="81"/>
        <v>0</v>
      </c>
      <c r="AG440" s="50" t="str">
        <f t="shared" si="82"/>
        <v>BÂTIMENT EGLISE  SALAIRE</v>
      </c>
      <c r="AH440" s="244" t="str">
        <f t="shared" si="83"/>
        <v>35000</v>
      </c>
      <c r="AI440" s="219"/>
      <c r="AJ440" s="219"/>
      <c r="AK440" s="219" t="str">
        <f t="shared" si="84"/>
        <v>3010</v>
      </c>
      <c r="AL440" s="244" t="str">
        <f t="shared" si="85"/>
        <v>00</v>
      </c>
      <c r="AN440" s="219" t="str">
        <f t="shared" si="86"/>
        <v>Salaire du personnel administratif</v>
      </c>
    </row>
    <row r="441" spans="1:40" ht="15" customHeight="1" x14ac:dyDescent="0.3">
      <c r="A441" s="48"/>
      <c r="B441" s="77" t="s">
        <v>684</v>
      </c>
      <c r="C441" s="78" t="s">
        <v>685</v>
      </c>
      <c r="D441" s="182" t="s">
        <v>1459</v>
      </c>
      <c r="E441" s="46"/>
      <c r="F441" s="46">
        <v>3508</v>
      </c>
      <c r="G441" s="46" t="s">
        <v>3</v>
      </c>
      <c r="H441" s="46"/>
      <c r="I441" s="51"/>
      <c r="J441" s="51"/>
      <c r="K441" s="51">
        <f t="shared" si="89"/>
        <v>0</v>
      </c>
      <c r="L441" s="51"/>
      <c r="M441" s="51"/>
      <c r="N441" s="51">
        <f t="shared" si="88"/>
        <v>0</v>
      </c>
      <c r="O441" s="51"/>
      <c r="P441" s="179" t="s">
        <v>1532</v>
      </c>
      <c r="Q441" s="179" t="s">
        <v>1410</v>
      </c>
      <c r="R441" s="179" t="s">
        <v>2138</v>
      </c>
      <c r="S441" s="47" t="s">
        <v>1424</v>
      </c>
      <c r="T441" s="54"/>
      <c r="U441" s="54"/>
      <c r="AA441">
        <f t="shared" si="79"/>
        <v>3508</v>
      </c>
      <c r="AD441" t="str">
        <f t="shared" si="80"/>
        <v>301</v>
      </c>
      <c r="AE441">
        <f t="shared" si="81"/>
        <v>0</v>
      </c>
      <c r="AG441" s="50" t="str">
        <f t="shared" si="82"/>
        <v>BÂTIMENT EGLISE  SALAIRE</v>
      </c>
      <c r="AH441" s="244" t="str">
        <f t="shared" si="83"/>
        <v>35000</v>
      </c>
      <c r="AI441" s="219"/>
      <c r="AJ441" s="219"/>
      <c r="AK441" s="219" t="str">
        <f t="shared" si="84"/>
        <v>3010</v>
      </c>
      <c r="AL441" s="244" t="str">
        <f t="shared" si="85"/>
        <v>99</v>
      </c>
      <c r="AN441" s="219" t="str">
        <f t="shared" si="86"/>
        <v>Remboursements IJM</v>
      </c>
    </row>
    <row r="442" spans="1:40" ht="15" customHeight="1" x14ac:dyDescent="0.3">
      <c r="A442" s="48">
        <v>0</v>
      </c>
      <c r="B442" s="74" t="s">
        <v>686</v>
      </c>
      <c r="C442" s="67" t="s">
        <v>687</v>
      </c>
      <c r="D442" s="188" t="s">
        <v>1459</v>
      </c>
      <c r="E442" s="188" t="s">
        <v>683</v>
      </c>
      <c r="F442" s="46">
        <v>3508</v>
      </c>
      <c r="G442" s="188" t="s">
        <v>16</v>
      </c>
      <c r="H442" s="188"/>
      <c r="I442" s="51">
        <v>332.55</v>
      </c>
      <c r="J442" s="51">
        <v>0</v>
      </c>
      <c r="K442" s="51">
        <f t="shared" si="89"/>
        <v>332.55</v>
      </c>
      <c r="L442" s="51">
        <v>350</v>
      </c>
      <c r="M442" s="51">
        <v>0</v>
      </c>
      <c r="N442" s="51">
        <f t="shared" si="88"/>
        <v>350</v>
      </c>
      <c r="O442" s="51">
        <v>3.9</v>
      </c>
      <c r="P442" s="179" t="s">
        <v>1532</v>
      </c>
      <c r="Q442" s="179" t="s">
        <v>1367</v>
      </c>
      <c r="R442" s="179" t="s">
        <v>2131</v>
      </c>
      <c r="S442" s="47" t="s">
        <v>1378</v>
      </c>
      <c r="T442" s="54">
        <f>+I442</f>
        <v>332.55</v>
      </c>
      <c r="U442" s="54"/>
      <c r="AA442">
        <f t="shared" si="79"/>
        <v>3508</v>
      </c>
      <c r="AD442" t="str">
        <f t="shared" si="80"/>
        <v>303</v>
      </c>
      <c r="AE442">
        <f t="shared" si="81"/>
        <v>0</v>
      </c>
      <c r="AG442" s="50" t="str">
        <f t="shared" si="82"/>
        <v>BÂTIMENT EGLISE  COTISATION AVS AC AF</v>
      </c>
      <c r="AH442" s="244" t="str">
        <f t="shared" si="83"/>
        <v>35000</v>
      </c>
      <c r="AI442" s="219"/>
      <c r="AJ442" s="219"/>
      <c r="AK442" s="219" t="str">
        <f t="shared" si="84"/>
        <v>3050</v>
      </c>
      <c r="AL442" s="244" t="str">
        <f t="shared" si="85"/>
        <v>00</v>
      </c>
      <c r="AN442" s="219" t="str">
        <f t="shared" si="86"/>
        <v>Cotisations AVS, AI, APG, AC, frais adm</v>
      </c>
    </row>
    <row r="443" spans="1:40" ht="15" customHeight="1" x14ac:dyDescent="0.3">
      <c r="A443" s="48"/>
      <c r="B443" s="74" t="s">
        <v>686</v>
      </c>
      <c r="C443" s="67" t="s">
        <v>687</v>
      </c>
      <c r="D443" s="188" t="s">
        <v>1459</v>
      </c>
      <c r="E443" s="188" t="s">
        <v>683</v>
      </c>
      <c r="F443" s="46">
        <v>3508</v>
      </c>
      <c r="G443" s="188" t="s">
        <v>16</v>
      </c>
      <c r="H443" s="188"/>
      <c r="I443" s="51"/>
      <c r="J443" s="51"/>
      <c r="K443" s="51">
        <f t="shared" si="89"/>
        <v>0</v>
      </c>
      <c r="L443" s="51"/>
      <c r="M443" s="51"/>
      <c r="N443" s="51">
        <f t="shared" si="88"/>
        <v>0</v>
      </c>
      <c r="O443" s="51"/>
      <c r="P443" s="179" t="s">
        <v>1532</v>
      </c>
      <c r="Q443" s="179" t="s">
        <v>1413</v>
      </c>
      <c r="R443" s="179" t="s">
        <v>2131</v>
      </c>
      <c r="S443" s="47" t="s">
        <v>1414</v>
      </c>
      <c r="T443" s="54"/>
      <c r="U443" s="54"/>
      <c r="AA443">
        <f t="shared" si="79"/>
        <v>3508</v>
      </c>
      <c r="AD443" t="str">
        <f t="shared" si="80"/>
        <v>303</v>
      </c>
      <c r="AE443">
        <f t="shared" si="81"/>
        <v>0</v>
      </c>
      <c r="AG443" s="50" t="str">
        <f t="shared" si="82"/>
        <v>BÂTIMENT EGLISE  COTISATION AVS AC AF</v>
      </c>
      <c r="AH443" s="244" t="str">
        <f t="shared" si="83"/>
        <v>35000</v>
      </c>
      <c r="AI443" s="219"/>
      <c r="AJ443" s="219"/>
      <c r="AK443" s="219" t="str">
        <f t="shared" si="84"/>
        <v>3054</v>
      </c>
      <c r="AL443" s="244" t="str">
        <f t="shared" si="85"/>
        <v>00</v>
      </c>
      <c r="AN443" s="219" t="str">
        <f t="shared" si="86"/>
        <v>Cotisations CAF</v>
      </c>
    </row>
    <row r="444" spans="1:40" ht="15" customHeight="1" x14ac:dyDescent="0.3">
      <c r="A444" s="48">
        <v>0</v>
      </c>
      <c r="B444" s="49" t="s">
        <v>688</v>
      </c>
      <c r="C444" s="50" t="s">
        <v>689</v>
      </c>
      <c r="D444" s="46" t="s">
        <v>1459</v>
      </c>
      <c r="E444" s="46" t="s">
        <v>683</v>
      </c>
      <c r="F444" s="46">
        <v>3508</v>
      </c>
      <c r="G444" s="46" t="s">
        <v>38</v>
      </c>
      <c r="H444" s="46"/>
      <c r="I444" s="51">
        <v>0</v>
      </c>
      <c r="J444" s="51">
        <v>0</v>
      </c>
      <c r="K444" s="51">
        <f t="shared" si="89"/>
        <v>0</v>
      </c>
      <c r="L444" s="51">
        <v>0</v>
      </c>
      <c r="M444" s="51">
        <v>0</v>
      </c>
      <c r="N444" s="51">
        <f t="shared" si="88"/>
        <v>0</v>
      </c>
      <c r="O444" s="51">
        <v>0</v>
      </c>
      <c r="P444" s="179" t="s">
        <v>1532</v>
      </c>
      <c r="Q444" s="179" t="s">
        <v>1386</v>
      </c>
      <c r="R444" s="179" t="s">
        <v>2131</v>
      </c>
      <c r="S444" s="47" t="s">
        <v>1387</v>
      </c>
      <c r="T444" s="54"/>
      <c r="U444" s="54"/>
      <c r="AA444">
        <f t="shared" si="79"/>
        <v>3508</v>
      </c>
      <c r="AD444" t="str">
        <f t="shared" si="80"/>
        <v>304</v>
      </c>
      <c r="AE444">
        <f t="shared" si="81"/>
        <v>0</v>
      </c>
      <c r="AG444" s="50" t="str">
        <f t="shared" si="82"/>
        <v>BÂTIMENT EGLISE  CAISSE PREVOYANCE LPP</v>
      </c>
      <c r="AH444" s="244" t="str">
        <f t="shared" si="83"/>
        <v>35000</v>
      </c>
      <c r="AI444" s="219"/>
      <c r="AJ444" s="219"/>
      <c r="AK444" s="219" t="str">
        <f t="shared" si="84"/>
        <v>3052</v>
      </c>
      <c r="AL444" s="244" t="str">
        <f t="shared" si="85"/>
        <v>00</v>
      </c>
      <c r="AN444" s="219" t="str">
        <f t="shared" si="86"/>
        <v>Cotisations patronales aux caisses de pensions</v>
      </c>
    </row>
    <row r="445" spans="1:40" ht="15" customHeight="1" x14ac:dyDescent="0.3">
      <c r="A445" s="48">
        <v>0</v>
      </c>
      <c r="B445" s="49" t="s">
        <v>690</v>
      </c>
      <c r="C445" s="50" t="s">
        <v>691</v>
      </c>
      <c r="D445" s="46" t="s">
        <v>1459</v>
      </c>
      <c r="E445" s="46" t="s">
        <v>683</v>
      </c>
      <c r="F445" s="46">
        <v>3508</v>
      </c>
      <c r="G445" s="46" t="s">
        <v>19</v>
      </c>
      <c r="H445" s="46"/>
      <c r="I445" s="51">
        <v>90.6</v>
      </c>
      <c r="J445" s="51">
        <v>0</v>
      </c>
      <c r="K445" s="51">
        <f t="shared" si="89"/>
        <v>90.6</v>
      </c>
      <c r="L445" s="51">
        <v>100</v>
      </c>
      <c r="M445" s="51">
        <v>0</v>
      </c>
      <c r="N445" s="51">
        <f t="shared" si="88"/>
        <v>100</v>
      </c>
      <c r="O445" s="51">
        <v>38.9</v>
      </c>
      <c r="P445" s="179" t="s">
        <v>1532</v>
      </c>
      <c r="Q445" s="179" t="s">
        <v>1375</v>
      </c>
      <c r="R445" s="179" t="s">
        <v>2131</v>
      </c>
      <c r="S445" s="47" t="s">
        <v>1379</v>
      </c>
      <c r="T445" s="54">
        <f>+I445</f>
        <v>90.6</v>
      </c>
      <c r="U445" s="54"/>
      <c r="AA445">
        <f t="shared" si="79"/>
        <v>3508</v>
      </c>
      <c r="AD445" t="str">
        <f t="shared" si="80"/>
        <v>305</v>
      </c>
      <c r="AE445">
        <f t="shared" si="81"/>
        <v>0</v>
      </c>
      <c r="AG445" s="50" t="str">
        <f t="shared" si="82"/>
        <v>BÂTIMENT EGLISE  ASS ACCIDENTS et MALADIE</v>
      </c>
      <c r="AH445" s="244" t="str">
        <f t="shared" si="83"/>
        <v>35000</v>
      </c>
      <c r="AI445" s="219"/>
      <c r="AJ445" s="219"/>
      <c r="AK445" s="219" t="str">
        <f t="shared" si="84"/>
        <v>3053</v>
      </c>
      <c r="AL445" s="244" t="str">
        <f t="shared" si="85"/>
        <v>00</v>
      </c>
      <c r="AN445" s="219" t="str">
        <f t="shared" si="86"/>
        <v>Cotisations patronales aux assurance-accidents</v>
      </c>
    </row>
    <row r="446" spans="1:40" ht="15" customHeight="1" x14ac:dyDescent="0.3">
      <c r="A446" s="48">
        <v>0</v>
      </c>
      <c r="B446" s="77" t="s">
        <v>692</v>
      </c>
      <c r="C446" s="78" t="s">
        <v>693</v>
      </c>
      <c r="D446" s="182" t="s">
        <v>1459</v>
      </c>
      <c r="E446" s="46" t="s">
        <v>683</v>
      </c>
      <c r="F446" s="46">
        <v>3508</v>
      </c>
      <c r="G446" s="46" t="s">
        <v>22</v>
      </c>
      <c r="H446" s="46"/>
      <c r="I446" s="51">
        <v>0</v>
      </c>
      <c r="J446" s="51">
        <v>0</v>
      </c>
      <c r="K446" s="51">
        <f t="shared" si="89"/>
        <v>0</v>
      </c>
      <c r="L446" s="51">
        <v>0</v>
      </c>
      <c r="M446" s="51">
        <v>0</v>
      </c>
      <c r="N446" s="51">
        <f t="shared" si="88"/>
        <v>0</v>
      </c>
      <c r="O446" s="51">
        <v>0</v>
      </c>
      <c r="P446" s="179" t="s">
        <v>1532</v>
      </c>
      <c r="Q446" s="179" t="s">
        <v>1380</v>
      </c>
      <c r="R446" s="179" t="s">
        <v>2131</v>
      </c>
      <c r="S446" s="47" t="s">
        <v>1381</v>
      </c>
      <c r="T446" s="54"/>
      <c r="U446" s="54"/>
      <c r="AA446">
        <f t="shared" si="79"/>
        <v>3508</v>
      </c>
      <c r="AD446" t="str">
        <f t="shared" si="80"/>
        <v>306</v>
      </c>
      <c r="AE446">
        <f t="shared" si="81"/>
        <v>0</v>
      </c>
      <c r="AG446" s="50" t="str">
        <f t="shared" si="82"/>
        <v>BÂTIMENT EGLISE FRAIS DU PERSONNEL</v>
      </c>
      <c r="AH446" s="244" t="str">
        <f t="shared" si="83"/>
        <v>35000</v>
      </c>
      <c r="AI446" s="219"/>
      <c r="AJ446" s="219"/>
      <c r="AK446" s="219" t="str">
        <f t="shared" si="84"/>
        <v>3099</v>
      </c>
      <c r="AL446" s="244" t="str">
        <f t="shared" si="85"/>
        <v>00</v>
      </c>
      <c r="AN446" s="219" t="str">
        <f t="shared" si="86"/>
        <v>Autres charges du personnel</v>
      </c>
    </row>
    <row r="447" spans="1:40" ht="15" customHeight="1" x14ac:dyDescent="0.3">
      <c r="A447" s="48"/>
      <c r="B447" s="77" t="s">
        <v>692</v>
      </c>
      <c r="C447" s="78" t="s">
        <v>693</v>
      </c>
      <c r="D447" s="182" t="s">
        <v>1459</v>
      </c>
      <c r="E447" s="46"/>
      <c r="F447" s="46">
        <v>3508</v>
      </c>
      <c r="G447" s="46" t="s">
        <v>22</v>
      </c>
      <c r="H447" s="46"/>
      <c r="I447" s="51"/>
      <c r="J447" s="51"/>
      <c r="K447" s="51">
        <f t="shared" si="89"/>
        <v>0</v>
      </c>
      <c r="L447" s="51"/>
      <c r="M447" s="51"/>
      <c r="N447" s="51">
        <f t="shared" si="88"/>
        <v>0</v>
      </c>
      <c r="O447" s="51"/>
      <c r="P447" s="179" t="s">
        <v>1532</v>
      </c>
      <c r="Q447" s="179" t="s">
        <v>1368</v>
      </c>
      <c r="R447" s="179" t="s">
        <v>2131</v>
      </c>
      <c r="S447" s="47" t="s">
        <v>1392</v>
      </c>
      <c r="T447" s="54"/>
      <c r="U447" s="54"/>
      <c r="AA447">
        <f t="shared" si="79"/>
        <v>3508</v>
      </c>
      <c r="AD447" t="str">
        <f t="shared" si="80"/>
        <v>306</v>
      </c>
      <c r="AE447">
        <f t="shared" si="81"/>
        <v>0</v>
      </c>
      <c r="AG447" s="50" t="str">
        <f t="shared" si="82"/>
        <v>BÂTIMENT EGLISE FRAIS DU PERSONNEL</v>
      </c>
      <c r="AH447" s="244" t="str">
        <f t="shared" si="83"/>
        <v>35000</v>
      </c>
      <c r="AI447" s="219"/>
      <c r="AJ447" s="219"/>
      <c r="AK447" s="219" t="str">
        <f t="shared" si="84"/>
        <v>3090</v>
      </c>
      <c r="AL447" s="244" t="str">
        <f t="shared" si="85"/>
        <v>00</v>
      </c>
      <c r="AN447" s="219" t="str">
        <f t="shared" si="86"/>
        <v>Formation et perfectionnement</v>
      </c>
    </row>
    <row r="448" spans="1:40" ht="15" customHeight="1" x14ac:dyDescent="0.3">
      <c r="A448" s="48"/>
      <c r="B448" s="77" t="s">
        <v>692</v>
      </c>
      <c r="C448" s="78" t="s">
        <v>693</v>
      </c>
      <c r="D448" s="182" t="s">
        <v>1459</v>
      </c>
      <c r="E448" s="46"/>
      <c r="F448" s="46">
        <v>3508</v>
      </c>
      <c r="G448" s="46" t="s">
        <v>22</v>
      </c>
      <c r="H448" s="46"/>
      <c r="I448" s="51"/>
      <c r="J448" s="51"/>
      <c r="K448" s="51">
        <f t="shared" si="89"/>
        <v>0</v>
      </c>
      <c r="L448" s="51"/>
      <c r="M448" s="51"/>
      <c r="N448" s="51">
        <f t="shared" si="88"/>
        <v>0</v>
      </c>
      <c r="O448" s="51"/>
      <c r="P448" s="179" t="s">
        <v>1532</v>
      </c>
      <c r="Q448" s="179" t="s">
        <v>1540</v>
      </c>
      <c r="R448" s="179" t="s">
        <v>2131</v>
      </c>
      <c r="S448" s="47" t="s">
        <v>1543</v>
      </c>
      <c r="T448" s="54"/>
      <c r="U448" s="54"/>
      <c r="AA448">
        <f t="shared" si="79"/>
        <v>3508</v>
      </c>
      <c r="AD448" t="str">
        <f t="shared" si="80"/>
        <v>306</v>
      </c>
      <c r="AE448">
        <f t="shared" si="81"/>
        <v>0</v>
      </c>
      <c r="AG448" s="50" t="str">
        <f t="shared" si="82"/>
        <v>BÂTIMENT EGLISE FRAIS DU PERSONNEL</v>
      </c>
      <c r="AH448" s="244" t="str">
        <f t="shared" si="83"/>
        <v>35000</v>
      </c>
      <c r="AI448" s="219"/>
      <c r="AJ448" s="219"/>
      <c r="AK448" s="219" t="str">
        <f t="shared" si="84"/>
        <v>3091</v>
      </c>
      <c r="AL448" s="244" t="str">
        <f t="shared" si="85"/>
        <v>00</v>
      </c>
      <c r="AN448" s="219" t="str">
        <f t="shared" si="86"/>
        <v>Recrutement</v>
      </c>
    </row>
    <row r="449" spans="1:40" ht="15" customHeight="1" x14ac:dyDescent="0.3">
      <c r="A449" s="48">
        <v>0</v>
      </c>
      <c r="B449" s="49" t="s">
        <v>694</v>
      </c>
      <c r="C449" s="50" t="s">
        <v>695</v>
      </c>
      <c r="D449" s="46" t="s">
        <v>1459</v>
      </c>
      <c r="E449" s="46" t="s">
        <v>683</v>
      </c>
      <c r="F449" s="46">
        <v>3508</v>
      </c>
      <c r="G449" s="46" t="s">
        <v>25</v>
      </c>
      <c r="H449" s="46"/>
      <c r="I449" s="51">
        <v>0</v>
      </c>
      <c r="J449" s="51">
        <v>0</v>
      </c>
      <c r="K449" s="51">
        <f t="shared" si="89"/>
        <v>0</v>
      </c>
      <c r="L449" s="51">
        <v>500</v>
      </c>
      <c r="M449" s="51">
        <v>0</v>
      </c>
      <c r="N449" s="51">
        <f t="shared" si="88"/>
        <v>500</v>
      </c>
      <c r="O449" s="51">
        <v>0</v>
      </c>
      <c r="P449" s="179" t="s">
        <v>1532</v>
      </c>
      <c r="Q449" s="179" t="s">
        <v>1831</v>
      </c>
      <c r="R449" s="179" t="s">
        <v>2131</v>
      </c>
      <c r="S449" s="4" t="s">
        <v>2269</v>
      </c>
      <c r="T449" s="54"/>
      <c r="U449" s="54"/>
      <c r="AA449">
        <f t="shared" si="79"/>
        <v>3508</v>
      </c>
      <c r="AD449" t="str">
        <f t="shared" si="80"/>
        <v>311</v>
      </c>
      <c r="AE449">
        <f t="shared" si="81"/>
        <v>0</v>
      </c>
      <c r="AG449" s="50" t="str">
        <f t="shared" si="82"/>
        <v>BÂTIMENT EGLISE  ACHATS MOBILIER MACH. MATERIEL</v>
      </c>
      <c r="AH449" s="244" t="str">
        <f t="shared" si="83"/>
        <v>35000</v>
      </c>
      <c r="AI449" s="219"/>
      <c r="AJ449" s="219"/>
      <c r="AK449" s="219" t="str">
        <f t="shared" si="84"/>
        <v>3110</v>
      </c>
      <c r="AL449" s="244" t="str">
        <f t="shared" si="85"/>
        <v>00</v>
      </c>
      <c r="AN449" s="219" t="str">
        <f t="shared" si="86"/>
        <v>Meubles et appareils de bureau PA | Eglise |</v>
      </c>
    </row>
    <row r="450" spans="1:40" ht="15" customHeight="1" x14ac:dyDescent="0.3">
      <c r="A450" s="48">
        <v>0</v>
      </c>
      <c r="B450" s="49" t="s">
        <v>696</v>
      </c>
      <c r="C450" s="50" t="s">
        <v>697</v>
      </c>
      <c r="D450" s="46" t="s">
        <v>1459</v>
      </c>
      <c r="E450" s="46" t="s">
        <v>683</v>
      </c>
      <c r="F450" s="46">
        <v>3508</v>
      </c>
      <c r="G450" s="46" t="s">
        <v>159</v>
      </c>
      <c r="H450" s="46"/>
      <c r="I450" s="51">
        <v>3779.9</v>
      </c>
      <c r="J450" s="51">
        <v>0</v>
      </c>
      <c r="K450" s="51">
        <f t="shared" si="89"/>
        <v>3779.9</v>
      </c>
      <c r="L450" s="51">
        <v>7500</v>
      </c>
      <c r="M450" s="51">
        <v>0</v>
      </c>
      <c r="N450" s="51">
        <f t="shared" si="88"/>
        <v>7500</v>
      </c>
      <c r="O450" s="51">
        <v>2025.4</v>
      </c>
      <c r="P450" s="179" t="s">
        <v>1532</v>
      </c>
      <c r="Q450" s="179" t="s">
        <v>1500</v>
      </c>
      <c r="R450" s="179" t="s">
        <v>2132</v>
      </c>
      <c r="S450" s="55" t="s">
        <v>2264</v>
      </c>
      <c r="T450" s="54">
        <f>+I450</f>
        <v>3779.9</v>
      </c>
      <c r="U450" s="54"/>
      <c r="AA450">
        <f t="shared" si="79"/>
        <v>3508</v>
      </c>
      <c r="AD450" t="str">
        <f t="shared" si="80"/>
        <v>312</v>
      </c>
      <c r="AE450">
        <f t="shared" si="81"/>
        <v>0</v>
      </c>
      <c r="AG450" s="50" t="str">
        <f t="shared" si="82"/>
        <v>BÂTIMENT EGLISE  ACHATS ELECTRICITE COMBUSTIBLE</v>
      </c>
      <c r="AH450" s="244" t="str">
        <f t="shared" si="83"/>
        <v>35000</v>
      </c>
      <c r="AI450" s="219"/>
      <c r="AJ450" s="219"/>
      <c r="AK450" s="219" t="str">
        <f t="shared" si="84"/>
        <v>3120</v>
      </c>
      <c r="AL450" s="244" t="str">
        <f t="shared" si="85"/>
        <v>01</v>
      </c>
      <c r="AN450" s="219" t="str">
        <f t="shared" si="86"/>
        <v>Frais d'électricité PA | Eglise |</v>
      </c>
    </row>
    <row r="451" spans="1:40" ht="15" customHeight="1" x14ac:dyDescent="0.3">
      <c r="A451" s="48">
        <v>0</v>
      </c>
      <c r="B451" s="49" t="s">
        <v>698</v>
      </c>
      <c r="C451" s="50" t="s">
        <v>699</v>
      </c>
      <c r="D451" s="46" t="s">
        <v>1459</v>
      </c>
      <c r="E451" s="46" t="s">
        <v>683</v>
      </c>
      <c r="F451" s="46">
        <v>3508</v>
      </c>
      <c r="G451" s="46" t="s">
        <v>439</v>
      </c>
      <c r="H451" s="46"/>
      <c r="I451" s="51">
        <v>0</v>
      </c>
      <c r="J451" s="51">
        <v>0</v>
      </c>
      <c r="K451" s="51">
        <f t="shared" si="89"/>
        <v>0</v>
      </c>
      <c r="L451" s="51">
        <v>800</v>
      </c>
      <c r="M451" s="51">
        <v>0</v>
      </c>
      <c r="N451" s="51">
        <f t="shared" si="88"/>
        <v>800</v>
      </c>
      <c r="O451" s="51">
        <v>0</v>
      </c>
      <c r="P451" s="179" t="s">
        <v>1532</v>
      </c>
      <c r="Q451" s="179" t="s">
        <v>1426</v>
      </c>
      <c r="R451" s="179" t="s">
        <v>2131</v>
      </c>
      <c r="S451" s="4" t="s">
        <v>2265</v>
      </c>
      <c r="T451" s="54"/>
      <c r="U451" s="54"/>
      <c r="AA451">
        <f t="shared" si="79"/>
        <v>3508</v>
      </c>
      <c r="AD451" t="str">
        <f t="shared" si="80"/>
        <v>313</v>
      </c>
      <c r="AE451">
        <f t="shared" si="81"/>
        <v>0</v>
      </c>
      <c r="AG451" s="50" t="str">
        <f t="shared" si="82"/>
        <v>BÂTIMENT EGLISE  ACHATS MARCH  PROD ENT</v>
      </c>
      <c r="AH451" s="244" t="str">
        <f t="shared" si="83"/>
        <v>35000</v>
      </c>
      <c r="AI451" s="219"/>
      <c r="AJ451" s="219"/>
      <c r="AK451" s="219" t="str">
        <f t="shared" si="84"/>
        <v>3101</v>
      </c>
      <c r="AL451" s="244" t="str">
        <f t="shared" si="85"/>
        <v>00</v>
      </c>
      <c r="AN451" s="219" t="str">
        <f t="shared" si="86"/>
        <v>Matériel d'exploitation, petites fournitures PA | Eglise |</v>
      </c>
    </row>
    <row r="452" spans="1:40" ht="15" customHeight="1" x14ac:dyDescent="0.3">
      <c r="A452" s="48">
        <v>0</v>
      </c>
      <c r="B452" s="74" t="s">
        <v>700</v>
      </c>
      <c r="C452" s="67" t="s">
        <v>701</v>
      </c>
      <c r="D452" s="188" t="s">
        <v>1459</v>
      </c>
      <c r="E452" s="188" t="s">
        <v>683</v>
      </c>
      <c r="F452" s="46">
        <v>3508</v>
      </c>
      <c r="G452" s="188" t="s">
        <v>131</v>
      </c>
      <c r="H452" s="188"/>
      <c r="I452" s="51">
        <v>2741.45</v>
      </c>
      <c r="J452" s="51">
        <v>0</v>
      </c>
      <c r="K452" s="51">
        <f t="shared" si="89"/>
        <v>2741.45</v>
      </c>
      <c r="L452" s="51">
        <v>2000</v>
      </c>
      <c r="M452" s="51">
        <v>0</v>
      </c>
      <c r="N452" s="51">
        <f t="shared" si="88"/>
        <v>2000</v>
      </c>
      <c r="O452" s="51">
        <v>0</v>
      </c>
      <c r="P452" s="179" t="s">
        <v>1532</v>
      </c>
      <c r="Q452" s="179" t="s">
        <v>1678</v>
      </c>
      <c r="R452" s="179" t="s">
        <v>2131</v>
      </c>
      <c r="S452" s="55" t="s">
        <v>2266</v>
      </c>
      <c r="T452" s="54">
        <f>+I452</f>
        <v>2741.45</v>
      </c>
      <c r="U452" s="54"/>
      <c r="AA452">
        <f t="shared" ref="AA452:AA515" si="90">+F452</f>
        <v>3508</v>
      </c>
      <c r="AD452" t="str">
        <f t="shared" ref="AD452:AD515" si="91">+G452</f>
        <v>314</v>
      </c>
      <c r="AE452">
        <f t="shared" ref="AE452:AE515" si="92">+H452</f>
        <v>0</v>
      </c>
      <c r="AG452" s="50" t="str">
        <f t="shared" ref="AG452:AG515" si="93">+C452</f>
        <v>BÂTIMENT EGLISE  ENTRETIEN BÂTIMENT</v>
      </c>
      <c r="AH452" s="244" t="str">
        <f t="shared" ref="AH452:AH515" si="94">+P452</f>
        <v>35000</v>
      </c>
      <c r="AI452" s="219"/>
      <c r="AJ452" s="219"/>
      <c r="AK452" s="219" t="str">
        <f t="shared" ref="AK452:AK515" si="95">+Q452</f>
        <v>3144</v>
      </c>
      <c r="AL452" s="244" t="str">
        <f t="shared" ref="AL452:AL515" si="96">+R452</f>
        <v>00</v>
      </c>
      <c r="AN452" s="219" t="str">
        <f t="shared" ref="AN452:AN515" si="97">+S452</f>
        <v>Entretien des bâtiments, immeubles PA | Eglise |</v>
      </c>
    </row>
    <row r="453" spans="1:40" ht="15" customHeight="1" x14ac:dyDescent="0.3">
      <c r="A453" s="48"/>
      <c r="B453" s="74" t="s">
        <v>700</v>
      </c>
      <c r="C453" s="67" t="s">
        <v>701</v>
      </c>
      <c r="D453" s="188" t="s">
        <v>1459</v>
      </c>
      <c r="E453" s="188" t="s">
        <v>683</v>
      </c>
      <c r="F453" s="46">
        <v>3508</v>
      </c>
      <c r="G453" s="188" t="s">
        <v>131</v>
      </c>
      <c r="H453" s="188"/>
      <c r="I453" s="51"/>
      <c r="J453" s="51"/>
      <c r="K453" s="51">
        <f t="shared" si="89"/>
        <v>0</v>
      </c>
      <c r="L453" s="51"/>
      <c r="M453" s="51"/>
      <c r="N453" s="51">
        <f t="shared" si="88"/>
        <v>0</v>
      </c>
      <c r="O453" s="51"/>
      <c r="P453" s="179" t="s">
        <v>1532</v>
      </c>
      <c r="Q453" s="179" t="s">
        <v>1500</v>
      </c>
      <c r="R453" s="179" t="s">
        <v>2131</v>
      </c>
      <c r="S453" s="55" t="s">
        <v>2267</v>
      </c>
      <c r="T453" s="54"/>
      <c r="U453" s="54"/>
      <c r="AA453">
        <f t="shared" si="90"/>
        <v>3508</v>
      </c>
      <c r="AD453" t="str">
        <f t="shared" si="91"/>
        <v>314</v>
      </c>
      <c r="AE453">
        <f t="shared" si="92"/>
        <v>0</v>
      </c>
      <c r="AG453" s="50" t="str">
        <f t="shared" si="93"/>
        <v>BÂTIMENT EGLISE  ENTRETIEN BÂTIMENT</v>
      </c>
      <c r="AH453" s="244" t="str">
        <f t="shared" si="94"/>
        <v>35000</v>
      </c>
      <c r="AI453" s="219"/>
      <c r="AJ453" s="219"/>
      <c r="AK453" s="219" t="str">
        <f t="shared" si="95"/>
        <v>3120</v>
      </c>
      <c r="AL453" s="244" t="str">
        <f t="shared" si="96"/>
        <v>00</v>
      </c>
      <c r="AN453" s="219" t="str">
        <f t="shared" si="97"/>
        <v>Frais de chauffage PA | Eglise |</v>
      </c>
    </row>
    <row r="454" spans="1:40" ht="15" customHeight="1" x14ac:dyDescent="0.3">
      <c r="A454" s="48"/>
      <c r="B454" s="74" t="s">
        <v>700</v>
      </c>
      <c r="C454" s="67" t="s">
        <v>701</v>
      </c>
      <c r="D454" s="188" t="s">
        <v>1459</v>
      </c>
      <c r="E454" s="188" t="s">
        <v>683</v>
      </c>
      <c r="F454" s="46">
        <v>3508</v>
      </c>
      <c r="G454" s="188" t="s">
        <v>131</v>
      </c>
      <c r="H454" s="188"/>
      <c r="I454" s="51"/>
      <c r="J454" s="51"/>
      <c r="K454" s="51">
        <f t="shared" si="89"/>
        <v>0</v>
      </c>
      <c r="L454" s="51"/>
      <c r="M454" s="51"/>
      <c r="N454" s="51">
        <f t="shared" si="88"/>
        <v>0</v>
      </c>
      <c r="O454" s="51"/>
      <c r="P454" s="179" t="s">
        <v>1532</v>
      </c>
      <c r="Q454" s="179" t="s">
        <v>1500</v>
      </c>
      <c r="R454" s="179" t="s">
        <v>2133</v>
      </c>
      <c r="S454" s="55" t="s">
        <v>2268</v>
      </c>
      <c r="T454" s="54"/>
      <c r="U454" s="54"/>
      <c r="AA454">
        <f t="shared" si="90"/>
        <v>3508</v>
      </c>
      <c r="AD454" t="str">
        <f t="shared" si="91"/>
        <v>314</v>
      </c>
      <c r="AE454">
        <f t="shared" si="92"/>
        <v>0</v>
      </c>
      <c r="AG454" s="50" t="str">
        <f t="shared" si="93"/>
        <v>BÂTIMENT EGLISE  ENTRETIEN BÂTIMENT</v>
      </c>
      <c r="AH454" s="244" t="str">
        <f t="shared" si="94"/>
        <v>35000</v>
      </c>
      <c r="AI454" s="219"/>
      <c r="AJ454" s="219"/>
      <c r="AK454" s="219" t="str">
        <f t="shared" si="95"/>
        <v>3120</v>
      </c>
      <c r="AL454" s="244" t="str">
        <f t="shared" si="96"/>
        <v>02</v>
      </c>
      <c r="AN454" s="219" t="str">
        <f t="shared" si="97"/>
        <v>Frais d'eau PA | Eglise |</v>
      </c>
    </row>
    <row r="455" spans="1:40" ht="15" customHeight="1" x14ac:dyDescent="0.3">
      <c r="A455" s="48"/>
      <c r="B455" s="74" t="s">
        <v>700</v>
      </c>
      <c r="C455" s="67" t="s">
        <v>701</v>
      </c>
      <c r="D455" s="188" t="s">
        <v>1459</v>
      </c>
      <c r="E455" s="188" t="s">
        <v>683</v>
      </c>
      <c r="F455" s="46">
        <v>3508</v>
      </c>
      <c r="G455" s="188" t="s">
        <v>131</v>
      </c>
      <c r="H455" s="188"/>
      <c r="I455" s="51"/>
      <c r="J455" s="51"/>
      <c r="K455" s="51">
        <f t="shared" si="89"/>
        <v>0</v>
      </c>
      <c r="L455" s="51"/>
      <c r="M455" s="51"/>
      <c r="N455" s="51">
        <f t="shared" si="88"/>
        <v>0</v>
      </c>
      <c r="O455" s="51"/>
      <c r="P455" s="179" t="s">
        <v>1532</v>
      </c>
      <c r="Q455" s="179" t="s">
        <v>1426</v>
      </c>
      <c r="R455" s="179" t="s">
        <v>2131</v>
      </c>
      <c r="S455" s="55" t="s">
        <v>2265</v>
      </c>
      <c r="T455" s="54"/>
      <c r="U455" s="54"/>
      <c r="AA455">
        <f t="shared" si="90"/>
        <v>3508</v>
      </c>
      <c r="AD455" t="str">
        <f t="shared" si="91"/>
        <v>314</v>
      </c>
      <c r="AE455">
        <f t="shared" si="92"/>
        <v>0</v>
      </c>
      <c r="AG455" s="50" t="str">
        <f t="shared" si="93"/>
        <v>BÂTIMENT EGLISE  ENTRETIEN BÂTIMENT</v>
      </c>
      <c r="AH455" s="244" t="str">
        <f t="shared" si="94"/>
        <v>35000</v>
      </c>
      <c r="AI455" s="219"/>
      <c r="AJ455" s="219"/>
      <c r="AK455" s="219" t="str">
        <f t="shared" si="95"/>
        <v>3101</v>
      </c>
      <c r="AL455" s="244" t="str">
        <f t="shared" si="96"/>
        <v>00</v>
      </c>
      <c r="AN455" s="219" t="str">
        <f t="shared" si="97"/>
        <v>Matériel d'exploitation, petites fournitures PA | Eglise |</v>
      </c>
    </row>
    <row r="456" spans="1:40" ht="15" customHeight="1" x14ac:dyDescent="0.3">
      <c r="A456" s="48"/>
      <c r="B456" s="74" t="s">
        <v>700</v>
      </c>
      <c r="C456" s="67" t="s">
        <v>701</v>
      </c>
      <c r="D456" s="188" t="s">
        <v>1459</v>
      </c>
      <c r="E456" s="188" t="s">
        <v>683</v>
      </c>
      <c r="F456" s="46">
        <v>3508</v>
      </c>
      <c r="G456" s="188" t="s">
        <v>131</v>
      </c>
      <c r="H456" s="188"/>
      <c r="I456" s="51"/>
      <c r="J456" s="51"/>
      <c r="K456" s="51">
        <f t="shared" si="89"/>
        <v>0</v>
      </c>
      <c r="L456" s="51"/>
      <c r="M456" s="51"/>
      <c r="N456" s="51">
        <f t="shared" si="88"/>
        <v>0</v>
      </c>
      <c r="O456" s="51"/>
      <c r="P456" s="179" t="s">
        <v>1532</v>
      </c>
      <c r="Q456" s="179" t="s">
        <v>1831</v>
      </c>
      <c r="R456" s="179" t="s">
        <v>2131</v>
      </c>
      <c r="S456" s="55" t="s">
        <v>2269</v>
      </c>
      <c r="T456" s="54"/>
      <c r="U456" s="54"/>
      <c r="AA456">
        <f t="shared" si="90"/>
        <v>3508</v>
      </c>
      <c r="AD456" t="str">
        <f t="shared" si="91"/>
        <v>314</v>
      </c>
      <c r="AE456">
        <f t="shared" si="92"/>
        <v>0</v>
      </c>
      <c r="AG456" s="50" t="str">
        <f t="shared" si="93"/>
        <v>BÂTIMENT EGLISE  ENTRETIEN BÂTIMENT</v>
      </c>
      <c r="AH456" s="244" t="str">
        <f t="shared" si="94"/>
        <v>35000</v>
      </c>
      <c r="AI456" s="219"/>
      <c r="AJ456" s="219"/>
      <c r="AK456" s="219" t="str">
        <f t="shared" si="95"/>
        <v>3110</v>
      </c>
      <c r="AL456" s="244" t="str">
        <f t="shared" si="96"/>
        <v>00</v>
      </c>
      <c r="AN456" s="219" t="str">
        <f t="shared" si="97"/>
        <v>Meubles et appareils de bureau PA | Eglise |</v>
      </c>
    </row>
    <row r="457" spans="1:40" ht="15" customHeight="1" x14ac:dyDescent="0.3">
      <c r="A457" s="48"/>
      <c r="B457" s="74" t="s">
        <v>700</v>
      </c>
      <c r="C457" s="67" t="s">
        <v>701</v>
      </c>
      <c r="D457" s="188" t="s">
        <v>1459</v>
      </c>
      <c r="E457" s="188" t="s">
        <v>683</v>
      </c>
      <c r="F457" s="46">
        <v>3508</v>
      </c>
      <c r="G457" s="188" t="s">
        <v>131</v>
      </c>
      <c r="H457" s="188"/>
      <c r="I457" s="51"/>
      <c r="J457" s="51"/>
      <c r="K457" s="51">
        <f t="shared" ref="K457:K466" si="98">+I457+J457</f>
        <v>0</v>
      </c>
      <c r="L457" s="51"/>
      <c r="M457" s="51"/>
      <c r="N457" s="51">
        <f t="shared" si="88"/>
        <v>0</v>
      </c>
      <c r="O457" s="51"/>
      <c r="P457" s="179" t="s">
        <v>1532</v>
      </c>
      <c r="Q457" s="179" t="s">
        <v>1493</v>
      </c>
      <c r="R457" s="179" t="s">
        <v>2131</v>
      </c>
      <c r="S457" s="55" t="s">
        <v>2270</v>
      </c>
      <c r="T457" s="54"/>
      <c r="U457" s="54"/>
      <c r="AA457">
        <f t="shared" si="90"/>
        <v>3508</v>
      </c>
      <c r="AD457" t="str">
        <f t="shared" si="91"/>
        <v>314</v>
      </c>
      <c r="AE457">
        <f t="shared" si="92"/>
        <v>0</v>
      </c>
      <c r="AG457" s="50" t="str">
        <f t="shared" si="93"/>
        <v>BÂTIMENT EGLISE  ENTRETIEN BÂTIMENT</v>
      </c>
      <c r="AH457" s="244" t="str">
        <f t="shared" si="94"/>
        <v>35000</v>
      </c>
      <c r="AI457" s="219"/>
      <c r="AJ457" s="219"/>
      <c r="AK457" s="219" t="str">
        <f t="shared" si="95"/>
        <v>3111</v>
      </c>
      <c r="AL457" s="244" t="str">
        <f t="shared" si="96"/>
        <v>00</v>
      </c>
      <c r="AN457" s="219" t="str">
        <f t="shared" si="97"/>
        <v>Machines, appareils PA | Eglise |</v>
      </c>
    </row>
    <row r="458" spans="1:40" ht="15" customHeight="1" x14ac:dyDescent="0.3">
      <c r="A458" s="48">
        <v>0</v>
      </c>
      <c r="B458" s="49" t="s">
        <v>702</v>
      </c>
      <c r="C458" s="50" t="s">
        <v>703</v>
      </c>
      <c r="D458" s="46" t="s">
        <v>1459</v>
      </c>
      <c r="E458" s="46" t="s">
        <v>683</v>
      </c>
      <c r="F458" s="46">
        <v>3508</v>
      </c>
      <c r="G458" s="46" t="s">
        <v>131</v>
      </c>
      <c r="H458" s="46">
        <v>1</v>
      </c>
      <c r="I458" s="51">
        <v>0</v>
      </c>
      <c r="J458" s="51">
        <v>0</v>
      </c>
      <c r="K458" s="51">
        <f t="shared" si="98"/>
        <v>0</v>
      </c>
      <c r="L458" s="51">
        <v>300</v>
      </c>
      <c r="M458" s="51">
        <v>0</v>
      </c>
      <c r="N458" s="51">
        <f t="shared" si="88"/>
        <v>300</v>
      </c>
      <c r="O458" s="51">
        <v>0</v>
      </c>
      <c r="P458" s="179" t="s">
        <v>1532</v>
      </c>
      <c r="Q458" s="179" t="s">
        <v>1678</v>
      </c>
      <c r="R458" s="179" t="s">
        <v>2131</v>
      </c>
      <c r="S458" s="55" t="s">
        <v>2266</v>
      </c>
      <c r="T458" s="54"/>
      <c r="U458" s="54"/>
      <c r="AA458">
        <f t="shared" si="90"/>
        <v>3508</v>
      </c>
      <c r="AD458" t="str">
        <f t="shared" si="91"/>
        <v>314</v>
      </c>
      <c r="AE458">
        <f t="shared" si="92"/>
        <v>1</v>
      </c>
      <c r="AG458" s="50" t="str">
        <f t="shared" si="93"/>
        <v>BÂTIMENT EGLISE  CONTRATS ENTRETIEN</v>
      </c>
      <c r="AH458" s="244" t="str">
        <f t="shared" si="94"/>
        <v>35000</v>
      </c>
      <c r="AI458" s="219"/>
      <c r="AJ458" s="219"/>
      <c r="AK458" s="219" t="str">
        <f t="shared" si="95"/>
        <v>3144</v>
      </c>
      <c r="AL458" s="244" t="str">
        <f t="shared" si="96"/>
        <v>00</v>
      </c>
      <c r="AN458" s="219" t="str">
        <f t="shared" si="97"/>
        <v>Entretien des bâtiments, immeubles PA | Eglise |</v>
      </c>
    </row>
    <row r="459" spans="1:40" ht="15" customHeight="1" x14ac:dyDescent="0.3">
      <c r="A459" s="48">
        <v>0</v>
      </c>
      <c r="B459" s="49" t="s">
        <v>704</v>
      </c>
      <c r="C459" s="50" t="s">
        <v>705</v>
      </c>
      <c r="D459" s="46" t="s">
        <v>1459</v>
      </c>
      <c r="E459" s="46" t="s">
        <v>683</v>
      </c>
      <c r="F459" s="46">
        <v>3508</v>
      </c>
      <c r="G459" s="46" t="s">
        <v>123</v>
      </c>
      <c r="H459" s="46"/>
      <c r="I459" s="51">
        <v>877.45</v>
      </c>
      <c r="J459" s="51">
        <v>0</v>
      </c>
      <c r="K459" s="51">
        <f t="shared" si="98"/>
        <v>877.45</v>
      </c>
      <c r="L459" s="51">
        <v>1500</v>
      </c>
      <c r="M459" s="51">
        <v>0</v>
      </c>
      <c r="N459" s="51">
        <f t="shared" si="88"/>
        <v>1500</v>
      </c>
      <c r="O459" s="51">
        <v>258.60000000000002</v>
      </c>
      <c r="P459" s="179" t="s">
        <v>1532</v>
      </c>
      <c r="Q459" s="179" t="s">
        <v>1678</v>
      </c>
      <c r="R459" s="179" t="s">
        <v>2131</v>
      </c>
      <c r="S459" s="55" t="s">
        <v>2266</v>
      </c>
      <c r="T459" s="54">
        <f>+I459</f>
        <v>877.45</v>
      </c>
      <c r="U459" s="54"/>
      <c r="AA459">
        <f t="shared" si="90"/>
        <v>3508</v>
      </c>
      <c r="AD459" t="str">
        <f t="shared" si="91"/>
        <v>315</v>
      </c>
      <c r="AE459">
        <f t="shared" si="92"/>
        <v>0</v>
      </c>
      <c r="AG459" s="50" t="str">
        <f t="shared" si="93"/>
        <v>BÂTIMENT EGLISE  ENT MOB et INST TECH</v>
      </c>
      <c r="AH459" s="244" t="str">
        <f t="shared" si="94"/>
        <v>35000</v>
      </c>
      <c r="AI459" s="219"/>
      <c r="AJ459" s="219"/>
      <c r="AK459" s="219" t="str">
        <f t="shared" si="95"/>
        <v>3144</v>
      </c>
      <c r="AL459" s="244" t="str">
        <f t="shared" si="96"/>
        <v>00</v>
      </c>
      <c r="AN459" s="219" t="str">
        <f t="shared" si="97"/>
        <v>Entretien des bâtiments, immeubles PA | Eglise |</v>
      </c>
    </row>
    <row r="460" spans="1:40" ht="15" customHeight="1" x14ac:dyDescent="0.3">
      <c r="A460" s="48">
        <v>0</v>
      </c>
      <c r="B460" s="49" t="s">
        <v>706</v>
      </c>
      <c r="C460" s="50" t="s">
        <v>707</v>
      </c>
      <c r="D460" s="46" t="s">
        <v>1459</v>
      </c>
      <c r="E460" s="46" t="s">
        <v>683</v>
      </c>
      <c r="F460" s="46">
        <v>3508</v>
      </c>
      <c r="G460" s="46" t="s">
        <v>123</v>
      </c>
      <c r="H460" s="46">
        <v>1</v>
      </c>
      <c r="I460" s="51">
        <v>0</v>
      </c>
      <c r="J460" s="51">
        <v>0</v>
      </c>
      <c r="K460" s="51">
        <f t="shared" si="98"/>
        <v>0</v>
      </c>
      <c r="L460" s="51">
        <v>850</v>
      </c>
      <c r="M460" s="51">
        <v>0</v>
      </c>
      <c r="N460" s="51">
        <f t="shared" ref="N460:N495" si="99">+L460+M460</f>
        <v>850</v>
      </c>
      <c r="O460" s="51">
        <v>373.8</v>
      </c>
      <c r="P460" s="179" t="s">
        <v>1532</v>
      </c>
      <c r="Q460" s="179" t="s">
        <v>1678</v>
      </c>
      <c r="R460" s="179" t="s">
        <v>2131</v>
      </c>
      <c r="S460" s="55" t="s">
        <v>2266</v>
      </c>
      <c r="T460" s="54"/>
      <c r="U460" s="54"/>
      <c r="AA460">
        <f t="shared" si="90"/>
        <v>3508</v>
      </c>
      <c r="AD460" t="str">
        <f t="shared" si="91"/>
        <v>315</v>
      </c>
      <c r="AE460">
        <f t="shared" si="92"/>
        <v>1</v>
      </c>
      <c r="AG460" s="50" t="str">
        <f t="shared" si="93"/>
        <v>BÂTIMENT EGLISE  CONTRAT ENT INST TECH</v>
      </c>
      <c r="AH460" s="244" t="str">
        <f t="shared" si="94"/>
        <v>35000</v>
      </c>
      <c r="AI460" s="219"/>
      <c r="AJ460" s="219"/>
      <c r="AK460" s="219" t="str">
        <f t="shared" si="95"/>
        <v>3144</v>
      </c>
      <c r="AL460" s="244" t="str">
        <f t="shared" si="96"/>
        <v>00</v>
      </c>
      <c r="AN460" s="219" t="str">
        <f t="shared" si="97"/>
        <v>Entretien des bâtiments, immeubles PA | Eglise |</v>
      </c>
    </row>
    <row r="461" spans="1:40" ht="15" customHeight="1" x14ac:dyDescent="0.3">
      <c r="A461" s="48">
        <v>0</v>
      </c>
      <c r="B461" s="49" t="s">
        <v>708</v>
      </c>
      <c r="C461" s="50" t="s">
        <v>709</v>
      </c>
      <c r="D461" s="46" t="s">
        <v>1459</v>
      </c>
      <c r="E461" s="46" t="s">
        <v>683</v>
      </c>
      <c r="F461" s="46">
        <v>3508</v>
      </c>
      <c r="G461" s="46" t="s">
        <v>48</v>
      </c>
      <c r="H461" s="46"/>
      <c r="I461" s="51">
        <v>1319.5</v>
      </c>
      <c r="J461" s="51">
        <v>0</v>
      </c>
      <c r="K461" s="51">
        <f t="shared" si="98"/>
        <v>1319.5</v>
      </c>
      <c r="L461" s="51">
        <v>1600</v>
      </c>
      <c r="M461" s="51">
        <v>0</v>
      </c>
      <c r="N461" s="51">
        <f t="shared" si="99"/>
        <v>1600</v>
      </c>
      <c r="O461" s="51">
        <v>1333.35</v>
      </c>
      <c r="P461" s="179" t="s">
        <v>1532</v>
      </c>
      <c r="Q461" s="179" t="s">
        <v>1418</v>
      </c>
      <c r="R461" s="179" t="s">
        <v>2131</v>
      </c>
      <c r="S461" s="55" t="s">
        <v>2271</v>
      </c>
      <c r="T461" s="54">
        <f>+I461</f>
        <v>1319.5</v>
      </c>
      <c r="U461" s="54"/>
      <c r="AA461">
        <f t="shared" si="90"/>
        <v>3508</v>
      </c>
      <c r="AD461" t="str">
        <f t="shared" si="91"/>
        <v>318</v>
      </c>
      <c r="AE461">
        <f t="shared" si="92"/>
        <v>0</v>
      </c>
      <c r="AG461" s="50" t="str">
        <f t="shared" si="93"/>
        <v>BÂTIMENT EGLISE  PREST SERVICES ASS et HONORAIRES</v>
      </c>
      <c r="AH461" s="244" t="str">
        <f t="shared" si="94"/>
        <v>35000</v>
      </c>
      <c r="AI461" s="219"/>
      <c r="AJ461" s="219"/>
      <c r="AK461" s="219" t="str">
        <f t="shared" si="95"/>
        <v>3134</v>
      </c>
      <c r="AL461" s="244" t="str">
        <f t="shared" si="96"/>
        <v>00</v>
      </c>
      <c r="AN461" s="219" t="str">
        <f t="shared" si="97"/>
        <v>Frais Assurances  PA | Eglise |</v>
      </c>
    </row>
    <row r="462" spans="1:40" ht="15" customHeight="1" x14ac:dyDescent="0.3">
      <c r="A462" s="48">
        <v>0</v>
      </c>
      <c r="B462" s="49" t="s">
        <v>710</v>
      </c>
      <c r="C462" s="50" t="s">
        <v>711</v>
      </c>
      <c r="D462" s="46" t="s">
        <v>1459</v>
      </c>
      <c r="E462" s="46" t="s">
        <v>683</v>
      </c>
      <c r="F462" s="46">
        <v>3508</v>
      </c>
      <c r="G462" s="46" t="s">
        <v>96</v>
      </c>
      <c r="H462" s="46"/>
      <c r="I462" s="51">
        <v>0</v>
      </c>
      <c r="J462" s="51">
        <v>0</v>
      </c>
      <c r="K462" s="51">
        <f t="shared" si="98"/>
        <v>0</v>
      </c>
      <c r="L462" s="51">
        <v>0</v>
      </c>
      <c r="M462" s="51">
        <v>0</v>
      </c>
      <c r="N462" s="51">
        <f t="shared" si="99"/>
        <v>0</v>
      </c>
      <c r="O462" s="51">
        <v>0</v>
      </c>
      <c r="P462" s="179" t="s">
        <v>1489</v>
      </c>
      <c r="Q462" s="179" t="s">
        <v>1489</v>
      </c>
      <c r="R462" s="179" t="s">
        <v>1489</v>
      </c>
      <c r="S462" s="47" t="s">
        <v>1489</v>
      </c>
      <c r="T462" s="54"/>
      <c r="U462" s="54"/>
      <c r="AA462">
        <f t="shared" si="90"/>
        <v>3508</v>
      </c>
      <c r="AD462" t="str">
        <f t="shared" si="91"/>
        <v>332</v>
      </c>
      <c r="AE462">
        <f t="shared" si="92"/>
        <v>0</v>
      </c>
      <c r="AG462" s="50" t="str">
        <f t="shared" si="93"/>
        <v>BÂTIMENT EGLISE  AMORTISSEMENT SUPPL P ADM</v>
      </c>
      <c r="AH462" s="244" t="str">
        <f t="shared" si="94"/>
        <v>-</v>
      </c>
      <c r="AI462" s="219"/>
      <c r="AJ462" s="219"/>
      <c r="AK462" s="219" t="str">
        <f t="shared" si="95"/>
        <v>-</v>
      </c>
      <c r="AL462" s="244" t="str">
        <f t="shared" si="96"/>
        <v>-</v>
      </c>
      <c r="AN462" s="219" t="str">
        <f t="shared" si="97"/>
        <v>-</v>
      </c>
    </row>
    <row r="463" spans="1:40" ht="15" customHeight="1" x14ac:dyDescent="0.3">
      <c r="A463" s="48">
        <v>0</v>
      </c>
      <c r="B463" s="49" t="s">
        <v>712</v>
      </c>
      <c r="C463" s="50" t="s">
        <v>713</v>
      </c>
      <c r="D463" s="46" t="s">
        <v>1459</v>
      </c>
      <c r="E463" s="46" t="s">
        <v>683</v>
      </c>
      <c r="F463" s="46">
        <v>3508</v>
      </c>
      <c r="G463" s="46" t="s">
        <v>6</v>
      </c>
      <c r="H463" s="46"/>
      <c r="I463" s="51">
        <v>0</v>
      </c>
      <c r="J463" s="51">
        <v>0</v>
      </c>
      <c r="K463" s="51">
        <f t="shared" si="98"/>
        <v>0</v>
      </c>
      <c r="L463" s="51">
        <v>0</v>
      </c>
      <c r="M463" s="51">
        <v>0</v>
      </c>
      <c r="N463" s="51">
        <f t="shared" si="99"/>
        <v>0</v>
      </c>
      <c r="O463" s="51">
        <v>0</v>
      </c>
      <c r="P463" s="179" t="s">
        <v>1489</v>
      </c>
      <c r="Q463" s="179" t="s">
        <v>1489</v>
      </c>
      <c r="R463" s="179" t="s">
        <v>1489</v>
      </c>
      <c r="S463" s="47" t="s">
        <v>1489</v>
      </c>
      <c r="T463" s="54"/>
      <c r="U463" s="54"/>
      <c r="AA463">
        <f t="shared" si="90"/>
        <v>3508</v>
      </c>
      <c r="AD463" t="str">
        <f t="shared" si="91"/>
        <v>380</v>
      </c>
      <c r="AE463">
        <f t="shared" si="92"/>
        <v>0</v>
      </c>
      <c r="AG463" s="50" t="str">
        <f t="shared" si="93"/>
        <v>BÂTIMENT EGLISE  ATTRIB FONDS RENOVATION (9281.18 )</v>
      </c>
      <c r="AH463" s="244" t="str">
        <f t="shared" si="94"/>
        <v>-</v>
      </c>
      <c r="AI463" s="219"/>
      <c r="AJ463" s="219"/>
      <c r="AK463" s="219" t="str">
        <f t="shared" si="95"/>
        <v>-</v>
      </c>
      <c r="AL463" s="244" t="str">
        <f t="shared" si="96"/>
        <v>-</v>
      </c>
      <c r="AN463" s="219" t="str">
        <f t="shared" si="97"/>
        <v>-</v>
      </c>
    </row>
    <row r="464" spans="1:40" ht="15" customHeight="1" x14ac:dyDescent="0.3">
      <c r="A464" s="48">
        <v>0</v>
      </c>
      <c r="B464" s="49" t="s">
        <v>714</v>
      </c>
      <c r="C464" s="50" t="s">
        <v>715</v>
      </c>
      <c r="D464" s="46" t="s">
        <v>1459</v>
      </c>
      <c r="E464" s="46" t="s">
        <v>683</v>
      </c>
      <c r="F464" s="46">
        <v>3508</v>
      </c>
      <c r="G464" s="46" t="s">
        <v>28</v>
      </c>
      <c r="H464" s="46">
        <v>1</v>
      </c>
      <c r="I464" s="51">
        <v>0</v>
      </c>
      <c r="J464" s="51">
        <v>0</v>
      </c>
      <c r="K464" s="51">
        <f t="shared" si="98"/>
        <v>0</v>
      </c>
      <c r="L464" s="51">
        <v>0</v>
      </c>
      <c r="M464" s="51">
        <v>0</v>
      </c>
      <c r="N464" s="51">
        <f t="shared" si="99"/>
        <v>0</v>
      </c>
      <c r="O464" s="51">
        <v>0</v>
      </c>
      <c r="P464" s="179" t="s">
        <v>1489</v>
      </c>
      <c r="Q464" s="179" t="s">
        <v>1489</v>
      </c>
      <c r="R464" s="179" t="s">
        <v>1489</v>
      </c>
      <c r="S464" s="47" t="s">
        <v>1489</v>
      </c>
      <c r="T464" s="54"/>
      <c r="U464" s="54"/>
      <c r="AA464">
        <f t="shared" si="90"/>
        <v>3508</v>
      </c>
      <c r="AD464" t="str">
        <f t="shared" si="91"/>
        <v>390</v>
      </c>
      <c r="AE464">
        <f t="shared" si="92"/>
        <v>1</v>
      </c>
      <c r="AG464" s="50" t="str">
        <f t="shared" si="93"/>
        <v>BÂTIMENT EGLISE  IMPUTATIONS INT SALAIRES</v>
      </c>
      <c r="AH464" s="244" t="str">
        <f t="shared" si="94"/>
        <v>-</v>
      </c>
      <c r="AI464" s="219"/>
      <c r="AJ464" s="219"/>
      <c r="AK464" s="219" t="str">
        <f t="shared" si="95"/>
        <v>-</v>
      </c>
      <c r="AL464" s="244" t="str">
        <f t="shared" si="96"/>
        <v>-</v>
      </c>
      <c r="AN464" s="219" t="str">
        <f t="shared" si="97"/>
        <v>-</v>
      </c>
    </row>
    <row r="465" spans="1:40" ht="15" customHeight="1" x14ac:dyDescent="0.3">
      <c r="A465" s="48">
        <v>0</v>
      </c>
      <c r="B465" s="49" t="s">
        <v>716</v>
      </c>
      <c r="C465" s="50" t="s">
        <v>717</v>
      </c>
      <c r="D465" s="46" t="s">
        <v>1459</v>
      </c>
      <c r="E465" s="46" t="s">
        <v>683</v>
      </c>
      <c r="F465" s="46">
        <v>3508</v>
      </c>
      <c r="G465" s="46" t="s">
        <v>61</v>
      </c>
      <c r="H465" s="46"/>
      <c r="I465" s="51">
        <v>0</v>
      </c>
      <c r="J465" s="51">
        <v>0</v>
      </c>
      <c r="K465" s="51">
        <f t="shared" si="98"/>
        <v>0</v>
      </c>
      <c r="L465" s="51">
        <v>0</v>
      </c>
      <c r="M465" s="51">
        <v>0</v>
      </c>
      <c r="N465" s="51">
        <f t="shared" si="99"/>
        <v>0</v>
      </c>
      <c r="O465" s="51">
        <v>0</v>
      </c>
      <c r="P465" s="179" t="s">
        <v>1489</v>
      </c>
      <c r="Q465" s="179" t="s">
        <v>1489</v>
      </c>
      <c r="R465" s="179" t="s">
        <v>1489</v>
      </c>
      <c r="S465" s="47" t="s">
        <v>1489</v>
      </c>
      <c r="T465" s="54"/>
      <c r="U465" s="54"/>
      <c r="AA465">
        <f t="shared" si="90"/>
        <v>3508</v>
      </c>
      <c r="AD465" t="str">
        <f t="shared" si="91"/>
        <v>436</v>
      </c>
      <c r="AE465">
        <f t="shared" si="92"/>
        <v>0</v>
      </c>
      <c r="AG465" s="50" t="str">
        <f t="shared" si="93"/>
        <v>BÂTIMENT EGLISE  PART DE TIERS</v>
      </c>
      <c r="AH465" s="244" t="str">
        <f t="shared" si="94"/>
        <v>-</v>
      </c>
      <c r="AI465" s="219"/>
      <c r="AJ465" s="219"/>
      <c r="AK465" s="219" t="str">
        <f t="shared" si="95"/>
        <v>-</v>
      </c>
      <c r="AL465" s="244" t="str">
        <f t="shared" si="96"/>
        <v>-</v>
      </c>
      <c r="AN465" s="219" t="str">
        <f t="shared" si="97"/>
        <v>-</v>
      </c>
    </row>
    <row r="466" spans="1:40" ht="15" customHeight="1" x14ac:dyDescent="0.3">
      <c r="A466" s="48">
        <v>0</v>
      </c>
      <c r="B466" s="197" t="s">
        <v>719</v>
      </c>
      <c r="C466" s="198" t="s">
        <v>720</v>
      </c>
      <c r="D466" s="199" t="s">
        <v>1459</v>
      </c>
      <c r="E466" s="199" t="s">
        <v>718</v>
      </c>
      <c r="F466" s="199">
        <v>3509</v>
      </c>
      <c r="G466" s="199" t="s">
        <v>3</v>
      </c>
      <c r="H466" s="199"/>
      <c r="I466" s="51">
        <v>44766</v>
      </c>
      <c r="J466" s="51">
        <v>0</v>
      </c>
      <c r="K466" s="51">
        <f t="shared" si="98"/>
        <v>44766</v>
      </c>
      <c r="L466" s="51">
        <v>39000</v>
      </c>
      <c r="M466" s="51">
        <v>0</v>
      </c>
      <c r="N466" s="51">
        <f t="shared" si="99"/>
        <v>39000</v>
      </c>
      <c r="O466" s="51">
        <v>15076.95</v>
      </c>
      <c r="P466" s="185" t="s">
        <v>1587</v>
      </c>
      <c r="Q466" s="179" t="s">
        <v>1410</v>
      </c>
      <c r="R466" s="179" t="s">
        <v>2131</v>
      </c>
      <c r="S466" s="52" t="s">
        <v>1411</v>
      </c>
      <c r="T466" s="54">
        <f>+I466</f>
        <v>44766</v>
      </c>
      <c r="U466" s="54">
        <v>0</v>
      </c>
      <c r="V466" s="7" t="s">
        <v>2021</v>
      </c>
      <c r="AA466">
        <f t="shared" si="90"/>
        <v>3509</v>
      </c>
      <c r="AD466" t="str">
        <f t="shared" si="91"/>
        <v>301</v>
      </c>
      <c r="AE466">
        <f t="shared" si="92"/>
        <v>0</v>
      </c>
      <c r="AG466" s="50" t="str">
        <f t="shared" si="93"/>
        <v>LE GOSSAN SALAIRES</v>
      </c>
      <c r="AH466" s="244" t="str">
        <f t="shared" si="94"/>
        <v>61500</v>
      </c>
      <c r="AI466" s="219"/>
      <c r="AJ466" s="219"/>
      <c r="AK466" s="219" t="str">
        <f t="shared" si="95"/>
        <v>3010</v>
      </c>
      <c r="AL466" s="244" t="str">
        <f t="shared" si="96"/>
        <v>00</v>
      </c>
      <c r="AN466" s="219" t="str">
        <f t="shared" si="97"/>
        <v>Salaire du personnel administratif</v>
      </c>
    </row>
    <row r="467" spans="1:40" ht="15" customHeight="1" x14ac:dyDescent="0.3">
      <c r="A467" s="48"/>
      <c r="B467" s="197" t="s">
        <v>719</v>
      </c>
      <c r="C467" s="198" t="s">
        <v>720</v>
      </c>
      <c r="D467" s="199" t="s">
        <v>1459</v>
      </c>
      <c r="E467" s="199" t="s">
        <v>718</v>
      </c>
      <c r="F467" s="199">
        <v>3509</v>
      </c>
      <c r="G467" s="199" t="s">
        <v>3</v>
      </c>
      <c r="H467" s="199"/>
      <c r="I467" s="51"/>
      <c r="J467" s="51"/>
      <c r="K467" s="51"/>
      <c r="L467" s="51"/>
      <c r="M467" s="51"/>
      <c r="N467" s="51">
        <f t="shared" si="99"/>
        <v>0</v>
      </c>
      <c r="O467" s="51"/>
      <c r="P467" s="185" t="s">
        <v>1587</v>
      </c>
      <c r="Q467" s="179" t="s">
        <v>1410</v>
      </c>
      <c r="R467" s="179" t="s">
        <v>2138</v>
      </c>
      <c r="S467" s="47" t="s">
        <v>1424</v>
      </c>
      <c r="T467" s="54"/>
      <c r="U467" s="54"/>
      <c r="AA467">
        <f t="shared" si="90"/>
        <v>3509</v>
      </c>
      <c r="AD467" t="str">
        <f t="shared" si="91"/>
        <v>301</v>
      </c>
      <c r="AE467">
        <f t="shared" si="92"/>
        <v>0</v>
      </c>
      <c r="AG467" s="50" t="str">
        <f t="shared" si="93"/>
        <v>LE GOSSAN SALAIRES</v>
      </c>
      <c r="AH467" s="244" t="str">
        <f t="shared" si="94"/>
        <v>61500</v>
      </c>
      <c r="AI467" s="219"/>
      <c r="AJ467" s="219"/>
      <c r="AK467" s="219" t="str">
        <f t="shared" si="95"/>
        <v>3010</v>
      </c>
      <c r="AL467" s="244" t="str">
        <f t="shared" si="96"/>
        <v>99</v>
      </c>
      <c r="AN467" s="219" t="str">
        <f t="shared" si="97"/>
        <v>Remboursements IJM</v>
      </c>
    </row>
    <row r="468" spans="1:40" ht="15" customHeight="1" x14ac:dyDescent="0.3">
      <c r="A468" s="48">
        <v>0</v>
      </c>
      <c r="B468" s="74" t="s">
        <v>721</v>
      </c>
      <c r="C468" s="67" t="s">
        <v>722</v>
      </c>
      <c r="D468" s="188" t="s">
        <v>1459</v>
      </c>
      <c r="E468" s="188" t="s">
        <v>718</v>
      </c>
      <c r="F468" s="199">
        <v>3509</v>
      </c>
      <c r="G468" s="188" t="s">
        <v>16</v>
      </c>
      <c r="H468" s="188"/>
      <c r="I468" s="51">
        <v>4029</v>
      </c>
      <c r="J468" s="51">
        <v>0</v>
      </c>
      <c r="K468" s="51">
        <f>+I468+J468</f>
        <v>4029</v>
      </c>
      <c r="L468" s="51">
        <v>3700</v>
      </c>
      <c r="M468" s="51">
        <v>0</v>
      </c>
      <c r="N468" s="51">
        <f t="shared" si="99"/>
        <v>3700</v>
      </c>
      <c r="O468" s="51">
        <v>1425.2</v>
      </c>
      <c r="P468" s="185" t="s">
        <v>1587</v>
      </c>
      <c r="Q468" s="179" t="s">
        <v>1367</v>
      </c>
      <c r="R468" s="179" t="s">
        <v>2131</v>
      </c>
      <c r="S468" s="52" t="s">
        <v>1378</v>
      </c>
      <c r="T468" s="54">
        <f>+I468</f>
        <v>4029</v>
      </c>
      <c r="U468" s="54"/>
      <c r="AA468">
        <f t="shared" si="90"/>
        <v>3509</v>
      </c>
      <c r="AD468" t="str">
        <f t="shared" si="91"/>
        <v>303</v>
      </c>
      <c r="AE468">
        <f t="shared" si="92"/>
        <v>0</v>
      </c>
      <c r="AG468" s="50" t="str">
        <f t="shared" si="93"/>
        <v>LE GOSSAN  COTISATIONS AVS AC AF</v>
      </c>
      <c r="AH468" s="244" t="str">
        <f t="shared" si="94"/>
        <v>61500</v>
      </c>
      <c r="AI468" s="219"/>
      <c r="AJ468" s="219"/>
      <c r="AK468" s="219" t="str">
        <f t="shared" si="95"/>
        <v>3050</v>
      </c>
      <c r="AL468" s="244" t="str">
        <f t="shared" si="96"/>
        <v>00</v>
      </c>
      <c r="AN468" s="219" t="str">
        <f t="shared" si="97"/>
        <v>Cotisations AVS, AI, APG, AC, frais adm</v>
      </c>
    </row>
    <row r="469" spans="1:40" ht="15" customHeight="1" x14ac:dyDescent="0.3">
      <c r="A469" s="48"/>
      <c r="B469" s="74" t="s">
        <v>721</v>
      </c>
      <c r="C469" s="67" t="s">
        <v>722</v>
      </c>
      <c r="D469" s="188" t="s">
        <v>1459</v>
      </c>
      <c r="E469" s="188" t="s">
        <v>718</v>
      </c>
      <c r="F469" s="199">
        <v>3509</v>
      </c>
      <c r="G469" s="188" t="s">
        <v>16</v>
      </c>
      <c r="H469" s="188"/>
      <c r="I469" s="51"/>
      <c r="J469" s="51"/>
      <c r="K469" s="51"/>
      <c r="L469" s="51"/>
      <c r="M469" s="51"/>
      <c r="N469" s="51">
        <f t="shared" si="99"/>
        <v>0</v>
      </c>
      <c r="O469" s="51"/>
      <c r="P469" s="185" t="s">
        <v>1587</v>
      </c>
      <c r="Q469" s="179" t="s">
        <v>1413</v>
      </c>
      <c r="R469" s="179" t="s">
        <v>2131</v>
      </c>
      <c r="S469" s="52" t="s">
        <v>1414</v>
      </c>
      <c r="T469" s="54"/>
      <c r="U469" s="54"/>
      <c r="AA469">
        <f t="shared" si="90"/>
        <v>3509</v>
      </c>
      <c r="AD469" t="str">
        <f t="shared" si="91"/>
        <v>303</v>
      </c>
      <c r="AE469">
        <f t="shared" si="92"/>
        <v>0</v>
      </c>
      <c r="AG469" s="50" t="str">
        <f t="shared" si="93"/>
        <v>LE GOSSAN  COTISATIONS AVS AC AF</v>
      </c>
      <c r="AH469" s="244" t="str">
        <f t="shared" si="94"/>
        <v>61500</v>
      </c>
      <c r="AI469" s="219"/>
      <c r="AJ469" s="219"/>
      <c r="AK469" s="219" t="str">
        <f t="shared" si="95"/>
        <v>3054</v>
      </c>
      <c r="AL469" s="244" t="str">
        <f t="shared" si="96"/>
        <v>00</v>
      </c>
      <c r="AN469" s="219" t="str">
        <f t="shared" si="97"/>
        <v>Cotisations CAF</v>
      </c>
    </row>
    <row r="470" spans="1:40" ht="15" customHeight="1" x14ac:dyDescent="0.3">
      <c r="A470" s="48">
        <v>0</v>
      </c>
      <c r="B470" s="49" t="s">
        <v>723</v>
      </c>
      <c r="C470" s="50" t="s">
        <v>724</v>
      </c>
      <c r="D470" s="46" t="s">
        <v>1459</v>
      </c>
      <c r="E470" s="46" t="s">
        <v>718</v>
      </c>
      <c r="F470" s="199">
        <v>3509</v>
      </c>
      <c r="G470" s="46" t="s">
        <v>38</v>
      </c>
      <c r="H470" s="46"/>
      <c r="I470" s="51">
        <v>1046.5999999999999</v>
      </c>
      <c r="J470" s="51">
        <v>0</v>
      </c>
      <c r="K470" s="51">
        <f>+I470+J470</f>
        <v>1046.5999999999999</v>
      </c>
      <c r="L470" s="51">
        <v>500</v>
      </c>
      <c r="M470" s="51">
        <v>0</v>
      </c>
      <c r="N470" s="51">
        <f t="shared" si="99"/>
        <v>500</v>
      </c>
      <c r="O470" s="51">
        <v>1426</v>
      </c>
      <c r="P470" s="185" t="s">
        <v>1587</v>
      </c>
      <c r="Q470" s="179" t="s">
        <v>1386</v>
      </c>
      <c r="R470" s="179" t="s">
        <v>2131</v>
      </c>
      <c r="S470" s="52" t="s">
        <v>1387</v>
      </c>
      <c r="T470" s="54">
        <f>+I470</f>
        <v>1046.5999999999999</v>
      </c>
      <c r="U470" s="54"/>
      <c r="AA470">
        <f t="shared" si="90"/>
        <v>3509</v>
      </c>
      <c r="AD470" t="str">
        <f t="shared" si="91"/>
        <v>304</v>
      </c>
      <c r="AE470">
        <f t="shared" si="92"/>
        <v>0</v>
      </c>
      <c r="AG470" s="50" t="str">
        <f t="shared" si="93"/>
        <v>LE GOSSAN  CAISSE PREVOYANCE LPP</v>
      </c>
      <c r="AH470" s="244" t="str">
        <f t="shared" si="94"/>
        <v>61500</v>
      </c>
      <c r="AI470" s="219"/>
      <c r="AJ470" s="219"/>
      <c r="AK470" s="219" t="str">
        <f t="shared" si="95"/>
        <v>3052</v>
      </c>
      <c r="AL470" s="244" t="str">
        <f t="shared" si="96"/>
        <v>00</v>
      </c>
      <c r="AN470" s="219" t="str">
        <f t="shared" si="97"/>
        <v>Cotisations patronales aux caisses de pensions</v>
      </c>
    </row>
    <row r="471" spans="1:40" ht="15" customHeight="1" x14ac:dyDescent="0.3">
      <c r="A471" s="48">
        <v>0</v>
      </c>
      <c r="B471" s="49" t="s">
        <v>725</v>
      </c>
      <c r="C471" s="50" t="s">
        <v>726</v>
      </c>
      <c r="D471" s="46" t="s">
        <v>1459</v>
      </c>
      <c r="E471" s="46" t="s">
        <v>718</v>
      </c>
      <c r="F471" s="199">
        <v>3509</v>
      </c>
      <c r="G471" s="46" t="s">
        <v>19</v>
      </c>
      <c r="H471" s="46"/>
      <c r="I471" s="51">
        <v>1041.55</v>
      </c>
      <c r="J471" s="51">
        <v>0</v>
      </c>
      <c r="K471" s="51">
        <f>+I471+J471</f>
        <v>1041.55</v>
      </c>
      <c r="L471" s="51">
        <v>720</v>
      </c>
      <c r="M471" s="51">
        <v>0</v>
      </c>
      <c r="N471" s="51">
        <f t="shared" si="99"/>
        <v>720</v>
      </c>
      <c r="O471" s="51">
        <v>360.5</v>
      </c>
      <c r="P471" s="185" t="s">
        <v>1587</v>
      </c>
      <c r="Q471" s="179" t="s">
        <v>1375</v>
      </c>
      <c r="R471" s="179" t="s">
        <v>2131</v>
      </c>
      <c r="S471" s="52" t="s">
        <v>1379</v>
      </c>
      <c r="T471" s="54">
        <f>+I471</f>
        <v>1041.55</v>
      </c>
      <c r="U471" s="54"/>
      <c r="AA471">
        <f t="shared" si="90"/>
        <v>3509</v>
      </c>
      <c r="AD471" t="str">
        <f t="shared" si="91"/>
        <v>305</v>
      </c>
      <c r="AE471">
        <f t="shared" si="92"/>
        <v>0</v>
      </c>
      <c r="AG471" s="50" t="str">
        <f t="shared" si="93"/>
        <v>LE GOSSAN  ASS ACCIDENTS et MALADIE</v>
      </c>
      <c r="AH471" s="244" t="str">
        <f t="shared" si="94"/>
        <v>61500</v>
      </c>
      <c r="AI471" s="219"/>
      <c r="AJ471" s="219"/>
      <c r="AK471" s="219" t="str">
        <f t="shared" si="95"/>
        <v>3053</v>
      </c>
      <c r="AL471" s="244" t="str">
        <f t="shared" si="96"/>
        <v>00</v>
      </c>
      <c r="AN471" s="219" t="str">
        <f t="shared" si="97"/>
        <v>Cotisations patronales aux assurance-accidents</v>
      </c>
    </row>
    <row r="472" spans="1:40" ht="15" customHeight="1" x14ac:dyDescent="0.3">
      <c r="A472" s="48">
        <v>0</v>
      </c>
      <c r="B472" s="74" t="s">
        <v>727</v>
      </c>
      <c r="C472" s="67" t="s">
        <v>728</v>
      </c>
      <c r="D472" s="188" t="s">
        <v>1459</v>
      </c>
      <c r="E472" s="188" t="s">
        <v>718</v>
      </c>
      <c r="F472" s="199">
        <v>3509</v>
      </c>
      <c r="G472" s="188" t="s">
        <v>22</v>
      </c>
      <c r="H472" s="188"/>
      <c r="I472" s="51">
        <v>0</v>
      </c>
      <c r="J472" s="51">
        <v>0</v>
      </c>
      <c r="K472" s="51">
        <f>+I472+J472</f>
        <v>0</v>
      </c>
      <c r="L472" s="51">
        <v>0</v>
      </c>
      <c r="M472" s="51">
        <v>0</v>
      </c>
      <c r="N472" s="51">
        <f t="shared" si="99"/>
        <v>0</v>
      </c>
      <c r="O472" s="51">
        <v>0</v>
      </c>
      <c r="P472" s="185" t="s">
        <v>1587</v>
      </c>
      <c r="Q472" s="179" t="s">
        <v>1382</v>
      </c>
      <c r="R472" s="179" t="s">
        <v>2131</v>
      </c>
      <c r="S472" s="52" t="s">
        <v>1383</v>
      </c>
      <c r="T472" s="54"/>
      <c r="U472" s="54"/>
      <c r="AA472">
        <f t="shared" si="90"/>
        <v>3509</v>
      </c>
      <c r="AD472" t="str">
        <f t="shared" si="91"/>
        <v>306</v>
      </c>
      <c r="AE472">
        <f t="shared" si="92"/>
        <v>0</v>
      </c>
      <c r="AG472" s="50" t="str">
        <f t="shared" si="93"/>
        <v>LE GOSSAN FRAIS DU PERSONNEL</v>
      </c>
      <c r="AH472" s="244" t="str">
        <f t="shared" si="94"/>
        <v>61500</v>
      </c>
      <c r="AI472" s="219"/>
      <c r="AJ472" s="219"/>
      <c r="AK472" s="219" t="str">
        <f t="shared" si="95"/>
        <v>3049</v>
      </c>
      <c r="AL472" s="244" t="str">
        <f t="shared" si="96"/>
        <v>00</v>
      </c>
      <c r="AN472" s="219" t="str">
        <f t="shared" si="97"/>
        <v>Autres indemnités forfaitaires - natels</v>
      </c>
    </row>
    <row r="473" spans="1:40" ht="15" customHeight="1" x14ac:dyDescent="0.3">
      <c r="A473" s="48"/>
      <c r="B473" s="74" t="s">
        <v>727</v>
      </c>
      <c r="C473" s="67" t="s">
        <v>728</v>
      </c>
      <c r="D473" s="188" t="s">
        <v>1459</v>
      </c>
      <c r="E473" s="188" t="s">
        <v>718</v>
      </c>
      <c r="F473" s="199">
        <v>3509</v>
      </c>
      <c r="G473" s="188" t="s">
        <v>22</v>
      </c>
      <c r="H473" s="188"/>
      <c r="I473" s="51"/>
      <c r="J473" s="51"/>
      <c r="K473" s="51"/>
      <c r="L473" s="51"/>
      <c r="M473" s="51"/>
      <c r="N473" s="51">
        <f t="shared" si="99"/>
        <v>0</v>
      </c>
      <c r="O473" s="51"/>
      <c r="P473" s="185" t="s">
        <v>1587</v>
      </c>
      <c r="Q473" s="179" t="s">
        <v>1393</v>
      </c>
      <c r="R473" s="179" t="s">
        <v>2131</v>
      </c>
      <c r="S473" s="52" t="s">
        <v>2073</v>
      </c>
      <c r="T473" s="54"/>
      <c r="U473" s="54"/>
      <c r="AA473">
        <f t="shared" si="90"/>
        <v>3509</v>
      </c>
      <c r="AD473" t="str">
        <f t="shared" si="91"/>
        <v>306</v>
      </c>
      <c r="AE473">
        <f t="shared" si="92"/>
        <v>0</v>
      </c>
      <c r="AG473" s="50" t="str">
        <f t="shared" si="93"/>
        <v>LE GOSSAN FRAIS DU PERSONNEL</v>
      </c>
      <c r="AH473" s="244" t="str">
        <f t="shared" si="94"/>
        <v>61500</v>
      </c>
      <c r="AI473" s="219"/>
      <c r="AJ473" s="219"/>
      <c r="AK473" s="219" t="str">
        <f t="shared" si="95"/>
        <v>3170</v>
      </c>
      <c r="AL473" s="244" t="str">
        <f t="shared" si="96"/>
        <v>00</v>
      </c>
      <c r="AN473" s="219" t="str">
        <f t="shared" si="97"/>
        <v>Remboursements de frais effectifs km</v>
      </c>
    </row>
    <row r="474" spans="1:40" ht="15" customHeight="1" x14ac:dyDescent="0.3">
      <c r="A474" s="48"/>
      <c r="B474" s="74" t="s">
        <v>727</v>
      </c>
      <c r="C474" s="67" t="s">
        <v>728</v>
      </c>
      <c r="D474" s="188" t="s">
        <v>1459</v>
      </c>
      <c r="E474" s="188" t="s">
        <v>718</v>
      </c>
      <c r="F474" s="199">
        <v>3509</v>
      </c>
      <c r="G474" s="188" t="s">
        <v>22</v>
      </c>
      <c r="H474" s="188"/>
      <c r="I474" s="51"/>
      <c r="J474" s="51"/>
      <c r="K474" s="51"/>
      <c r="L474" s="51"/>
      <c r="M474" s="51"/>
      <c r="N474" s="51">
        <f t="shared" si="99"/>
        <v>0</v>
      </c>
      <c r="O474" s="51"/>
      <c r="P474" s="185" t="s">
        <v>1587</v>
      </c>
      <c r="Q474" s="179" t="s">
        <v>1368</v>
      </c>
      <c r="R474" s="179" t="s">
        <v>2131</v>
      </c>
      <c r="S474" s="47" t="s">
        <v>1392</v>
      </c>
      <c r="T474" s="54"/>
      <c r="U474" s="54"/>
      <c r="AA474">
        <f t="shared" si="90"/>
        <v>3509</v>
      </c>
      <c r="AD474" t="str">
        <f t="shared" si="91"/>
        <v>306</v>
      </c>
      <c r="AE474">
        <f t="shared" si="92"/>
        <v>0</v>
      </c>
      <c r="AG474" s="50" t="str">
        <f t="shared" si="93"/>
        <v>LE GOSSAN FRAIS DU PERSONNEL</v>
      </c>
      <c r="AH474" s="244" t="str">
        <f t="shared" si="94"/>
        <v>61500</v>
      </c>
      <c r="AI474" s="219"/>
      <c r="AJ474" s="219"/>
      <c r="AK474" s="219" t="str">
        <f t="shared" si="95"/>
        <v>3090</v>
      </c>
      <c r="AL474" s="244" t="str">
        <f t="shared" si="96"/>
        <v>00</v>
      </c>
      <c r="AN474" s="219" t="str">
        <f t="shared" si="97"/>
        <v>Formation et perfectionnement</v>
      </c>
    </row>
    <row r="475" spans="1:40" ht="15" customHeight="1" x14ac:dyDescent="0.3">
      <c r="A475" s="48"/>
      <c r="B475" s="74" t="s">
        <v>727</v>
      </c>
      <c r="C475" s="67" t="s">
        <v>728</v>
      </c>
      <c r="D475" s="188" t="s">
        <v>1459</v>
      </c>
      <c r="E475" s="188" t="s">
        <v>718</v>
      </c>
      <c r="F475" s="199">
        <v>3509</v>
      </c>
      <c r="G475" s="188" t="s">
        <v>22</v>
      </c>
      <c r="H475" s="188"/>
      <c r="I475" s="51"/>
      <c r="J475" s="51"/>
      <c r="K475" s="51"/>
      <c r="L475" s="51"/>
      <c r="M475" s="51"/>
      <c r="N475" s="51">
        <f t="shared" si="99"/>
        <v>0</v>
      </c>
      <c r="O475" s="51"/>
      <c r="P475" s="185" t="s">
        <v>1587</v>
      </c>
      <c r="Q475" s="179" t="s">
        <v>1540</v>
      </c>
      <c r="R475" s="179" t="s">
        <v>2131</v>
      </c>
      <c r="S475" s="52" t="s">
        <v>1543</v>
      </c>
      <c r="T475" s="54"/>
      <c r="U475" s="54"/>
      <c r="AA475">
        <f t="shared" si="90"/>
        <v>3509</v>
      </c>
      <c r="AD475" t="str">
        <f t="shared" si="91"/>
        <v>306</v>
      </c>
      <c r="AE475">
        <f t="shared" si="92"/>
        <v>0</v>
      </c>
      <c r="AG475" s="50" t="str">
        <f t="shared" si="93"/>
        <v>LE GOSSAN FRAIS DU PERSONNEL</v>
      </c>
      <c r="AH475" s="244" t="str">
        <f t="shared" si="94"/>
        <v>61500</v>
      </c>
      <c r="AI475" s="219"/>
      <c r="AJ475" s="219"/>
      <c r="AK475" s="219" t="str">
        <f t="shared" si="95"/>
        <v>3091</v>
      </c>
      <c r="AL475" s="244" t="str">
        <f t="shared" si="96"/>
        <v>00</v>
      </c>
      <c r="AN475" s="219" t="str">
        <f t="shared" si="97"/>
        <v>Recrutement</v>
      </c>
    </row>
    <row r="476" spans="1:40" ht="15" customHeight="1" x14ac:dyDescent="0.3">
      <c r="A476" s="48"/>
      <c r="B476" s="74" t="s">
        <v>727</v>
      </c>
      <c r="C476" s="67" t="s">
        <v>728</v>
      </c>
      <c r="D476" s="188" t="s">
        <v>1459</v>
      </c>
      <c r="E476" s="188" t="s">
        <v>718</v>
      </c>
      <c r="F476" s="199">
        <v>3509</v>
      </c>
      <c r="G476" s="188" t="s">
        <v>22</v>
      </c>
      <c r="H476" s="188"/>
      <c r="I476" s="51"/>
      <c r="J476" s="51"/>
      <c r="K476" s="51"/>
      <c r="L476" s="51"/>
      <c r="M476" s="51"/>
      <c r="N476" s="51">
        <f t="shared" si="99"/>
        <v>0</v>
      </c>
      <c r="O476" s="51"/>
      <c r="P476" s="185" t="s">
        <v>1587</v>
      </c>
      <c r="Q476" s="179" t="s">
        <v>1380</v>
      </c>
      <c r="R476" s="179" t="s">
        <v>2131</v>
      </c>
      <c r="S476" s="52" t="s">
        <v>1381</v>
      </c>
      <c r="T476" s="54"/>
      <c r="U476" s="54"/>
      <c r="AA476">
        <f t="shared" si="90"/>
        <v>3509</v>
      </c>
      <c r="AD476" t="str">
        <f t="shared" si="91"/>
        <v>306</v>
      </c>
      <c r="AE476">
        <f t="shared" si="92"/>
        <v>0</v>
      </c>
      <c r="AG476" s="50" t="str">
        <f t="shared" si="93"/>
        <v>LE GOSSAN FRAIS DU PERSONNEL</v>
      </c>
      <c r="AH476" s="244" t="str">
        <f t="shared" si="94"/>
        <v>61500</v>
      </c>
      <c r="AI476" s="219"/>
      <c r="AJ476" s="219"/>
      <c r="AK476" s="219" t="str">
        <f t="shared" si="95"/>
        <v>3099</v>
      </c>
      <c r="AL476" s="244" t="str">
        <f t="shared" si="96"/>
        <v>00</v>
      </c>
      <c r="AN476" s="219" t="str">
        <f t="shared" si="97"/>
        <v>Autres charges du personnel</v>
      </c>
    </row>
    <row r="477" spans="1:40" ht="15" customHeight="1" x14ac:dyDescent="0.3">
      <c r="A477" s="48">
        <v>0</v>
      </c>
      <c r="B477" s="77" t="s">
        <v>729</v>
      </c>
      <c r="C477" s="78" t="s">
        <v>730</v>
      </c>
      <c r="D477" s="182" t="s">
        <v>1459</v>
      </c>
      <c r="E477" s="182" t="s">
        <v>718</v>
      </c>
      <c r="F477" s="199">
        <v>3509</v>
      </c>
      <c r="G477" s="182" t="s">
        <v>25</v>
      </c>
      <c r="H477" s="182"/>
      <c r="I477" s="51">
        <v>3410.85</v>
      </c>
      <c r="J477" s="51">
        <v>0</v>
      </c>
      <c r="K477" s="51">
        <f t="shared" ref="K477:K495" si="100">+I477+J477</f>
        <v>3410.85</v>
      </c>
      <c r="L477" s="51">
        <v>10000</v>
      </c>
      <c r="M477" s="51">
        <v>0</v>
      </c>
      <c r="N477" s="51">
        <f t="shared" si="99"/>
        <v>10000</v>
      </c>
      <c r="O477" s="51">
        <v>210.8</v>
      </c>
      <c r="P477" s="179" t="s">
        <v>1805</v>
      </c>
      <c r="Q477" s="179" t="s">
        <v>1426</v>
      </c>
      <c r="R477" s="179" t="s">
        <v>2131</v>
      </c>
      <c r="S477" s="55" t="s">
        <v>2277</v>
      </c>
      <c r="T477" s="54">
        <f>+I477</f>
        <v>3410.85</v>
      </c>
      <c r="U477" s="54"/>
      <c r="AA477">
        <f t="shared" si="90"/>
        <v>3509</v>
      </c>
      <c r="AD477" t="str">
        <f t="shared" si="91"/>
        <v>311</v>
      </c>
      <c r="AE477">
        <f t="shared" si="92"/>
        <v>0</v>
      </c>
      <c r="AG477" s="50" t="str">
        <f t="shared" si="93"/>
        <v>LE GOSSAN  ACHATS MOBILIER MACH. MATERIEL</v>
      </c>
      <c r="AH477" s="244" t="str">
        <f t="shared" si="94"/>
        <v>02903</v>
      </c>
      <c r="AI477" s="219"/>
      <c r="AJ477" s="219"/>
      <c r="AK477" s="219" t="str">
        <f t="shared" si="95"/>
        <v>3101</v>
      </c>
      <c r="AL477" s="244" t="str">
        <f t="shared" si="96"/>
        <v>00</v>
      </c>
      <c r="AN477" s="219" t="str">
        <f t="shared" si="97"/>
        <v>Matériel d'exploitation, petites fournitures PA | Salles communales - Le Gossan, Le Garage |</v>
      </c>
    </row>
    <row r="478" spans="1:40" ht="15" customHeight="1" x14ac:dyDescent="0.3">
      <c r="A478" s="48"/>
      <c r="B478" s="77" t="s">
        <v>729</v>
      </c>
      <c r="C478" s="78" t="s">
        <v>730</v>
      </c>
      <c r="D478" s="182" t="s">
        <v>1459</v>
      </c>
      <c r="E478" s="182" t="s">
        <v>718</v>
      </c>
      <c r="F478" s="199">
        <v>3509</v>
      </c>
      <c r="G478" s="182" t="s">
        <v>25</v>
      </c>
      <c r="H478" s="182"/>
      <c r="I478" s="51"/>
      <c r="J478" s="51"/>
      <c r="K478" s="51">
        <f t="shared" si="100"/>
        <v>0</v>
      </c>
      <c r="L478" s="51"/>
      <c r="M478" s="51"/>
      <c r="N478" s="51">
        <f t="shared" si="99"/>
        <v>0</v>
      </c>
      <c r="O478" s="51"/>
      <c r="P478" s="179" t="s">
        <v>1805</v>
      </c>
      <c r="Q478" s="179" t="s">
        <v>1500</v>
      </c>
      <c r="R478" s="179" t="s">
        <v>2133</v>
      </c>
      <c r="S478" s="55" t="s">
        <v>2272</v>
      </c>
      <c r="T478" s="54"/>
      <c r="U478" s="54"/>
      <c r="AA478">
        <f t="shared" si="90"/>
        <v>3509</v>
      </c>
      <c r="AD478" t="str">
        <f t="shared" si="91"/>
        <v>311</v>
      </c>
      <c r="AE478">
        <f t="shared" si="92"/>
        <v>0</v>
      </c>
      <c r="AG478" s="50" t="str">
        <f t="shared" si="93"/>
        <v>LE GOSSAN  ACHATS MOBILIER MACH. MATERIEL</v>
      </c>
      <c r="AH478" s="244" t="str">
        <f t="shared" si="94"/>
        <v>02903</v>
      </c>
      <c r="AI478" s="219"/>
      <c r="AJ478" s="219"/>
      <c r="AK478" s="219" t="str">
        <f t="shared" si="95"/>
        <v>3120</v>
      </c>
      <c r="AL478" s="244" t="str">
        <f t="shared" si="96"/>
        <v>02</v>
      </c>
      <c r="AN478" s="219" t="str">
        <f t="shared" si="97"/>
        <v>Frais d'eau PA | Salles communales - Le Gossan, Le Garage |</v>
      </c>
    </row>
    <row r="479" spans="1:40" ht="15" customHeight="1" x14ac:dyDescent="0.3">
      <c r="A479" s="48"/>
      <c r="B479" s="77" t="s">
        <v>729</v>
      </c>
      <c r="C479" s="78" t="s">
        <v>730</v>
      </c>
      <c r="D479" s="182" t="s">
        <v>1459</v>
      </c>
      <c r="E479" s="182" t="s">
        <v>718</v>
      </c>
      <c r="F479" s="199">
        <v>3509</v>
      </c>
      <c r="G479" s="182" t="s">
        <v>25</v>
      </c>
      <c r="H479" s="182"/>
      <c r="I479" s="51"/>
      <c r="J479" s="51"/>
      <c r="K479" s="51">
        <f t="shared" si="100"/>
        <v>0</v>
      </c>
      <c r="L479" s="51"/>
      <c r="M479" s="51"/>
      <c r="N479" s="51">
        <f t="shared" si="99"/>
        <v>0</v>
      </c>
      <c r="O479" s="51"/>
      <c r="P479" s="179" t="s">
        <v>1805</v>
      </c>
      <c r="Q479" s="179" t="s">
        <v>1831</v>
      </c>
      <c r="R479" s="179" t="s">
        <v>2131</v>
      </c>
      <c r="S479" s="55" t="s">
        <v>2273</v>
      </c>
      <c r="T479" s="54"/>
      <c r="U479" s="54"/>
      <c r="AA479">
        <f t="shared" si="90"/>
        <v>3509</v>
      </c>
      <c r="AD479" t="str">
        <f t="shared" si="91"/>
        <v>311</v>
      </c>
      <c r="AE479">
        <f t="shared" si="92"/>
        <v>0</v>
      </c>
      <c r="AG479" s="50" t="str">
        <f t="shared" si="93"/>
        <v>LE GOSSAN  ACHATS MOBILIER MACH. MATERIEL</v>
      </c>
      <c r="AH479" s="244" t="str">
        <f t="shared" si="94"/>
        <v>02903</v>
      </c>
      <c r="AI479" s="219"/>
      <c r="AJ479" s="219"/>
      <c r="AK479" s="219" t="str">
        <f t="shared" si="95"/>
        <v>3110</v>
      </c>
      <c r="AL479" s="244" t="str">
        <f t="shared" si="96"/>
        <v>00</v>
      </c>
      <c r="AN479" s="219" t="str">
        <f t="shared" si="97"/>
        <v>Meubles et appareils de bureau PA | Salles communales - Le Gossan, Le Garage |</v>
      </c>
    </row>
    <row r="480" spans="1:40" ht="15" customHeight="1" x14ac:dyDescent="0.3">
      <c r="A480" s="48"/>
      <c r="B480" s="77" t="s">
        <v>729</v>
      </c>
      <c r="C480" s="78" t="s">
        <v>730</v>
      </c>
      <c r="D480" s="182" t="s">
        <v>1459</v>
      </c>
      <c r="E480" s="182" t="s">
        <v>718</v>
      </c>
      <c r="F480" s="199">
        <v>3509</v>
      </c>
      <c r="G480" s="182" t="s">
        <v>25</v>
      </c>
      <c r="H480" s="182"/>
      <c r="I480" s="51"/>
      <c r="J480" s="51"/>
      <c r="K480" s="51">
        <f t="shared" si="100"/>
        <v>0</v>
      </c>
      <c r="L480" s="51"/>
      <c r="M480" s="51"/>
      <c r="N480" s="51">
        <f t="shared" si="99"/>
        <v>0</v>
      </c>
      <c r="O480" s="51"/>
      <c r="P480" s="179" t="s">
        <v>1805</v>
      </c>
      <c r="Q480" s="179" t="s">
        <v>1493</v>
      </c>
      <c r="R480" s="179" t="s">
        <v>2131</v>
      </c>
      <c r="S480" s="55" t="s">
        <v>2274</v>
      </c>
      <c r="T480" s="54"/>
      <c r="U480" s="54"/>
      <c r="AA480">
        <f t="shared" si="90"/>
        <v>3509</v>
      </c>
      <c r="AD480" t="str">
        <f t="shared" si="91"/>
        <v>311</v>
      </c>
      <c r="AE480">
        <f t="shared" si="92"/>
        <v>0</v>
      </c>
      <c r="AG480" s="50" t="str">
        <f t="shared" si="93"/>
        <v>LE GOSSAN  ACHATS MOBILIER MACH. MATERIEL</v>
      </c>
      <c r="AH480" s="244" t="str">
        <f t="shared" si="94"/>
        <v>02903</v>
      </c>
      <c r="AI480" s="219"/>
      <c r="AJ480" s="219"/>
      <c r="AK480" s="219" t="str">
        <f t="shared" si="95"/>
        <v>3111</v>
      </c>
      <c r="AL480" s="244" t="str">
        <f t="shared" si="96"/>
        <v>00</v>
      </c>
      <c r="AN480" s="219" t="str">
        <f t="shared" si="97"/>
        <v>Machines, appareils PA | Salles communales - Le Gossan, Le Garage |</v>
      </c>
    </row>
    <row r="481" spans="1:40" ht="15" customHeight="1" x14ac:dyDescent="0.3">
      <c r="A481" s="48">
        <v>0</v>
      </c>
      <c r="B481" s="49" t="s">
        <v>731</v>
      </c>
      <c r="C481" s="50" t="s">
        <v>732</v>
      </c>
      <c r="D481" s="46" t="s">
        <v>1459</v>
      </c>
      <c r="E481" s="46" t="s">
        <v>718</v>
      </c>
      <c r="F481" s="199">
        <v>3509</v>
      </c>
      <c r="G481" s="46" t="s">
        <v>159</v>
      </c>
      <c r="H481" s="46"/>
      <c r="I481" s="51">
        <v>58129</v>
      </c>
      <c r="J481" s="51">
        <v>0</v>
      </c>
      <c r="K481" s="51">
        <f t="shared" si="100"/>
        <v>58129</v>
      </c>
      <c r="L481" s="51">
        <v>82000</v>
      </c>
      <c r="M481" s="51">
        <v>0</v>
      </c>
      <c r="N481" s="51">
        <f t="shared" si="99"/>
        <v>82000</v>
      </c>
      <c r="O481" s="51">
        <v>16793.2</v>
      </c>
      <c r="P481" s="179" t="s">
        <v>1805</v>
      </c>
      <c r="Q481" s="179" t="s">
        <v>1500</v>
      </c>
      <c r="R481" s="179" t="s">
        <v>2132</v>
      </c>
      <c r="S481" s="55" t="s">
        <v>2275</v>
      </c>
      <c r="T481" s="54">
        <f>+I481</f>
        <v>58129</v>
      </c>
      <c r="U481" s="54"/>
      <c r="AA481">
        <f t="shared" si="90"/>
        <v>3509</v>
      </c>
      <c r="AD481" t="str">
        <f t="shared" si="91"/>
        <v>312</v>
      </c>
      <c r="AE481">
        <f t="shared" si="92"/>
        <v>0</v>
      </c>
      <c r="AG481" s="50" t="str">
        <f t="shared" si="93"/>
        <v>LE GOSSAN  ACHATS ELECTRICITE</v>
      </c>
      <c r="AH481" s="244" t="str">
        <f t="shared" si="94"/>
        <v>02903</v>
      </c>
      <c r="AI481" s="219"/>
      <c r="AJ481" s="219"/>
      <c r="AK481" s="219" t="str">
        <f t="shared" si="95"/>
        <v>3120</v>
      </c>
      <c r="AL481" s="244" t="str">
        <f t="shared" si="96"/>
        <v>01</v>
      </c>
      <c r="AN481" s="219" t="str">
        <f t="shared" si="97"/>
        <v>Frais d'électricité PA | Salles communales - Le Gossan, Le Garage |</v>
      </c>
    </row>
    <row r="482" spans="1:40" ht="15" customHeight="1" x14ac:dyDescent="0.3">
      <c r="A482" s="48">
        <v>0</v>
      </c>
      <c r="B482" s="49" t="s">
        <v>733</v>
      </c>
      <c r="C482" s="50" t="s">
        <v>734</v>
      </c>
      <c r="D482" s="46" t="s">
        <v>1459</v>
      </c>
      <c r="E482" s="46" t="s">
        <v>718</v>
      </c>
      <c r="F482" s="199">
        <v>3509</v>
      </c>
      <c r="G482" s="46" t="s">
        <v>159</v>
      </c>
      <c r="H482" s="46">
        <v>1</v>
      </c>
      <c r="I482" s="51">
        <v>48607.8</v>
      </c>
      <c r="J482" s="51">
        <v>0</v>
      </c>
      <c r="K482" s="51">
        <f t="shared" si="100"/>
        <v>48607.8</v>
      </c>
      <c r="L482" s="51">
        <v>32000</v>
      </c>
      <c r="M482" s="51">
        <v>0</v>
      </c>
      <c r="N482" s="51">
        <f t="shared" si="99"/>
        <v>32000</v>
      </c>
      <c r="O482" s="51">
        <v>10521</v>
      </c>
      <c r="P482" s="179" t="s">
        <v>1805</v>
      </c>
      <c r="Q482" s="179" t="s">
        <v>1500</v>
      </c>
      <c r="R482" s="179" t="s">
        <v>2131</v>
      </c>
      <c r="S482" s="55" t="s">
        <v>2276</v>
      </c>
      <c r="T482" s="54">
        <f>+I482</f>
        <v>48607.8</v>
      </c>
      <c r="U482" s="54"/>
      <c r="AA482">
        <f t="shared" si="90"/>
        <v>3509</v>
      </c>
      <c r="AD482" t="str">
        <f t="shared" si="91"/>
        <v>312</v>
      </c>
      <c r="AE482">
        <f t="shared" si="92"/>
        <v>1</v>
      </c>
      <c r="AG482" s="50" t="str">
        <f t="shared" si="93"/>
        <v>LE GOSSAN  ACHATS COMBUSTIBLE CAD</v>
      </c>
      <c r="AH482" s="244" t="str">
        <f t="shared" si="94"/>
        <v>02903</v>
      </c>
      <c r="AI482" s="219"/>
      <c r="AJ482" s="219"/>
      <c r="AK482" s="219" t="str">
        <f t="shared" si="95"/>
        <v>3120</v>
      </c>
      <c r="AL482" s="244" t="str">
        <f t="shared" si="96"/>
        <v>00</v>
      </c>
      <c r="AN482" s="219" t="str">
        <f t="shared" si="97"/>
        <v>Frais de chauffage PA | Salles communales - Le Gossan, Le Garage |</v>
      </c>
    </row>
    <row r="483" spans="1:40" ht="15" customHeight="1" x14ac:dyDescent="0.3">
      <c r="A483" s="48">
        <v>0</v>
      </c>
      <c r="B483" s="49" t="s">
        <v>735</v>
      </c>
      <c r="C483" s="50" t="s">
        <v>736</v>
      </c>
      <c r="D483" s="46" t="s">
        <v>1459</v>
      </c>
      <c r="E483" s="46" t="s">
        <v>718</v>
      </c>
      <c r="F483" s="199">
        <v>3509</v>
      </c>
      <c r="G483" s="46" t="s">
        <v>439</v>
      </c>
      <c r="H483" s="46"/>
      <c r="I483" s="51">
        <v>4820.2700000000004</v>
      </c>
      <c r="J483" s="51">
        <v>0</v>
      </c>
      <c r="K483" s="51">
        <f t="shared" si="100"/>
        <v>4820.2700000000004</v>
      </c>
      <c r="L483" s="51">
        <v>6500</v>
      </c>
      <c r="M483" s="51">
        <v>0</v>
      </c>
      <c r="N483" s="51">
        <f t="shared" si="99"/>
        <v>6500</v>
      </c>
      <c r="O483" s="51">
        <v>1974.7</v>
      </c>
      <c r="P483" s="179" t="s">
        <v>1805</v>
      </c>
      <c r="Q483" s="179" t="s">
        <v>1426</v>
      </c>
      <c r="R483" s="179" t="s">
        <v>2131</v>
      </c>
      <c r="S483" s="55" t="s">
        <v>2277</v>
      </c>
      <c r="T483" s="54">
        <f>+I483</f>
        <v>4820.2700000000004</v>
      </c>
      <c r="U483" s="54"/>
      <c r="AA483">
        <f t="shared" si="90"/>
        <v>3509</v>
      </c>
      <c r="AD483" t="str">
        <f t="shared" si="91"/>
        <v>313</v>
      </c>
      <c r="AE483">
        <f t="shared" si="92"/>
        <v>0</v>
      </c>
      <c r="AG483" s="50" t="str">
        <f t="shared" si="93"/>
        <v>LE GOSSAN  ACHATS MARCH PROD ENTRETIEN</v>
      </c>
      <c r="AH483" s="244" t="str">
        <f t="shared" si="94"/>
        <v>02903</v>
      </c>
      <c r="AI483" s="219"/>
      <c r="AJ483" s="219"/>
      <c r="AK483" s="219" t="str">
        <f t="shared" si="95"/>
        <v>3101</v>
      </c>
      <c r="AL483" s="244" t="str">
        <f t="shared" si="96"/>
        <v>00</v>
      </c>
      <c r="AN483" s="219" t="str">
        <f t="shared" si="97"/>
        <v>Matériel d'exploitation, petites fournitures PA | Salles communales - Le Gossan, Le Garage |</v>
      </c>
    </row>
    <row r="484" spans="1:40" ht="15" customHeight="1" x14ac:dyDescent="0.3">
      <c r="A484" s="48">
        <v>0</v>
      </c>
      <c r="B484" s="49" t="s">
        <v>737</v>
      </c>
      <c r="C484" s="50" t="s">
        <v>738</v>
      </c>
      <c r="D484" s="46" t="s">
        <v>1459</v>
      </c>
      <c r="E484" s="46" t="s">
        <v>718</v>
      </c>
      <c r="F484" s="199">
        <v>3509</v>
      </c>
      <c r="G484" s="46" t="s">
        <v>131</v>
      </c>
      <c r="H484" s="46"/>
      <c r="I484" s="51">
        <v>18582.8</v>
      </c>
      <c r="J484" s="51">
        <v>0</v>
      </c>
      <c r="K484" s="51">
        <f t="shared" si="100"/>
        <v>18582.8</v>
      </c>
      <c r="L484" s="51">
        <v>23500</v>
      </c>
      <c r="M484" s="51">
        <v>0</v>
      </c>
      <c r="N484" s="51">
        <f t="shared" si="99"/>
        <v>23500</v>
      </c>
      <c r="O484" s="51">
        <v>0</v>
      </c>
      <c r="P484" s="179" t="s">
        <v>1805</v>
      </c>
      <c r="Q484" s="179" t="s">
        <v>1678</v>
      </c>
      <c r="R484" s="179" t="s">
        <v>2131</v>
      </c>
      <c r="S484" s="55" t="s">
        <v>2278</v>
      </c>
      <c r="T484" s="54">
        <f>+I484</f>
        <v>18582.8</v>
      </c>
      <c r="U484" s="54"/>
      <c r="AA484">
        <f t="shared" si="90"/>
        <v>3509</v>
      </c>
      <c r="AD484" t="str">
        <f t="shared" si="91"/>
        <v>314</v>
      </c>
      <c r="AE484">
        <f t="shared" si="92"/>
        <v>0</v>
      </c>
      <c r="AG484" s="50" t="str">
        <f t="shared" si="93"/>
        <v>LE GOSSAN  ENTRETIEN BÂTIMENT</v>
      </c>
      <c r="AH484" s="244" t="str">
        <f t="shared" si="94"/>
        <v>02903</v>
      </c>
      <c r="AI484" s="219"/>
      <c r="AJ484" s="219"/>
      <c r="AK484" s="219" t="str">
        <f t="shared" si="95"/>
        <v>3144</v>
      </c>
      <c r="AL484" s="244" t="str">
        <f t="shared" si="96"/>
        <v>00</v>
      </c>
      <c r="AN484" s="219" t="str">
        <f t="shared" si="97"/>
        <v>Entretien des bâtiments, immeubles PA | Salles communales - Le Gossan, Le Garage |</v>
      </c>
    </row>
    <row r="485" spans="1:40" ht="15" customHeight="1" x14ac:dyDescent="0.3">
      <c r="A485" s="48">
        <v>0</v>
      </c>
      <c r="B485" s="49" t="s">
        <v>739</v>
      </c>
      <c r="C485" s="50" t="s">
        <v>740</v>
      </c>
      <c r="D485" s="46" t="s">
        <v>1459</v>
      </c>
      <c r="E485" s="46" t="s">
        <v>718</v>
      </c>
      <c r="F485" s="199">
        <v>3509</v>
      </c>
      <c r="G485" s="46" t="s">
        <v>131</v>
      </c>
      <c r="H485" s="46">
        <v>1</v>
      </c>
      <c r="I485" s="51">
        <v>0</v>
      </c>
      <c r="J485" s="51">
        <v>0</v>
      </c>
      <c r="K485" s="51">
        <f t="shared" si="100"/>
        <v>0</v>
      </c>
      <c r="L485" s="51">
        <v>2000</v>
      </c>
      <c r="M485" s="51">
        <v>0</v>
      </c>
      <c r="N485" s="51">
        <f t="shared" si="99"/>
        <v>2000</v>
      </c>
      <c r="O485" s="51">
        <v>0</v>
      </c>
      <c r="P485" s="179" t="s">
        <v>1805</v>
      </c>
      <c r="Q485" s="179" t="s">
        <v>1678</v>
      </c>
      <c r="R485" s="179" t="s">
        <v>2131</v>
      </c>
      <c r="S485" s="55" t="s">
        <v>2278</v>
      </c>
      <c r="T485" s="54"/>
      <c r="U485" s="54"/>
      <c r="AA485">
        <f t="shared" si="90"/>
        <v>3509</v>
      </c>
      <c r="AD485" t="str">
        <f t="shared" si="91"/>
        <v>314</v>
      </c>
      <c r="AE485">
        <f t="shared" si="92"/>
        <v>1</v>
      </c>
      <c r="AG485" s="50" t="str">
        <f t="shared" si="93"/>
        <v>LE GOSSAN  CONTRATS ENTRETIEN BÂT</v>
      </c>
      <c r="AH485" s="244" t="str">
        <f t="shared" si="94"/>
        <v>02903</v>
      </c>
      <c r="AI485" s="219"/>
      <c r="AJ485" s="219"/>
      <c r="AK485" s="219" t="str">
        <f t="shared" si="95"/>
        <v>3144</v>
      </c>
      <c r="AL485" s="244" t="str">
        <f t="shared" si="96"/>
        <v>00</v>
      </c>
      <c r="AN485" s="219" t="str">
        <f t="shared" si="97"/>
        <v>Entretien des bâtiments, immeubles PA | Salles communales - Le Gossan, Le Garage |</v>
      </c>
    </row>
    <row r="486" spans="1:40" ht="15" customHeight="1" x14ac:dyDescent="0.3">
      <c r="A486" s="48">
        <v>0</v>
      </c>
      <c r="B486" s="49" t="s">
        <v>741</v>
      </c>
      <c r="C486" s="50" t="s">
        <v>742</v>
      </c>
      <c r="D486" s="46" t="s">
        <v>1459</v>
      </c>
      <c r="E486" s="46" t="s">
        <v>718</v>
      </c>
      <c r="F486" s="199">
        <v>3509</v>
      </c>
      <c r="G486" s="46" t="s">
        <v>123</v>
      </c>
      <c r="H486" s="46"/>
      <c r="I486" s="51">
        <v>29635.55</v>
      </c>
      <c r="J486" s="51">
        <v>0</v>
      </c>
      <c r="K486" s="51">
        <f t="shared" si="100"/>
        <v>29635.55</v>
      </c>
      <c r="L486" s="51">
        <v>28000</v>
      </c>
      <c r="M486" s="51">
        <v>0</v>
      </c>
      <c r="N486" s="51">
        <f t="shared" si="99"/>
        <v>28000</v>
      </c>
      <c r="O486" s="51">
        <v>30610.61</v>
      </c>
      <c r="P486" s="179" t="s">
        <v>1805</v>
      </c>
      <c r="Q486" s="179" t="s">
        <v>1678</v>
      </c>
      <c r="R486" s="179" t="s">
        <v>2131</v>
      </c>
      <c r="S486" s="55" t="s">
        <v>2278</v>
      </c>
      <c r="T486" s="54">
        <f>+I486</f>
        <v>29635.55</v>
      </c>
      <c r="U486" s="54"/>
      <c r="AA486">
        <f t="shared" si="90"/>
        <v>3509</v>
      </c>
      <c r="AD486" t="str">
        <f t="shared" si="91"/>
        <v>315</v>
      </c>
      <c r="AE486">
        <f t="shared" si="92"/>
        <v>0</v>
      </c>
      <c r="AG486" s="50" t="str">
        <f t="shared" si="93"/>
        <v>LE GOSSAN  ENTRETIEN MOB et INST TECH</v>
      </c>
      <c r="AH486" s="244" t="str">
        <f t="shared" si="94"/>
        <v>02903</v>
      </c>
      <c r="AI486" s="219"/>
      <c r="AJ486" s="219"/>
      <c r="AK486" s="219" t="str">
        <f t="shared" si="95"/>
        <v>3144</v>
      </c>
      <c r="AL486" s="244" t="str">
        <f t="shared" si="96"/>
        <v>00</v>
      </c>
      <c r="AN486" s="219" t="str">
        <f t="shared" si="97"/>
        <v>Entretien des bâtiments, immeubles PA | Salles communales - Le Gossan, Le Garage |</v>
      </c>
    </row>
    <row r="487" spans="1:40" ht="15" customHeight="1" x14ac:dyDescent="0.3">
      <c r="A487" s="48">
        <v>0</v>
      </c>
      <c r="B487" s="49" t="s">
        <v>743</v>
      </c>
      <c r="C487" s="50" t="s">
        <v>744</v>
      </c>
      <c r="D487" s="46" t="s">
        <v>1459</v>
      </c>
      <c r="E487" s="46" t="s">
        <v>718</v>
      </c>
      <c r="F487" s="199">
        <v>3509</v>
      </c>
      <c r="G487" s="46" t="s">
        <v>123</v>
      </c>
      <c r="H487" s="46">
        <v>1</v>
      </c>
      <c r="I487" s="51">
        <v>21193.55</v>
      </c>
      <c r="J487" s="51">
        <v>0</v>
      </c>
      <c r="K487" s="51">
        <f t="shared" si="100"/>
        <v>21193.55</v>
      </c>
      <c r="L487" s="51">
        <v>16600</v>
      </c>
      <c r="M487" s="51">
        <v>0</v>
      </c>
      <c r="N487" s="51">
        <f t="shared" si="99"/>
        <v>16600</v>
      </c>
      <c r="O487" s="51">
        <v>17272.25</v>
      </c>
      <c r="P487" s="179" t="s">
        <v>1805</v>
      </c>
      <c r="Q487" s="179" t="s">
        <v>1678</v>
      </c>
      <c r="R487" s="179" t="s">
        <v>2131</v>
      </c>
      <c r="S487" s="55" t="s">
        <v>2278</v>
      </c>
      <c r="T487" s="54">
        <f>+I487</f>
        <v>21193.55</v>
      </c>
      <c r="U487" s="54"/>
      <c r="AA487">
        <f t="shared" si="90"/>
        <v>3509</v>
      </c>
      <c r="AD487" t="str">
        <f t="shared" si="91"/>
        <v>315</v>
      </c>
      <c r="AE487">
        <f t="shared" si="92"/>
        <v>1</v>
      </c>
      <c r="AG487" s="50" t="str">
        <f t="shared" si="93"/>
        <v>LE GOSSAN  CONTRATS ENT INST TECH</v>
      </c>
      <c r="AH487" s="244" t="str">
        <f t="shared" si="94"/>
        <v>02903</v>
      </c>
      <c r="AI487" s="219"/>
      <c r="AJ487" s="219"/>
      <c r="AK487" s="219" t="str">
        <f t="shared" si="95"/>
        <v>3144</v>
      </c>
      <c r="AL487" s="244" t="str">
        <f t="shared" si="96"/>
        <v>00</v>
      </c>
      <c r="AN487" s="219" t="str">
        <f t="shared" si="97"/>
        <v>Entretien des bâtiments, immeubles PA | Salles communales - Le Gossan, Le Garage |</v>
      </c>
    </row>
    <row r="488" spans="1:40" ht="15" customHeight="1" x14ac:dyDescent="0.3">
      <c r="A488" s="48">
        <v>0</v>
      </c>
      <c r="B488" s="49" t="s">
        <v>745</v>
      </c>
      <c r="C488" s="50" t="s">
        <v>746</v>
      </c>
      <c r="D488" s="46" t="s">
        <v>1459</v>
      </c>
      <c r="E488" s="46" t="s">
        <v>718</v>
      </c>
      <c r="F488" s="199">
        <v>3509</v>
      </c>
      <c r="G488" s="46" t="s">
        <v>48</v>
      </c>
      <c r="H488" s="46"/>
      <c r="I488" s="51">
        <v>7984.7</v>
      </c>
      <c r="J488" s="51">
        <v>0</v>
      </c>
      <c r="K488" s="51">
        <f t="shared" si="100"/>
        <v>7984.7</v>
      </c>
      <c r="L488" s="51">
        <v>12000</v>
      </c>
      <c r="M488" s="51">
        <v>0</v>
      </c>
      <c r="N488" s="51">
        <f t="shared" si="99"/>
        <v>12000</v>
      </c>
      <c r="O488" s="51">
        <v>9141.1</v>
      </c>
      <c r="P488" s="179" t="s">
        <v>1805</v>
      </c>
      <c r="Q488" s="179" t="s">
        <v>1418</v>
      </c>
      <c r="R488" s="179" t="s">
        <v>2131</v>
      </c>
      <c r="S488" s="55" t="s">
        <v>2279</v>
      </c>
      <c r="T488" s="54">
        <f>+I488</f>
        <v>7984.7</v>
      </c>
      <c r="U488" s="54"/>
      <c r="AA488">
        <f t="shared" si="90"/>
        <v>3509</v>
      </c>
      <c r="AD488" t="str">
        <f t="shared" si="91"/>
        <v>318</v>
      </c>
      <c r="AE488">
        <f t="shared" si="92"/>
        <v>0</v>
      </c>
      <c r="AG488" s="50" t="str">
        <f t="shared" si="93"/>
        <v>LE GOSSAN  PREST SERVICES ASS et HONORAIRES</v>
      </c>
      <c r="AH488" s="244" t="str">
        <f t="shared" si="94"/>
        <v>02903</v>
      </c>
      <c r="AI488" s="219"/>
      <c r="AJ488" s="219"/>
      <c r="AK488" s="219" t="str">
        <f t="shared" si="95"/>
        <v>3134</v>
      </c>
      <c r="AL488" s="244" t="str">
        <f t="shared" si="96"/>
        <v>00</v>
      </c>
      <c r="AN488" s="219" t="str">
        <f t="shared" si="97"/>
        <v>Frais Assurances PA | Salles communales - Le Gossan, Le Garage |</v>
      </c>
    </row>
    <row r="489" spans="1:40" ht="15" customHeight="1" x14ac:dyDescent="0.3">
      <c r="A489" s="48">
        <v>0</v>
      </c>
      <c r="B489" s="49" t="s">
        <v>747</v>
      </c>
      <c r="C489" s="50" t="s">
        <v>748</v>
      </c>
      <c r="D489" s="46" t="s">
        <v>1459</v>
      </c>
      <c r="E489" s="46" t="s">
        <v>718</v>
      </c>
      <c r="F489" s="199">
        <v>3509</v>
      </c>
      <c r="G489" s="46" t="s">
        <v>164</v>
      </c>
      <c r="H489" s="46"/>
      <c r="I489" s="51">
        <v>0</v>
      </c>
      <c r="J489" s="51">
        <v>0</v>
      </c>
      <c r="K489" s="51">
        <f t="shared" si="100"/>
        <v>0</v>
      </c>
      <c r="L489" s="51">
        <v>0</v>
      </c>
      <c r="M489" s="51">
        <v>0</v>
      </c>
      <c r="N489" s="51">
        <f t="shared" si="99"/>
        <v>0</v>
      </c>
      <c r="O489" s="51">
        <v>0</v>
      </c>
      <c r="P489" s="179" t="s">
        <v>1489</v>
      </c>
      <c r="Q489" s="179" t="s">
        <v>1489</v>
      </c>
      <c r="R489" s="179" t="s">
        <v>1489</v>
      </c>
      <c r="S489" s="47" t="s">
        <v>1489</v>
      </c>
      <c r="T489" s="54"/>
      <c r="U489" s="54"/>
      <c r="AA489">
        <f t="shared" si="90"/>
        <v>3509</v>
      </c>
      <c r="AD489" t="str">
        <f t="shared" si="91"/>
        <v>331</v>
      </c>
      <c r="AE489">
        <f t="shared" si="92"/>
        <v>0</v>
      </c>
      <c r="AG489" s="50" t="str">
        <f t="shared" si="93"/>
        <v>LE GOSSAN  AMORT PATR ADM</v>
      </c>
      <c r="AH489" s="244" t="str">
        <f t="shared" si="94"/>
        <v>-</v>
      </c>
      <c r="AI489" s="219"/>
      <c r="AJ489" s="219"/>
      <c r="AK489" s="219" t="str">
        <f t="shared" si="95"/>
        <v>-</v>
      </c>
      <c r="AL489" s="244" t="str">
        <f t="shared" si="96"/>
        <v>-</v>
      </c>
      <c r="AN489" s="219" t="str">
        <f t="shared" si="97"/>
        <v>-</v>
      </c>
    </row>
    <row r="490" spans="1:40" ht="15" customHeight="1" x14ac:dyDescent="0.3">
      <c r="A490" s="48">
        <v>0</v>
      </c>
      <c r="B490" s="49" t="s">
        <v>749</v>
      </c>
      <c r="C490" s="50" t="s">
        <v>750</v>
      </c>
      <c r="D490" s="46" t="s">
        <v>1459</v>
      </c>
      <c r="E490" s="46" t="s">
        <v>718</v>
      </c>
      <c r="F490" s="199">
        <v>3509</v>
      </c>
      <c r="G490" s="46" t="s">
        <v>96</v>
      </c>
      <c r="H490" s="46"/>
      <c r="I490" s="51">
        <v>0</v>
      </c>
      <c r="J490" s="51">
        <v>0</v>
      </c>
      <c r="K490" s="51">
        <f t="shared" si="100"/>
        <v>0</v>
      </c>
      <c r="L490" s="51">
        <v>0</v>
      </c>
      <c r="M490" s="51">
        <v>0</v>
      </c>
      <c r="N490" s="51">
        <f t="shared" si="99"/>
        <v>0</v>
      </c>
      <c r="O490" s="51">
        <v>0</v>
      </c>
      <c r="P490" s="179" t="s">
        <v>1489</v>
      </c>
      <c r="Q490" s="179" t="s">
        <v>1489</v>
      </c>
      <c r="R490" s="179" t="s">
        <v>1489</v>
      </c>
      <c r="S490" s="47" t="s">
        <v>1489</v>
      </c>
      <c r="T490" s="54"/>
      <c r="U490" s="54"/>
      <c r="AA490">
        <f t="shared" si="90"/>
        <v>3509</v>
      </c>
      <c r="AD490" t="str">
        <f t="shared" si="91"/>
        <v>332</v>
      </c>
      <c r="AE490">
        <f t="shared" si="92"/>
        <v>0</v>
      </c>
      <c r="AG490" s="50" t="str">
        <f t="shared" si="93"/>
        <v>LE GOSSAN  AMORT PATR. ADMINISTRAT SUPPL</v>
      </c>
      <c r="AH490" s="244" t="str">
        <f t="shared" si="94"/>
        <v>-</v>
      </c>
      <c r="AI490" s="219"/>
      <c r="AJ490" s="219"/>
      <c r="AK490" s="219" t="str">
        <f t="shared" si="95"/>
        <v>-</v>
      </c>
      <c r="AL490" s="244" t="str">
        <f t="shared" si="96"/>
        <v>-</v>
      </c>
      <c r="AN490" s="219" t="str">
        <f t="shared" si="97"/>
        <v>-</v>
      </c>
    </row>
    <row r="491" spans="1:40" ht="15" customHeight="1" x14ac:dyDescent="0.3">
      <c r="A491" s="48">
        <v>0</v>
      </c>
      <c r="B491" s="49" t="s">
        <v>751</v>
      </c>
      <c r="C491" s="50" t="s">
        <v>752</v>
      </c>
      <c r="D491" s="46" t="s">
        <v>1459</v>
      </c>
      <c r="E491" s="46" t="s">
        <v>718</v>
      </c>
      <c r="F491" s="199">
        <v>3509</v>
      </c>
      <c r="G491" s="46" t="s">
        <v>6</v>
      </c>
      <c r="H491" s="46"/>
      <c r="I491" s="51">
        <v>0</v>
      </c>
      <c r="J491" s="51">
        <v>0</v>
      </c>
      <c r="K491" s="51">
        <f t="shared" si="100"/>
        <v>0</v>
      </c>
      <c r="L491" s="51">
        <v>0</v>
      </c>
      <c r="M491" s="51">
        <v>0</v>
      </c>
      <c r="N491" s="51">
        <f t="shared" si="99"/>
        <v>0</v>
      </c>
      <c r="O491" s="51">
        <v>0</v>
      </c>
      <c r="P491" s="179" t="s">
        <v>1489</v>
      </c>
      <c r="Q491" s="179" t="s">
        <v>1489</v>
      </c>
      <c r="R491" s="179" t="s">
        <v>1489</v>
      </c>
      <c r="S491" s="47" t="s">
        <v>1489</v>
      </c>
      <c r="T491" s="54"/>
      <c r="U491" s="54"/>
      <c r="AA491">
        <f t="shared" si="90"/>
        <v>3509</v>
      </c>
      <c r="AD491" t="str">
        <f t="shared" si="91"/>
        <v>380</v>
      </c>
      <c r="AE491">
        <f t="shared" si="92"/>
        <v>0</v>
      </c>
      <c r="AG491" s="50" t="str">
        <f t="shared" si="93"/>
        <v>LE GOSSAN  ATTRIB FONDS RENOVATION (9281.9)</v>
      </c>
      <c r="AH491" s="244" t="str">
        <f t="shared" si="94"/>
        <v>-</v>
      </c>
      <c r="AI491" s="219"/>
      <c r="AJ491" s="219"/>
      <c r="AK491" s="219" t="str">
        <f t="shared" si="95"/>
        <v>-</v>
      </c>
      <c r="AL491" s="244" t="str">
        <f t="shared" si="96"/>
        <v>-</v>
      </c>
      <c r="AN491" s="219" t="str">
        <f t="shared" si="97"/>
        <v>-</v>
      </c>
    </row>
    <row r="492" spans="1:40" ht="15" customHeight="1" x14ac:dyDescent="0.3">
      <c r="A492" s="48">
        <v>0</v>
      </c>
      <c r="B492" s="49" t="s">
        <v>753</v>
      </c>
      <c r="C492" s="50" t="s">
        <v>754</v>
      </c>
      <c r="D492" s="46" t="s">
        <v>1459</v>
      </c>
      <c r="E492" s="46" t="s">
        <v>718</v>
      </c>
      <c r="F492" s="199">
        <v>3509</v>
      </c>
      <c r="G492" s="46" t="s">
        <v>28</v>
      </c>
      <c r="H492" s="46">
        <v>1</v>
      </c>
      <c r="I492" s="51">
        <v>0</v>
      </c>
      <c r="J492" s="51">
        <v>0</v>
      </c>
      <c r="K492" s="51">
        <f t="shared" si="100"/>
        <v>0</v>
      </c>
      <c r="L492" s="51">
        <v>0</v>
      </c>
      <c r="M492" s="51">
        <v>0</v>
      </c>
      <c r="N492" s="51">
        <f t="shared" si="99"/>
        <v>0</v>
      </c>
      <c r="O492" s="51">
        <v>0</v>
      </c>
      <c r="P492" s="179" t="s">
        <v>1489</v>
      </c>
      <c r="Q492" s="179" t="s">
        <v>1489</v>
      </c>
      <c r="R492" s="179" t="s">
        <v>1489</v>
      </c>
      <c r="S492" s="47" t="s">
        <v>1489</v>
      </c>
      <c r="T492" s="54"/>
      <c r="U492" s="54"/>
      <c r="AA492">
        <f t="shared" si="90"/>
        <v>3509</v>
      </c>
      <c r="AD492" t="str">
        <f t="shared" si="91"/>
        <v>390</v>
      </c>
      <c r="AE492">
        <f t="shared" si="92"/>
        <v>1</v>
      </c>
      <c r="AG492" s="50" t="str">
        <f t="shared" si="93"/>
        <v>LE GOSSAN  IMPUTATIONS INT SALAIRES</v>
      </c>
      <c r="AH492" s="244" t="str">
        <f t="shared" si="94"/>
        <v>-</v>
      </c>
      <c r="AI492" s="219"/>
      <c r="AJ492" s="219"/>
      <c r="AK492" s="219" t="str">
        <f t="shared" si="95"/>
        <v>-</v>
      </c>
      <c r="AL492" s="244" t="str">
        <f t="shared" si="96"/>
        <v>-</v>
      </c>
      <c r="AN492" s="219" t="str">
        <f t="shared" si="97"/>
        <v>-</v>
      </c>
    </row>
    <row r="493" spans="1:40" ht="15" customHeight="1" x14ac:dyDescent="0.3">
      <c r="A493" s="48">
        <v>0</v>
      </c>
      <c r="B493" s="49" t="s">
        <v>755</v>
      </c>
      <c r="C493" s="50" t="s">
        <v>756</v>
      </c>
      <c r="D493" s="46" t="s">
        <v>1459</v>
      </c>
      <c r="E493" s="46" t="s">
        <v>718</v>
      </c>
      <c r="F493" s="199">
        <v>3509</v>
      </c>
      <c r="G493" s="46" t="s">
        <v>28</v>
      </c>
      <c r="H493" s="46">
        <v>2</v>
      </c>
      <c r="I493" s="51">
        <v>0</v>
      </c>
      <c r="J493" s="51">
        <v>0</v>
      </c>
      <c r="K493" s="51">
        <f t="shared" si="100"/>
        <v>0</v>
      </c>
      <c r="L493" s="51">
        <v>0</v>
      </c>
      <c r="M493" s="51">
        <v>0</v>
      </c>
      <c r="N493" s="51">
        <f t="shared" si="99"/>
        <v>0</v>
      </c>
      <c r="O493" s="51">
        <v>0</v>
      </c>
      <c r="P493" s="179" t="s">
        <v>1489</v>
      </c>
      <c r="Q493" s="179" t="s">
        <v>1489</v>
      </c>
      <c r="R493" s="179" t="s">
        <v>1489</v>
      </c>
      <c r="S493" s="47" t="s">
        <v>1489</v>
      </c>
      <c r="T493" s="54"/>
      <c r="U493" s="54"/>
      <c r="AA493">
        <f t="shared" si="90"/>
        <v>3509</v>
      </c>
      <c r="AD493" t="str">
        <f t="shared" si="91"/>
        <v>390</v>
      </c>
      <c r="AE493">
        <f t="shared" si="92"/>
        <v>2</v>
      </c>
      <c r="AG493" s="50" t="str">
        <f t="shared" si="93"/>
        <v>LE GOSSAN  IMPUTATIONS INTERNES INTERÊTS</v>
      </c>
      <c r="AH493" s="244" t="str">
        <f t="shared" si="94"/>
        <v>-</v>
      </c>
      <c r="AI493" s="219"/>
      <c r="AJ493" s="219"/>
      <c r="AK493" s="219" t="str">
        <f t="shared" si="95"/>
        <v>-</v>
      </c>
      <c r="AL493" s="244" t="str">
        <f t="shared" si="96"/>
        <v>-</v>
      </c>
      <c r="AN493" s="219" t="str">
        <f t="shared" si="97"/>
        <v>-</v>
      </c>
    </row>
    <row r="494" spans="1:40" ht="15" customHeight="1" x14ac:dyDescent="0.3">
      <c r="A494" s="48">
        <v>0</v>
      </c>
      <c r="B494" s="49" t="s">
        <v>757</v>
      </c>
      <c r="C494" s="50" t="s">
        <v>758</v>
      </c>
      <c r="D494" s="46" t="s">
        <v>1459</v>
      </c>
      <c r="E494" s="46" t="s">
        <v>718</v>
      </c>
      <c r="F494" s="199">
        <v>3509</v>
      </c>
      <c r="G494" s="46" t="s">
        <v>335</v>
      </c>
      <c r="H494" s="46"/>
      <c r="I494" s="51">
        <v>0</v>
      </c>
      <c r="J494" s="51">
        <v>-7250</v>
      </c>
      <c r="K494" s="51">
        <f t="shared" si="100"/>
        <v>-7250</v>
      </c>
      <c r="L494" s="51">
        <v>0</v>
      </c>
      <c r="M494" s="51">
        <v>-9000</v>
      </c>
      <c r="N494" s="51">
        <f t="shared" si="99"/>
        <v>-9000</v>
      </c>
      <c r="O494" s="51">
        <v>-4622.5</v>
      </c>
      <c r="P494" s="179" t="s">
        <v>1805</v>
      </c>
      <c r="Q494" s="179" t="s">
        <v>1842</v>
      </c>
      <c r="R494" s="179" t="s">
        <v>2131</v>
      </c>
      <c r="S494" s="57" t="s">
        <v>2280</v>
      </c>
      <c r="T494" s="54">
        <f>+J494</f>
        <v>-7250</v>
      </c>
      <c r="U494" s="54"/>
      <c r="AA494">
        <f t="shared" si="90"/>
        <v>3509</v>
      </c>
      <c r="AD494" t="str">
        <f t="shared" si="91"/>
        <v>427</v>
      </c>
      <c r="AE494">
        <f t="shared" si="92"/>
        <v>0</v>
      </c>
      <c r="AG494" s="50" t="str">
        <f t="shared" si="93"/>
        <v>LE GOSSAN  LOYERS COMMUNAUX : Revenus Imm., Loc. Salle</v>
      </c>
      <c r="AH494" s="244" t="str">
        <f t="shared" si="94"/>
        <v>02903</v>
      </c>
      <c r="AI494" s="219"/>
      <c r="AJ494" s="219"/>
      <c r="AK494" s="219" t="str">
        <f t="shared" si="95"/>
        <v>4470</v>
      </c>
      <c r="AL494" s="244" t="str">
        <f t="shared" si="96"/>
        <v>00</v>
      </c>
      <c r="AN494" s="219" t="str">
        <f t="shared" si="97"/>
        <v>Loyers et fermages des biens-fonds PA | Salles communales - Le Gossan, Le Garage |</v>
      </c>
    </row>
    <row r="495" spans="1:40" ht="15" customHeight="1" x14ac:dyDescent="0.3">
      <c r="A495" s="48">
        <v>0</v>
      </c>
      <c r="B495" s="74" t="s">
        <v>759</v>
      </c>
      <c r="C495" s="67" t="s">
        <v>760</v>
      </c>
      <c r="D495" s="188" t="s">
        <v>1459</v>
      </c>
      <c r="E495" s="46" t="s">
        <v>718</v>
      </c>
      <c r="F495" s="199">
        <v>3509</v>
      </c>
      <c r="G495" s="46" t="s">
        <v>335</v>
      </c>
      <c r="H495" s="46">
        <v>1</v>
      </c>
      <c r="I495" s="51">
        <v>0</v>
      </c>
      <c r="J495" s="51">
        <v>-239501</v>
      </c>
      <c r="K495" s="51">
        <f t="shared" si="100"/>
        <v>-239501</v>
      </c>
      <c r="L495" s="51">
        <v>0</v>
      </c>
      <c r="M495" s="51">
        <v>-241214</v>
      </c>
      <c r="N495" s="51">
        <f t="shared" si="99"/>
        <v>-241214</v>
      </c>
      <c r="O495" s="51">
        <v>0</v>
      </c>
      <c r="P495" s="179" t="s">
        <v>1805</v>
      </c>
      <c r="Q495" s="179">
        <v>4612</v>
      </c>
      <c r="R495" s="179" t="s">
        <v>2131</v>
      </c>
      <c r="S495" s="52" t="s">
        <v>2082</v>
      </c>
      <c r="T495" s="54">
        <f>+J495</f>
        <v>-239501</v>
      </c>
      <c r="U495" s="212">
        <v>-236124</v>
      </c>
      <c r="W495" s="123" t="s">
        <v>1921</v>
      </c>
      <c r="AA495">
        <f t="shared" si="90"/>
        <v>3509</v>
      </c>
      <c r="AD495" t="str">
        <f t="shared" si="91"/>
        <v>427</v>
      </c>
      <c r="AE495">
        <f t="shared" si="92"/>
        <v>1</v>
      </c>
      <c r="AG495" s="50" t="str">
        <f t="shared" si="93"/>
        <v>LE GOSSAN  LOYER : Réfectoire scolaire</v>
      </c>
      <c r="AH495" s="244" t="str">
        <f t="shared" si="94"/>
        <v>02903</v>
      </c>
      <c r="AI495" s="219"/>
      <c r="AJ495" s="219"/>
      <c r="AK495" s="219">
        <f t="shared" si="95"/>
        <v>4612</v>
      </c>
      <c r="AL495" s="244" t="str">
        <f t="shared" si="96"/>
        <v>00</v>
      </c>
      <c r="AN495" s="219" t="str">
        <f t="shared" si="97"/>
        <v>Dédommagement des communes et associations intercommunales - AISGE - Loyers Le Gossan</v>
      </c>
    </row>
    <row r="496" spans="1:40" ht="15" customHeight="1" x14ac:dyDescent="0.3">
      <c r="A496" s="48"/>
      <c r="B496" s="74" t="s">
        <v>759</v>
      </c>
      <c r="C496" s="67" t="s">
        <v>760</v>
      </c>
      <c r="D496" s="188" t="s">
        <v>1459</v>
      </c>
      <c r="E496" s="46"/>
      <c r="F496" s="199">
        <v>3509</v>
      </c>
      <c r="G496" s="46" t="s">
        <v>335</v>
      </c>
      <c r="H496" s="46">
        <v>1</v>
      </c>
      <c r="I496" s="51"/>
      <c r="J496" s="51"/>
      <c r="K496" s="51"/>
      <c r="L496" s="51"/>
      <c r="M496" s="51"/>
      <c r="N496" s="51"/>
      <c r="O496" s="51"/>
      <c r="P496" s="179" t="s">
        <v>1844</v>
      </c>
      <c r="Q496" s="179">
        <v>4612</v>
      </c>
      <c r="R496" s="179" t="s">
        <v>2131</v>
      </c>
      <c r="S496" s="57" t="s">
        <v>2084</v>
      </c>
      <c r="T496" s="54"/>
      <c r="U496" s="212">
        <v>-5000</v>
      </c>
      <c r="W496" t="s">
        <v>2083</v>
      </c>
      <c r="AA496">
        <f t="shared" si="90"/>
        <v>3509</v>
      </c>
      <c r="AD496" t="str">
        <f t="shared" si="91"/>
        <v>427</v>
      </c>
      <c r="AE496">
        <f t="shared" si="92"/>
        <v>1</v>
      </c>
      <c r="AG496" s="50" t="str">
        <f t="shared" si="93"/>
        <v>LE GOSSAN  LOYER : Réfectoire scolaire</v>
      </c>
      <c r="AH496" s="244" t="str">
        <f t="shared" si="94"/>
        <v>61510</v>
      </c>
      <c r="AI496" s="219"/>
      <c r="AJ496" s="219"/>
      <c r="AK496" s="219">
        <f t="shared" si="95"/>
        <v>4612</v>
      </c>
      <c r="AL496" s="244" t="str">
        <f t="shared" si="96"/>
        <v>00</v>
      </c>
      <c r="AN496" s="219" t="str">
        <f t="shared" si="97"/>
        <v>Loyers et fermages des biens-fonds PA - AISGE parkings</v>
      </c>
    </row>
    <row r="497" spans="1:40" ht="15" customHeight="1" x14ac:dyDescent="0.3">
      <c r="A497" s="48">
        <v>0</v>
      </c>
      <c r="B497" s="49" t="s">
        <v>761</v>
      </c>
      <c r="C497" s="50" t="s">
        <v>762</v>
      </c>
      <c r="D497" s="46" t="s">
        <v>1459</v>
      </c>
      <c r="E497" s="46" t="s">
        <v>718</v>
      </c>
      <c r="F497" s="199">
        <v>3509</v>
      </c>
      <c r="G497" s="46" t="s">
        <v>61</v>
      </c>
      <c r="H497" s="46"/>
      <c r="I497" s="51">
        <v>0</v>
      </c>
      <c r="J497" s="51">
        <v>-9600</v>
      </c>
      <c r="K497" s="51">
        <f t="shared" ref="K497:K516" si="101">+I497+J497</f>
        <v>-9600</v>
      </c>
      <c r="L497" s="51">
        <v>0</v>
      </c>
      <c r="M497" s="51">
        <v>0</v>
      </c>
      <c r="N497" s="51">
        <f t="shared" ref="N497:N528" si="102">+L497+M497</f>
        <v>0</v>
      </c>
      <c r="O497" s="51">
        <v>-13112.15</v>
      </c>
      <c r="P497" s="179" t="s">
        <v>1805</v>
      </c>
      <c r="Q497" s="179" t="s">
        <v>1842</v>
      </c>
      <c r="R497" s="179" t="s">
        <v>2131</v>
      </c>
      <c r="S497" s="57" t="s">
        <v>2280</v>
      </c>
      <c r="T497" s="54">
        <f>+J497</f>
        <v>-9600</v>
      </c>
      <c r="U497" s="54"/>
      <c r="W497" t="s">
        <v>1866</v>
      </c>
      <c r="AA497">
        <f t="shared" si="90"/>
        <v>3509</v>
      </c>
      <c r="AD497" t="str">
        <f t="shared" si="91"/>
        <v>436</v>
      </c>
      <c r="AE497">
        <f t="shared" si="92"/>
        <v>0</v>
      </c>
      <c r="AG497" s="50" t="str">
        <f t="shared" si="93"/>
        <v>LE GOSSAN  PART DE TIERS</v>
      </c>
      <c r="AH497" s="244" t="str">
        <f t="shared" si="94"/>
        <v>02903</v>
      </c>
      <c r="AI497" s="219"/>
      <c r="AJ497" s="219"/>
      <c r="AK497" s="219" t="str">
        <f t="shared" si="95"/>
        <v>4470</v>
      </c>
      <c r="AL497" s="244" t="str">
        <f t="shared" si="96"/>
        <v>00</v>
      </c>
      <c r="AN497" s="219" t="str">
        <f t="shared" si="97"/>
        <v>Loyers et fermages des biens-fonds PA | Salles communales - Le Gossan, Le Garage |</v>
      </c>
    </row>
    <row r="498" spans="1:40" ht="15" customHeight="1" x14ac:dyDescent="0.3">
      <c r="A498" s="48">
        <v>0</v>
      </c>
      <c r="B498" s="49" t="s">
        <v>763</v>
      </c>
      <c r="C498" s="50" t="s">
        <v>764</v>
      </c>
      <c r="D498" s="46" t="s">
        <v>1459</v>
      </c>
      <c r="E498" s="46" t="s">
        <v>718</v>
      </c>
      <c r="F498" s="199">
        <v>3509</v>
      </c>
      <c r="G498" s="46" t="s">
        <v>64</v>
      </c>
      <c r="H498" s="46"/>
      <c r="I498" s="51">
        <v>0</v>
      </c>
      <c r="J498" s="51">
        <v>0</v>
      </c>
      <c r="K498" s="51">
        <f t="shared" si="101"/>
        <v>0</v>
      </c>
      <c r="L498" s="51">
        <v>0</v>
      </c>
      <c r="M498" s="51">
        <v>0</v>
      </c>
      <c r="N498" s="51">
        <f t="shared" si="102"/>
        <v>0</v>
      </c>
      <c r="O498" s="51">
        <v>0</v>
      </c>
      <c r="P498" s="179" t="s">
        <v>1489</v>
      </c>
      <c r="Q498" s="179" t="s">
        <v>1489</v>
      </c>
      <c r="R498" s="179" t="s">
        <v>1489</v>
      </c>
      <c r="S498" s="47" t="s">
        <v>1489</v>
      </c>
      <c r="T498" s="54"/>
      <c r="U498" s="54"/>
      <c r="AA498">
        <f t="shared" si="90"/>
        <v>3509</v>
      </c>
      <c r="AD498" t="str">
        <f t="shared" si="91"/>
        <v>480</v>
      </c>
      <c r="AE498">
        <f t="shared" si="92"/>
        <v>0</v>
      </c>
      <c r="AG498" s="50" t="str">
        <f t="shared" si="93"/>
        <v>LE GOSSAN  PRELEVEMENT FONDS DE RESERVE</v>
      </c>
      <c r="AH498" s="244" t="str">
        <f t="shared" si="94"/>
        <v>-</v>
      </c>
      <c r="AI498" s="219"/>
      <c r="AJ498" s="219"/>
      <c r="AK498" s="219" t="str">
        <f t="shared" si="95"/>
        <v>-</v>
      </c>
      <c r="AL498" s="244" t="str">
        <f t="shared" si="96"/>
        <v>-</v>
      </c>
      <c r="AN498" s="219" t="str">
        <f t="shared" si="97"/>
        <v>-</v>
      </c>
    </row>
    <row r="499" spans="1:40" ht="15" customHeight="1" x14ac:dyDescent="0.3">
      <c r="A499" s="48">
        <v>0</v>
      </c>
      <c r="B499" s="49" t="s">
        <v>766</v>
      </c>
      <c r="C499" s="50" t="s">
        <v>767</v>
      </c>
      <c r="D499" s="46" t="s">
        <v>1459</v>
      </c>
      <c r="E499" s="46" t="s">
        <v>765</v>
      </c>
      <c r="F499" s="46">
        <v>3510</v>
      </c>
      <c r="G499" s="46" t="s">
        <v>25</v>
      </c>
      <c r="H499" s="46"/>
      <c r="I499" s="51">
        <v>0</v>
      </c>
      <c r="J499" s="51">
        <v>0</v>
      </c>
      <c r="K499" s="51">
        <f t="shared" si="101"/>
        <v>0</v>
      </c>
      <c r="L499" s="51">
        <v>1000</v>
      </c>
      <c r="M499" s="51">
        <v>0</v>
      </c>
      <c r="N499" s="51">
        <f t="shared" si="102"/>
        <v>1000</v>
      </c>
      <c r="O499" s="51">
        <v>0</v>
      </c>
      <c r="P499" s="179" t="s">
        <v>1806</v>
      </c>
      <c r="Q499" s="179" t="s">
        <v>1493</v>
      </c>
      <c r="R499" s="179" t="s">
        <v>2131</v>
      </c>
      <c r="S499" s="66" t="s">
        <v>2286</v>
      </c>
      <c r="T499" s="54"/>
      <c r="U499" s="54"/>
      <c r="AA499">
        <f t="shared" si="90"/>
        <v>3510</v>
      </c>
      <c r="AD499" t="str">
        <f t="shared" si="91"/>
        <v>311</v>
      </c>
      <c r="AE499">
        <f t="shared" si="92"/>
        <v>0</v>
      </c>
      <c r="AG499" s="50" t="str">
        <f t="shared" si="93"/>
        <v>PAVILLON  ACHATS MOBILIER MACH. MATERIEL</v>
      </c>
      <c r="AH499" s="244" t="str">
        <f t="shared" si="94"/>
        <v>02904</v>
      </c>
      <c r="AI499" s="219"/>
      <c r="AJ499" s="219"/>
      <c r="AK499" s="219" t="str">
        <f t="shared" si="95"/>
        <v>3111</v>
      </c>
      <c r="AL499" s="244" t="str">
        <f t="shared" si="96"/>
        <v>00</v>
      </c>
      <c r="AN499" s="219" t="str">
        <f t="shared" si="97"/>
        <v>Machines, appareils PA | Le Pavillon |</v>
      </c>
    </row>
    <row r="500" spans="1:40" ht="15" customHeight="1" x14ac:dyDescent="0.3">
      <c r="A500" s="48"/>
      <c r="B500" s="49"/>
      <c r="C500" s="50"/>
      <c r="D500" s="46"/>
      <c r="E500" s="46"/>
      <c r="F500" s="46"/>
      <c r="G500" s="46"/>
      <c r="H500" s="46"/>
      <c r="I500" s="51"/>
      <c r="J500" s="51"/>
      <c r="K500" s="51">
        <f t="shared" si="101"/>
        <v>0</v>
      </c>
      <c r="L500" s="51"/>
      <c r="M500" s="51"/>
      <c r="N500" s="51">
        <f t="shared" si="102"/>
        <v>0</v>
      </c>
      <c r="O500" s="51"/>
      <c r="P500" s="179" t="s">
        <v>1806</v>
      </c>
      <c r="Q500" s="179" t="s">
        <v>1500</v>
      </c>
      <c r="R500" s="179" t="s">
        <v>2133</v>
      </c>
      <c r="S500" s="66" t="s">
        <v>2281</v>
      </c>
      <c r="T500" s="54"/>
      <c r="U500" s="54"/>
      <c r="AA500">
        <f t="shared" si="90"/>
        <v>0</v>
      </c>
      <c r="AD500">
        <f t="shared" si="91"/>
        <v>0</v>
      </c>
      <c r="AE500">
        <f t="shared" si="92"/>
        <v>0</v>
      </c>
      <c r="AG500" s="50">
        <f t="shared" si="93"/>
        <v>0</v>
      </c>
      <c r="AH500" s="244" t="str">
        <f t="shared" si="94"/>
        <v>02904</v>
      </c>
      <c r="AI500" s="219"/>
      <c r="AJ500" s="219"/>
      <c r="AK500" s="219" t="str">
        <f t="shared" si="95"/>
        <v>3120</v>
      </c>
      <c r="AL500" s="244" t="str">
        <f t="shared" si="96"/>
        <v>02</v>
      </c>
      <c r="AN500" s="219" t="str">
        <f t="shared" si="97"/>
        <v>Frais d'eau PA | Le Pavillon |</v>
      </c>
    </row>
    <row r="501" spans="1:40" ht="15" customHeight="1" x14ac:dyDescent="0.3">
      <c r="A501" s="48">
        <v>0</v>
      </c>
      <c r="B501" s="49" t="s">
        <v>768</v>
      </c>
      <c r="C501" s="50" t="s">
        <v>769</v>
      </c>
      <c r="D501" s="46" t="s">
        <v>1459</v>
      </c>
      <c r="E501" s="46" t="s">
        <v>765</v>
      </c>
      <c r="F501" s="46">
        <v>3510</v>
      </c>
      <c r="G501" s="46" t="s">
        <v>159</v>
      </c>
      <c r="H501" s="46"/>
      <c r="I501" s="51">
        <v>2035.65</v>
      </c>
      <c r="J501" s="51">
        <v>0</v>
      </c>
      <c r="K501" s="51">
        <f t="shared" si="101"/>
        <v>2035.65</v>
      </c>
      <c r="L501" s="51">
        <v>4000</v>
      </c>
      <c r="M501" s="51">
        <v>0</v>
      </c>
      <c r="N501" s="51">
        <f t="shared" si="102"/>
        <v>4000</v>
      </c>
      <c r="O501" s="51">
        <v>1457.25</v>
      </c>
      <c r="P501" s="179" t="s">
        <v>1806</v>
      </c>
      <c r="Q501" s="179" t="s">
        <v>1500</v>
      </c>
      <c r="R501" s="179" t="s">
        <v>2132</v>
      </c>
      <c r="S501" s="66" t="s">
        <v>2282</v>
      </c>
      <c r="T501" s="54">
        <f>+I501</f>
        <v>2035.65</v>
      </c>
      <c r="U501" s="54"/>
      <c r="AA501">
        <f t="shared" si="90"/>
        <v>3510</v>
      </c>
      <c r="AD501" t="str">
        <f t="shared" si="91"/>
        <v>312</v>
      </c>
      <c r="AE501">
        <f t="shared" si="92"/>
        <v>0</v>
      </c>
      <c r="AG501" s="50" t="str">
        <f t="shared" si="93"/>
        <v>PAVILLON  ACHATS ELECTRICITE</v>
      </c>
      <c r="AH501" s="244" t="str">
        <f t="shared" si="94"/>
        <v>02904</v>
      </c>
      <c r="AI501" s="219"/>
      <c r="AJ501" s="219"/>
      <c r="AK501" s="219" t="str">
        <f t="shared" si="95"/>
        <v>3120</v>
      </c>
      <c r="AL501" s="244" t="str">
        <f t="shared" si="96"/>
        <v>01</v>
      </c>
      <c r="AN501" s="219" t="str">
        <f t="shared" si="97"/>
        <v>Frais d'électricité PA | Le Pavillon |</v>
      </c>
    </row>
    <row r="502" spans="1:40" ht="15" customHeight="1" x14ac:dyDescent="0.3">
      <c r="A502" s="48">
        <v>0</v>
      </c>
      <c r="B502" s="49" t="s">
        <v>770</v>
      </c>
      <c r="C502" s="50" t="s">
        <v>771</v>
      </c>
      <c r="D502" s="46" t="s">
        <v>1459</v>
      </c>
      <c r="E502" s="46" t="s">
        <v>765</v>
      </c>
      <c r="F502" s="46">
        <v>3510</v>
      </c>
      <c r="G502" s="46" t="s">
        <v>159</v>
      </c>
      <c r="H502" s="46">
        <v>1</v>
      </c>
      <c r="I502" s="51">
        <v>4671.6499999999996</v>
      </c>
      <c r="J502" s="51">
        <v>0</v>
      </c>
      <c r="K502" s="51">
        <f t="shared" si="101"/>
        <v>4671.6499999999996</v>
      </c>
      <c r="L502" s="51">
        <v>4800</v>
      </c>
      <c r="M502" s="51">
        <v>0</v>
      </c>
      <c r="N502" s="51">
        <f t="shared" si="102"/>
        <v>4800</v>
      </c>
      <c r="O502" s="51">
        <v>1216</v>
      </c>
      <c r="P502" s="179" t="s">
        <v>1806</v>
      </c>
      <c r="Q502" s="179" t="s">
        <v>1500</v>
      </c>
      <c r="R502" s="179" t="s">
        <v>2131</v>
      </c>
      <c r="S502" s="66" t="s">
        <v>2283</v>
      </c>
      <c r="T502" s="54">
        <f>+I502</f>
        <v>4671.6499999999996</v>
      </c>
      <c r="U502" s="54"/>
      <c r="AA502">
        <f t="shared" si="90"/>
        <v>3510</v>
      </c>
      <c r="AD502" t="str">
        <f t="shared" si="91"/>
        <v>312</v>
      </c>
      <c r="AE502">
        <f t="shared" si="92"/>
        <v>1</v>
      </c>
      <c r="AG502" s="50" t="str">
        <f t="shared" si="93"/>
        <v>PAVILLON  ACHATS COMBUSTIBLE CAD</v>
      </c>
      <c r="AH502" s="244" t="str">
        <f t="shared" si="94"/>
        <v>02904</v>
      </c>
      <c r="AI502" s="219"/>
      <c r="AJ502" s="219"/>
      <c r="AK502" s="219" t="str">
        <f t="shared" si="95"/>
        <v>3120</v>
      </c>
      <c r="AL502" s="244" t="str">
        <f t="shared" si="96"/>
        <v>00</v>
      </c>
      <c r="AN502" s="219" t="str">
        <f t="shared" si="97"/>
        <v>Frais de chauffage PA | Le Pavillon |</v>
      </c>
    </row>
    <row r="503" spans="1:40" ht="15" customHeight="1" x14ac:dyDescent="0.3">
      <c r="A503" s="48">
        <v>0</v>
      </c>
      <c r="B503" s="77" t="s">
        <v>772</v>
      </c>
      <c r="C503" s="78" t="s">
        <v>773</v>
      </c>
      <c r="D503" s="182" t="s">
        <v>1459</v>
      </c>
      <c r="E503" s="46" t="s">
        <v>765</v>
      </c>
      <c r="F503" s="46">
        <v>3510</v>
      </c>
      <c r="G503" s="46" t="s">
        <v>439</v>
      </c>
      <c r="H503" s="46"/>
      <c r="I503" s="51">
        <v>587.35</v>
      </c>
      <c r="J503" s="51">
        <v>0</v>
      </c>
      <c r="K503" s="51">
        <f t="shared" si="101"/>
        <v>587.35</v>
      </c>
      <c r="L503" s="51">
        <v>2000</v>
      </c>
      <c r="M503" s="51">
        <v>0</v>
      </c>
      <c r="N503" s="51">
        <f t="shared" si="102"/>
        <v>2000</v>
      </c>
      <c r="O503" s="51">
        <v>0</v>
      </c>
      <c r="P503" s="179" t="s">
        <v>1806</v>
      </c>
      <c r="Q503" s="179" t="s">
        <v>1426</v>
      </c>
      <c r="R503" s="179" t="s">
        <v>2131</v>
      </c>
      <c r="S503" s="66" t="s">
        <v>2284</v>
      </c>
      <c r="T503" s="54">
        <f>+I503</f>
        <v>587.35</v>
      </c>
      <c r="U503" s="54"/>
      <c r="AA503">
        <f t="shared" si="90"/>
        <v>3510</v>
      </c>
      <c r="AD503" t="str">
        <f t="shared" si="91"/>
        <v>313</v>
      </c>
      <c r="AE503">
        <f t="shared" si="92"/>
        <v>0</v>
      </c>
      <c r="AG503" s="50" t="str">
        <f t="shared" si="93"/>
        <v>PAVILLON  ACHATS MARCH PROD ENTRETIEN CAFE</v>
      </c>
      <c r="AH503" s="244" t="str">
        <f t="shared" si="94"/>
        <v>02904</v>
      </c>
      <c r="AI503" s="219"/>
      <c r="AJ503" s="219"/>
      <c r="AK503" s="219" t="str">
        <f t="shared" si="95"/>
        <v>3101</v>
      </c>
      <c r="AL503" s="244" t="str">
        <f t="shared" si="96"/>
        <v>00</v>
      </c>
      <c r="AN503" s="219" t="str">
        <f t="shared" si="97"/>
        <v>Matériel d'exploitation, petites fournitures PA | Le Pavillon |</v>
      </c>
    </row>
    <row r="504" spans="1:40" ht="15" customHeight="1" x14ac:dyDescent="0.3">
      <c r="A504" s="48"/>
      <c r="B504" s="77" t="s">
        <v>772</v>
      </c>
      <c r="C504" s="78" t="s">
        <v>773</v>
      </c>
      <c r="D504" s="182" t="s">
        <v>1459</v>
      </c>
      <c r="E504" s="46"/>
      <c r="F504" s="46">
        <v>3510</v>
      </c>
      <c r="G504" s="46" t="s">
        <v>439</v>
      </c>
      <c r="H504" s="46"/>
      <c r="I504" s="51"/>
      <c r="J504" s="51"/>
      <c r="K504" s="51">
        <f t="shared" si="101"/>
        <v>0</v>
      </c>
      <c r="L504" s="51"/>
      <c r="M504" s="51"/>
      <c r="N504" s="51">
        <f t="shared" si="102"/>
        <v>0</v>
      </c>
      <c r="O504" s="51"/>
      <c r="P504" s="179" t="s">
        <v>1806</v>
      </c>
      <c r="Q504" s="179" t="s">
        <v>1831</v>
      </c>
      <c r="R504" s="179" t="s">
        <v>2131</v>
      </c>
      <c r="S504" s="66" t="s">
        <v>2285</v>
      </c>
      <c r="T504" s="54"/>
      <c r="U504" s="54"/>
      <c r="AA504">
        <f t="shared" si="90"/>
        <v>3510</v>
      </c>
      <c r="AD504" t="str">
        <f t="shared" si="91"/>
        <v>313</v>
      </c>
      <c r="AE504">
        <f t="shared" si="92"/>
        <v>0</v>
      </c>
      <c r="AG504" s="50" t="str">
        <f t="shared" si="93"/>
        <v>PAVILLON  ACHATS MARCH PROD ENTRETIEN CAFE</v>
      </c>
      <c r="AH504" s="244" t="str">
        <f t="shared" si="94"/>
        <v>02904</v>
      </c>
      <c r="AI504" s="219"/>
      <c r="AJ504" s="219"/>
      <c r="AK504" s="219" t="str">
        <f t="shared" si="95"/>
        <v>3110</v>
      </c>
      <c r="AL504" s="244" t="str">
        <f t="shared" si="96"/>
        <v>00</v>
      </c>
      <c r="AN504" s="219" t="str">
        <f t="shared" si="97"/>
        <v>Meubles et appareils de bureau PA | Le Pavillon |</v>
      </c>
    </row>
    <row r="505" spans="1:40" ht="15" customHeight="1" x14ac:dyDescent="0.3">
      <c r="A505" s="48"/>
      <c r="B505" s="77" t="s">
        <v>772</v>
      </c>
      <c r="C505" s="78" t="s">
        <v>773</v>
      </c>
      <c r="D505" s="182" t="s">
        <v>1459</v>
      </c>
      <c r="E505" s="46"/>
      <c r="F505" s="46">
        <v>3510</v>
      </c>
      <c r="G505" s="46" t="s">
        <v>439</v>
      </c>
      <c r="H505" s="46"/>
      <c r="I505" s="51"/>
      <c r="J505" s="51"/>
      <c r="K505" s="51">
        <f t="shared" si="101"/>
        <v>0</v>
      </c>
      <c r="L505" s="51"/>
      <c r="M505" s="51"/>
      <c r="N505" s="51">
        <f t="shared" si="102"/>
        <v>0</v>
      </c>
      <c r="O505" s="51"/>
      <c r="P505" s="179" t="s">
        <v>1806</v>
      </c>
      <c r="Q505" s="179" t="s">
        <v>1493</v>
      </c>
      <c r="R505" s="179" t="s">
        <v>2131</v>
      </c>
      <c r="S505" s="66" t="s">
        <v>2286</v>
      </c>
      <c r="T505" s="54"/>
      <c r="U505" s="54"/>
      <c r="AA505">
        <f t="shared" si="90"/>
        <v>3510</v>
      </c>
      <c r="AD505" t="str">
        <f t="shared" si="91"/>
        <v>313</v>
      </c>
      <c r="AE505">
        <f t="shared" si="92"/>
        <v>0</v>
      </c>
      <c r="AG505" s="50" t="str">
        <f t="shared" si="93"/>
        <v>PAVILLON  ACHATS MARCH PROD ENTRETIEN CAFE</v>
      </c>
      <c r="AH505" s="244" t="str">
        <f t="shared" si="94"/>
        <v>02904</v>
      </c>
      <c r="AI505" s="219"/>
      <c r="AJ505" s="219"/>
      <c r="AK505" s="219" t="str">
        <f t="shared" si="95"/>
        <v>3111</v>
      </c>
      <c r="AL505" s="244" t="str">
        <f t="shared" si="96"/>
        <v>00</v>
      </c>
      <c r="AN505" s="219" t="str">
        <f t="shared" si="97"/>
        <v>Machines, appareils PA | Le Pavillon |</v>
      </c>
    </row>
    <row r="506" spans="1:40" ht="15" customHeight="1" x14ac:dyDescent="0.3">
      <c r="A506" s="48">
        <v>0</v>
      </c>
      <c r="B506" s="49" t="s">
        <v>774</v>
      </c>
      <c r="C506" s="50" t="s">
        <v>775</v>
      </c>
      <c r="D506" s="46" t="s">
        <v>1459</v>
      </c>
      <c r="E506" s="46" t="s">
        <v>765</v>
      </c>
      <c r="F506" s="46">
        <v>3510</v>
      </c>
      <c r="G506" s="46" t="s">
        <v>131</v>
      </c>
      <c r="H506" s="46"/>
      <c r="I506" s="51">
        <v>0</v>
      </c>
      <c r="J506" s="51">
        <v>0</v>
      </c>
      <c r="K506" s="51">
        <f t="shared" si="101"/>
        <v>0</v>
      </c>
      <c r="L506" s="51">
        <v>13000</v>
      </c>
      <c r="M506" s="51">
        <v>0</v>
      </c>
      <c r="N506" s="51">
        <f t="shared" si="102"/>
        <v>13000</v>
      </c>
      <c r="O506" s="51">
        <v>1261.1500000000001</v>
      </c>
      <c r="P506" s="179" t="s">
        <v>1806</v>
      </c>
      <c r="Q506" s="179" t="s">
        <v>1678</v>
      </c>
      <c r="R506" s="179" t="s">
        <v>2131</v>
      </c>
      <c r="S506" s="66" t="s">
        <v>2287</v>
      </c>
      <c r="T506" s="54"/>
      <c r="U506" s="54"/>
      <c r="AA506">
        <f t="shared" si="90"/>
        <v>3510</v>
      </c>
      <c r="AD506" t="str">
        <f t="shared" si="91"/>
        <v>314</v>
      </c>
      <c r="AE506">
        <f t="shared" si="92"/>
        <v>0</v>
      </c>
      <c r="AG506" s="50" t="str">
        <f t="shared" si="93"/>
        <v>PAVILLON  ENTRETIEN BÂTIMENT</v>
      </c>
      <c r="AH506" s="244" t="str">
        <f t="shared" si="94"/>
        <v>02904</v>
      </c>
      <c r="AI506" s="219"/>
      <c r="AJ506" s="219"/>
      <c r="AK506" s="219" t="str">
        <f t="shared" si="95"/>
        <v>3144</v>
      </c>
      <c r="AL506" s="244" t="str">
        <f t="shared" si="96"/>
        <v>00</v>
      </c>
      <c r="AN506" s="219" t="str">
        <f t="shared" si="97"/>
        <v>Entretien des bâtiments, immeubles PA | Le Pavillon |</v>
      </c>
    </row>
    <row r="507" spans="1:40" ht="15" customHeight="1" x14ac:dyDescent="0.3">
      <c r="A507" s="48">
        <v>0</v>
      </c>
      <c r="B507" s="49" t="s">
        <v>776</v>
      </c>
      <c r="C507" s="50" t="s">
        <v>777</v>
      </c>
      <c r="D507" s="46" t="s">
        <v>1459</v>
      </c>
      <c r="E507" s="46" t="s">
        <v>765</v>
      </c>
      <c r="F507" s="46">
        <v>3510</v>
      </c>
      <c r="G507" s="46" t="s">
        <v>131</v>
      </c>
      <c r="H507" s="46">
        <v>1</v>
      </c>
      <c r="I507" s="51">
        <v>0</v>
      </c>
      <c r="J507" s="51">
        <v>0</v>
      </c>
      <c r="K507" s="51">
        <f t="shared" si="101"/>
        <v>0</v>
      </c>
      <c r="L507" s="51">
        <v>250</v>
      </c>
      <c r="M507" s="51">
        <v>0</v>
      </c>
      <c r="N507" s="51">
        <f t="shared" si="102"/>
        <v>250</v>
      </c>
      <c r="O507" s="51">
        <v>0</v>
      </c>
      <c r="P507" s="179" t="s">
        <v>1806</v>
      </c>
      <c r="Q507" s="179" t="s">
        <v>1678</v>
      </c>
      <c r="R507" s="179" t="s">
        <v>2131</v>
      </c>
      <c r="S507" s="66" t="s">
        <v>2287</v>
      </c>
      <c r="T507" s="54"/>
      <c r="U507" s="54"/>
      <c r="AA507">
        <f t="shared" si="90"/>
        <v>3510</v>
      </c>
      <c r="AD507" t="str">
        <f t="shared" si="91"/>
        <v>314</v>
      </c>
      <c r="AE507">
        <f t="shared" si="92"/>
        <v>1</v>
      </c>
      <c r="AG507" s="50" t="str">
        <f t="shared" si="93"/>
        <v>PAVILLON  CONTRATS D’ENTRETIEN BÂTIMENT</v>
      </c>
      <c r="AH507" s="244" t="str">
        <f t="shared" si="94"/>
        <v>02904</v>
      </c>
      <c r="AI507" s="219"/>
      <c r="AJ507" s="219"/>
      <c r="AK507" s="219" t="str">
        <f t="shared" si="95"/>
        <v>3144</v>
      </c>
      <c r="AL507" s="244" t="str">
        <f t="shared" si="96"/>
        <v>00</v>
      </c>
      <c r="AN507" s="219" t="str">
        <f t="shared" si="97"/>
        <v>Entretien des bâtiments, immeubles PA | Le Pavillon |</v>
      </c>
    </row>
    <row r="508" spans="1:40" ht="15" customHeight="1" x14ac:dyDescent="0.3">
      <c r="A508" s="48">
        <v>0</v>
      </c>
      <c r="B508" s="49" t="s">
        <v>778</v>
      </c>
      <c r="C508" s="50" t="s">
        <v>779</v>
      </c>
      <c r="D508" s="46" t="s">
        <v>1459</v>
      </c>
      <c r="E508" s="46" t="s">
        <v>765</v>
      </c>
      <c r="F508" s="46">
        <v>3510</v>
      </c>
      <c r="G508" s="46" t="s">
        <v>123</v>
      </c>
      <c r="H508" s="46"/>
      <c r="I508" s="51">
        <v>908.05</v>
      </c>
      <c r="J508" s="51">
        <v>0</v>
      </c>
      <c r="K508" s="51">
        <f t="shared" si="101"/>
        <v>908.05</v>
      </c>
      <c r="L508" s="51">
        <v>2000</v>
      </c>
      <c r="M508" s="51">
        <v>0</v>
      </c>
      <c r="N508" s="51">
        <f t="shared" si="102"/>
        <v>2000</v>
      </c>
      <c r="O508" s="51">
        <v>18237.349999999999</v>
      </c>
      <c r="P508" s="179" t="s">
        <v>1806</v>
      </c>
      <c r="Q508" s="179" t="s">
        <v>1678</v>
      </c>
      <c r="R508" s="179" t="s">
        <v>2131</v>
      </c>
      <c r="S508" s="66" t="s">
        <v>2287</v>
      </c>
      <c r="T508" s="54">
        <f>+I508</f>
        <v>908.05</v>
      </c>
      <c r="U508" s="54"/>
      <c r="AA508">
        <f t="shared" si="90"/>
        <v>3510</v>
      </c>
      <c r="AD508" t="str">
        <f t="shared" si="91"/>
        <v>315</v>
      </c>
      <c r="AE508">
        <f t="shared" si="92"/>
        <v>0</v>
      </c>
      <c r="AG508" s="50" t="str">
        <f t="shared" si="93"/>
        <v>PAVILLON  ENTRETIEN MOB et INST TECH</v>
      </c>
      <c r="AH508" s="244" t="str">
        <f t="shared" si="94"/>
        <v>02904</v>
      </c>
      <c r="AI508" s="219"/>
      <c r="AJ508" s="219"/>
      <c r="AK508" s="219" t="str">
        <f t="shared" si="95"/>
        <v>3144</v>
      </c>
      <c r="AL508" s="244" t="str">
        <f t="shared" si="96"/>
        <v>00</v>
      </c>
      <c r="AN508" s="219" t="str">
        <f t="shared" si="97"/>
        <v>Entretien des bâtiments, immeubles PA | Le Pavillon |</v>
      </c>
    </row>
    <row r="509" spans="1:40" ht="15" customHeight="1" x14ac:dyDescent="0.3">
      <c r="A509" s="48">
        <v>0</v>
      </c>
      <c r="B509" s="49" t="s">
        <v>780</v>
      </c>
      <c r="C509" s="50" t="s">
        <v>781</v>
      </c>
      <c r="D509" s="46" t="s">
        <v>1459</v>
      </c>
      <c r="E509" s="46" t="s">
        <v>765</v>
      </c>
      <c r="F509" s="46">
        <v>3510</v>
      </c>
      <c r="G509" s="46" t="s">
        <v>123</v>
      </c>
      <c r="H509" s="46">
        <v>1</v>
      </c>
      <c r="I509" s="51">
        <v>3006.05</v>
      </c>
      <c r="J509" s="51">
        <v>0</v>
      </c>
      <c r="K509" s="51">
        <f t="shared" si="101"/>
        <v>3006.05</v>
      </c>
      <c r="L509" s="51">
        <v>3000</v>
      </c>
      <c r="M509" s="51">
        <v>0</v>
      </c>
      <c r="N509" s="51">
        <f t="shared" si="102"/>
        <v>3000</v>
      </c>
      <c r="O509" s="51">
        <v>2905.9</v>
      </c>
      <c r="P509" s="179" t="s">
        <v>1806</v>
      </c>
      <c r="Q509" s="179" t="s">
        <v>1678</v>
      </c>
      <c r="R509" s="179" t="s">
        <v>2131</v>
      </c>
      <c r="S509" s="66" t="s">
        <v>2287</v>
      </c>
      <c r="T509" s="54">
        <f>+I509</f>
        <v>3006.05</v>
      </c>
      <c r="U509" s="54"/>
      <c r="AA509">
        <f t="shared" si="90"/>
        <v>3510</v>
      </c>
      <c r="AD509" t="str">
        <f t="shared" si="91"/>
        <v>315</v>
      </c>
      <c r="AE509">
        <f t="shared" si="92"/>
        <v>1</v>
      </c>
      <c r="AG509" s="50" t="str">
        <f t="shared" si="93"/>
        <v>PAVILLON  CONTRATS ENT INST TECH COMMUNAL</v>
      </c>
      <c r="AH509" s="244" t="str">
        <f t="shared" si="94"/>
        <v>02904</v>
      </c>
      <c r="AI509" s="219"/>
      <c r="AJ509" s="219"/>
      <c r="AK509" s="219" t="str">
        <f t="shared" si="95"/>
        <v>3144</v>
      </c>
      <c r="AL509" s="244" t="str">
        <f t="shared" si="96"/>
        <v>00</v>
      </c>
      <c r="AN509" s="219" t="str">
        <f t="shared" si="97"/>
        <v>Entretien des bâtiments, immeubles PA | Le Pavillon |</v>
      </c>
    </row>
    <row r="510" spans="1:40" ht="15" customHeight="1" x14ac:dyDescent="0.3">
      <c r="A510" s="48">
        <v>0</v>
      </c>
      <c r="B510" s="77" t="s">
        <v>782</v>
      </c>
      <c r="C510" s="78" t="s">
        <v>783</v>
      </c>
      <c r="D510" s="182" t="s">
        <v>1459</v>
      </c>
      <c r="E510" s="46" t="s">
        <v>765</v>
      </c>
      <c r="F510" s="46">
        <v>3510</v>
      </c>
      <c r="G510" s="46" t="s">
        <v>48</v>
      </c>
      <c r="H510" s="46"/>
      <c r="I510" s="51">
        <v>2693.5</v>
      </c>
      <c r="J510" s="51">
        <v>0</v>
      </c>
      <c r="K510" s="51">
        <f t="shared" si="101"/>
        <v>2693.5</v>
      </c>
      <c r="L510" s="51">
        <v>2500</v>
      </c>
      <c r="M510" s="51">
        <v>0</v>
      </c>
      <c r="N510" s="51">
        <f t="shared" si="102"/>
        <v>2500</v>
      </c>
      <c r="O510" s="51">
        <v>2123.4499999999998</v>
      </c>
      <c r="P510" s="179" t="s">
        <v>1806</v>
      </c>
      <c r="Q510" s="179">
        <v>3130</v>
      </c>
      <c r="R510" s="179" t="s">
        <v>2133</v>
      </c>
      <c r="S510" s="49" t="s">
        <v>2289</v>
      </c>
      <c r="T510" s="54">
        <f>+I510</f>
        <v>2693.5</v>
      </c>
      <c r="U510" s="54"/>
      <c r="AA510">
        <f t="shared" si="90"/>
        <v>3510</v>
      </c>
      <c r="AD510" t="str">
        <f t="shared" si="91"/>
        <v>318</v>
      </c>
      <c r="AE510">
        <f t="shared" si="92"/>
        <v>0</v>
      </c>
      <c r="AG510" s="50" t="str">
        <f t="shared" si="93"/>
        <v>PAVILLON  ASSURANCES INTERNET TV</v>
      </c>
      <c r="AH510" s="244" t="str">
        <f t="shared" si="94"/>
        <v>02904</v>
      </c>
      <c r="AI510" s="219"/>
      <c r="AJ510" s="219"/>
      <c r="AK510" s="219">
        <f t="shared" si="95"/>
        <v>3130</v>
      </c>
      <c r="AL510" s="244" t="str">
        <f t="shared" si="96"/>
        <v>02</v>
      </c>
      <c r="AN510" s="219" t="str">
        <f t="shared" si="97"/>
        <v>Prestations de services tiers - télécommunications PA | Le Pavillon |</v>
      </c>
    </row>
    <row r="511" spans="1:40" ht="15" customHeight="1" x14ac:dyDescent="0.3">
      <c r="A511" s="48"/>
      <c r="B511" s="77" t="s">
        <v>782</v>
      </c>
      <c r="C511" s="78" t="s">
        <v>783</v>
      </c>
      <c r="D511" s="182" t="s">
        <v>1459</v>
      </c>
      <c r="E511" s="46"/>
      <c r="F511" s="46">
        <v>3510</v>
      </c>
      <c r="G511" s="46" t="s">
        <v>48</v>
      </c>
      <c r="H511" s="46"/>
      <c r="I511" s="51"/>
      <c r="J511" s="51"/>
      <c r="K511" s="51">
        <f t="shared" si="101"/>
        <v>0</v>
      </c>
      <c r="L511" s="51"/>
      <c r="M511" s="51"/>
      <c r="N511" s="51">
        <f t="shared" si="102"/>
        <v>0</v>
      </c>
      <c r="O511" s="51"/>
      <c r="P511" s="179" t="s">
        <v>1806</v>
      </c>
      <c r="Q511" s="179" t="s">
        <v>1418</v>
      </c>
      <c r="R511" s="179" t="s">
        <v>2131</v>
      </c>
      <c r="S511" s="66" t="s">
        <v>2288</v>
      </c>
      <c r="T511" s="54"/>
      <c r="U511" s="54"/>
      <c r="AA511">
        <f t="shared" si="90"/>
        <v>3510</v>
      </c>
      <c r="AD511" t="str">
        <f t="shared" si="91"/>
        <v>318</v>
      </c>
      <c r="AE511">
        <f t="shared" si="92"/>
        <v>0</v>
      </c>
      <c r="AG511" s="50" t="str">
        <f t="shared" si="93"/>
        <v>PAVILLON  ASSURANCES INTERNET TV</v>
      </c>
      <c r="AH511" s="244" t="str">
        <f t="shared" si="94"/>
        <v>02904</v>
      </c>
      <c r="AI511" s="219"/>
      <c r="AJ511" s="219"/>
      <c r="AK511" s="219" t="str">
        <f t="shared" si="95"/>
        <v>3134</v>
      </c>
      <c r="AL511" s="244" t="str">
        <f t="shared" si="96"/>
        <v>00</v>
      </c>
      <c r="AN511" s="219" t="str">
        <f t="shared" si="97"/>
        <v>Frais Assurances PA | Le Pavillon |</v>
      </c>
    </row>
    <row r="512" spans="1:40" ht="15" customHeight="1" x14ac:dyDescent="0.3">
      <c r="A512" s="48">
        <v>0</v>
      </c>
      <c r="B512" s="49" t="s">
        <v>784</v>
      </c>
      <c r="C512" s="50" t="s">
        <v>785</v>
      </c>
      <c r="D512" s="46" t="s">
        <v>1459</v>
      </c>
      <c r="E512" s="46" t="s">
        <v>765</v>
      </c>
      <c r="F512" s="46">
        <v>3510</v>
      </c>
      <c r="G512" s="46" t="s">
        <v>164</v>
      </c>
      <c r="H512" s="46"/>
      <c r="I512" s="51">
        <v>0</v>
      </c>
      <c r="J512" s="51">
        <v>0</v>
      </c>
      <c r="K512" s="51">
        <f t="shared" si="101"/>
        <v>0</v>
      </c>
      <c r="L512" s="51">
        <v>0</v>
      </c>
      <c r="M512" s="51">
        <v>0</v>
      </c>
      <c r="N512" s="51">
        <f t="shared" si="102"/>
        <v>0</v>
      </c>
      <c r="O512" s="51">
        <v>0</v>
      </c>
      <c r="P512" s="179" t="s">
        <v>1489</v>
      </c>
      <c r="Q512" s="179" t="s">
        <v>1489</v>
      </c>
      <c r="R512" s="179" t="s">
        <v>1489</v>
      </c>
      <c r="S512" s="47" t="s">
        <v>1489</v>
      </c>
      <c r="T512" s="54"/>
      <c r="U512" s="54"/>
      <c r="AA512">
        <f t="shared" si="90"/>
        <v>3510</v>
      </c>
      <c r="AD512" t="str">
        <f t="shared" si="91"/>
        <v>331</v>
      </c>
      <c r="AE512">
        <f t="shared" si="92"/>
        <v>0</v>
      </c>
      <c r="AG512" s="50" t="str">
        <f t="shared" si="93"/>
        <v>PAVILLON  AMORT PATR. ADMINISTRAT</v>
      </c>
      <c r="AH512" s="244" t="str">
        <f t="shared" si="94"/>
        <v>-</v>
      </c>
      <c r="AI512" s="219"/>
      <c r="AJ512" s="219"/>
      <c r="AK512" s="219" t="str">
        <f t="shared" si="95"/>
        <v>-</v>
      </c>
      <c r="AL512" s="244" t="str">
        <f t="shared" si="96"/>
        <v>-</v>
      </c>
      <c r="AN512" s="219" t="str">
        <f t="shared" si="97"/>
        <v>-</v>
      </c>
    </row>
    <row r="513" spans="1:40" ht="15" customHeight="1" x14ac:dyDescent="0.3">
      <c r="A513" s="48">
        <v>0</v>
      </c>
      <c r="B513" s="49" t="s">
        <v>786</v>
      </c>
      <c r="C513" s="50" t="s">
        <v>787</v>
      </c>
      <c r="D513" s="46" t="s">
        <v>1459</v>
      </c>
      <c r="E513" s="46" t="s">
        <v>765</v>
      </c>
      <c r="F513" s="46">
        <v>3510</v>
      </c>
      <c r="G513" s="46" t="s">
        <v>96</v>
      </c>
      <c r="H513" s="46"/>
      <c r="I513" s="51">
        <v>0</v>
      </c>
      <c r="J513" s="51">
        <v>0</v>
      </c>
      <c r="K513" s="51">
        <f t="shared" si="101"/>
        <v>0</v>
      </c>
      <c r="L513" s="51">
        <v>0</v>
      </c>
      <c r="M513" s="51">
        <v>0</v>
      </c>
      <c r="N513" s="51">
        <f t="shared" si="102"/>
        <v>0</v>
      </c>
      <c r="O513" s="51">
        <v>0</v>
      </c>
      <c r="P513" s="179" t="s">
        <v>1489</v>
      </c>
      <c r="Q513" s="179" t="s">
        <v>1489</v>
      </c>
      <c r="R513" s="179" t="s">
        <v>1489</v>
      </c>
      <c r="S513" s="47" t="s">
        <v>1489</v>
      </c>
      <c r="T513" s="54"/>
      <c r="U513" s="54"/>
      <c r="AA513">
        <f t="shared" si="90"/>
        <v>3510</v>
      </c>
      <c r="AD513" t="str">
        <f t="shared" si="91"/>
        <v>332</v>
      </c>
      <c r="AE513">
        <f t="shared" si="92"/>
        <v>0</v>
      </c>
      <c r="AG513" s="50" t="str">
        <f t="shared" si="93"/>
        <v>PAVILLON  AMORT PATR. ADMINISTRAT SUPPL</v>
      </c>
      <c r="AH513" s="244" t="str">
        <f t="shared" si="94"/>
        <v>-</v>
      </c>
      <c r="AI513" s="219"/>
      <c r="AJ513" s="219"/>
      <c r="AK513" s="219" t="str">
        <f t="shared" si="95"/>
        <v>-</v>
      </c>
      <c r="AL513" s="244" t="str">
        <f t="shared" si="96"/>
        <v>-</v>
      </c>
      <c r="AN513" s="219" t="str">
        <f t="shared" si="97"/>
        <v>-</v>
      </c>
    </row>
    <row r="514" spans="1:40" ht="15" customHeight="1" x14ac:dyDescent="0.3">
      <c r="A514" s="48">
        <v>0</v>
      </c>
      <c r="B514" s="49" t="s">
        <v>788</v>
      </c>
      <c r="C514" s="50" t="s">
        <v>789</v>
      </c>
      <c r="D514" s="46" t="s">
        <v>1459</v>
      </c>
      <c r="E514" s="46" t="s">
        <v>765</v>
      </c>
      <c r="F514" s="46">
        <v>3510</v>
      </c>
      <c r="G514" s="46" t="s">
        <v>6</v>
      </c>
      <c r="H514" s="46"/>
      <c r="I514" s="51">
        <v>0</v>
      </c>
      <c r="J514" s="51">
        <v>0</v>
      </c>
      <c r="K514" s="51">
        <f t="shared" si="101"/>
        <v>0</v>
      </c>
      <c r="L514" s="51">
        <v>0</v>
      </c>
      <c r="M514" s="51">
        <v>0</v>
      </c>
      <c r="N514" s="51">
        <f t="shared" si="102"/>
        <v>0</v>
      </c>
      <c r="O514" s="51">
        <v>0</v>
      </c>
      <c r="P514" s="179" t="s">
        <v>1489</v>
      </c>
      <c r="Q514" s="179" t="s">
        <v>1489</v>
      </c>
      <c r="R514" s="179" t="s">
        <v>1489</v>
      </c>
      <c r="S514" s="47" t="s">
        <v>1489</v>
      </c>
      <c r="T514" s="54"/>
      <c r="U514" s="54"/>
      <c r="AA514">
        <f t="shared" si="90"/>
        <v>3510</v>
      </c>
      <c r="AD514" t="str">
        <f t="shared" si="91"/>
        <v>380</v>
      </c>
      <c r="AE514">
        <f t="shared" si="92"/>
        <v>0</v>
      </c>
      <c r="AG514" s="50" t="str">
        <f t="shared" si="93"/>
        <v>PAVILLON  ATTRIB FONDS RENOVATION (9281.10)</v>
      </c>
      <c r="AH514" s="244" t="str">
        <f t="shared" si="94"/>
        <v>-</v>
      </c>
      <c r="AI514" s="219"/>
      <c r="AJ514" s="219"/>
      <c r="AK514" s="219" t="str">
        <f t="shared" si="95"/>
        <v>-</v>
      </c>
      <c r="AL514" s="244" t="str">
        <f t="shared" si="96"/>
        <v>-</v>
      </c>
      <c r="AN514" s="219" t="str">
        <f t="shared" si="97"/>
        <v>-</v>
      </c>
    </row>
    <row r="515" spans="1:40" ht="15" customHeight="1" x14ac:dyDescent="0.3">
      <c r="A515" s="48">
        <v>0</v>
      </c>
      <c r="B515" s="49" t="s">
        <v>790</v>
      </c>
      <c r="C515" s="50" t="s">
        <v>791</v>
      </c>
      <c r="D515" s="46" t="s">
        <v>1459</v>
      </c>
      <c r="E515" s="46" t="s">
        <v>765</v>
      </c>
      <c r="F515" s="46">
        <v>3510</v>
      </c>
      <c r="G515" s="46" t="s">
        <v>28</v>
      </c>
      <c r="H515" s="46">
        <v>1</v>
      </c>
      <c r="I515" s="51">
        <v>0</v>
      </c>
      <c r="J515" s="51">
        <v>0</v>
      </c>
      <c r="K515" s="51">
        <f t="shared" si="101"/>
        <v>0</v>
      </c>
      <c r="L515" s="51">
        <v>0</v>
      </c>
      <c r="M515" s="51">
        <v>0</v>
      </c>
      <c r="N515" s="51">
        <f t="shared" si="102"/>
        <v>0</v>
      </c>
      <c r="O515" s="51">
        <v>0</v>
      </c>
      <c r="P515" s="179" t="s">
        <v>1489</v>
      </c>
      <c r="Q515" s="179" t="s">
        <v>1489</v>
      </c>
      <c r="R515" s="179" t="s">
        <v>1489</v>
      </c>
      <c r="S515" s="47" t="s">
        <v>1489</v>
      </c>
      <c r="T515" s="54"/>
      <c r="U515" s="54"/>
      <c r="AA515">
        <f t="shared" si="90"/>
        <v>3510</v>
      </c>
      <c r="AD515" t="str">
        <f t="shared" si="91"/>
        <v>390</v>
      </c>
      <c r="AE515">
        <f t="shared" si="92"/>
        <v>1</v>
      </c>
      <c r="AG515" s="50" t="str">
        <f t="shared" si="93"/>
        <v>PAVILLON  IMPUTATIONS INT SALAIRES</v>
      </c>
      <c r="AH515" s="244" t="str">
        <f t="shared" si="94"/>
        <v>-</v>
      </c>
      <c r="AI515" s="219"/>
      <c r="AJ515" s="219"/>
      <c r="AK515" s="219" t="str">
        <f t="shared" si="95"/>
        <v>-</v>
      </c>
      <c r="AL515" s="244" t="str">
        <f t="shared" si="96"/>
        <v>-</v>
      </c>
      <c r="AN515" s="219" t="str">
        <f t="shared" si="97"/>
        <v>-</v>
      </c>
    </row>
    <row r="516" spans="1:40" ht="15" customHeight="1" x14ac:dyDescent="0.3">
      <c r="A516" s="48">
        <v>0</v>
      </c>
      <c r="B516" s="74" t="s">
        <v>792</v>
      </c>
      <c r="C516" s="67" t="s">
        <v>793</v>
      </c>
      <c r="D516" s="188" t="s">
        <v>1459</v>
      </c>
      <c r="E516" s="188" t="s">
        <v>765</v>
      </c>
      <c r="F516" s="46">
        <v>3510</v>
      </c>
      <c r="G516" s="188" t="s">
        <v>335</v>
      </c>
      <c r="H516" s="188"/>
      <c r="I516" s="51">
        <v>0</v>
      </c>
      <c r="J516" s="51">
        <v>-10545</v>
      </c>
      <c r="K516" s="51">
        <f t="shared" si="101"/>
        <v>-10545</v>
      </c>
      <c r="L516" s="51">
        <v>0</v>
      </c>
      <c r="M516" s="51">
        <v>-10000</v>
      </c>
      <c r="N516" s="51">
        <f t="shared" si="102"/>
        <v>-10000</v>
      </c>
      <c r="O516" s="51">
        <v>-8600</v>
      </c>
      <c r="P516" s="179" t="s">
        <v>1806</v>
      </c>
      <c r="Q516" s="179" t="s">
        <v>1842</v>
      </c>
      <c r="R516" s="179" t="s">
        <v>2131</v>
      </c>
      <c r="S516" s="49" t="s">
        <v>2290</v>
      </c>
      <c r="T516" s="54">
        <f>+J516</f>
        <v>-10545</v>
      </c>
      <c r="U516" s="54"/>
      <c r="W516" t="s">
        <v>1872</v>
      </c>
      <c r="AA516">
        <f t="shared" ref="AA516:AA579" si="103">+F516</f>
        <v>3510</v>
      </c>
      <c r="AD516" t="str">
        <f t="shared" ref="AD516:AD579" si="104">+G516</f>
        <v>427</v>
      </c>
      <c r="AE516">
        <f t="shared" ref="AE516:AE579" si="105">+H516</f>
        <v>0</v>
      </c>
      <c r="AG516" s="50" t="str">
        <f t="shared" ref="AG516:AG579" si="106">+C516</f>
        <v>PAVILLON  LOYERS COMMUNAUX</v>
      </c>
      <c r="AH516" s="244" t="str">
        <f t="shared" ref="AH516:AH579" si="107">+P516</f>
        <v>02904</v>
      </c>
      <c r="AI516" s="219"/>
      <c r="AJ516" s="219"/>
      <c r="AK516" s="219" t="str">
        <f t="shared" ref="AK516:AK579" si="108">+Q516</f>
        <v>4470</v>
      </c>
      <c r="AL516" s="244" t="str">
        <f t="shared" ref="AL516:AL579" si="109">+R516</f>
        <v>00</v>
      </c>
      <c r="AN516" s="219" t="str">
        <f t="shared" ref="AN516:AN579" si="110">+S516</f>
        <v>Loyers et fermages des biens-fonds PA | Le Pavillon |</v>
      </c>
    </row>
    <row r="517" spans="1:40" ht="15" customHeight="1" x14ac:dyDescent="0.3">
      <c r="A517" s="48"/>
      <c r="B517" s="74" t="s">
        <v>792</v>
      </c>
      <c r="C517" s="67" t="s">
        <v>793</v>
      </c>
      <c r="D517" s="188" t="s">
        <v>1459</v>
      </c>
      <c r="E517" s="188" t="s">
        <v>765</v>
      </c>
      <c r="F517" s="46">
        <v>3510</v>
      </c>
      <c r="G517" s="188" t="s">
        <v>335</v>
      </c>
      <c r="H517" s="188"/>
      <c r="I517" s="51"/>
      <c r="J517" s="51"/>
      <c r="K517" s="51"/>
      <c r="L517" s="51"/>
      <c r="M517" s="51"/>
      <c r="N517" s="51">
        <f t="shared" si="102"/>
        <v>0</v>
      </c>
      <c r="O517" s="51"/>
      <c r="P517" s="179" t="s">
        <v>1806</v>
      </c>
      <c r="Q517" s="179" t="s">
        <v>1856</v>
      </c>
      <c r="R517" s="179" t="s">
        <v>2131</v>
      </c>
      <c r="S517" s="49" t="s">
        <v>2093</v>
      </c>
      <c r="T517" s="54"/>
      <c r="U517" s="54"/>
      <c r="W517" t="s">
        <v>1873</v>
      </c>
      <c r="AA517">
        <f t="shared" si="103"/>
        <v>3510</v>
      </c>
      <c r="AD517" t="str">
        <f t="shared" si="104"/>
        <v>427</v>
      </c>
      <c r="AE517">
        <f t="shared" si="105"/>
        <v>0</v>
      </c>
      <c r="AG517" s="50" t="str">
        <f t="shared" si="106"/>
        <v>PAVILLON  LOYERS COMMUNAUX</v>
      </c>
      <c r="AH517" s="244" t="str">
        <f t="shared" si="107"/>
        <v>02904</v>
      </c>
      <c r="AI517" s="219"/>
      <c r="AJ517" s="219"/>
      <c r="AK517" s="219" t="str">
        <f t="shared" si="108"/>
        <v>4472</v>
      </c>
      <c r="AL517" s="244" t="str">
        <f t="shared" si="109"/>
        <v>00</v>
      </c>
      <c r="AN517" s="219" t="str">
        <f t="shared" si="110"/>
        <v>Loyers et fermages des biens-fonds PA - location du Pavillon</v>
      </c>
    </row>
    <row r="518" spans="1:40" ht="15" customHeight="1" x14ac:dyDescent="0.3">
      <c r="A518" s="48">
        <v>0</v>
      </c>
      <c r="B518" s="49" t="s">
        <v>794</v>
      </c>
      <c r="C518" s="50" t="s">
        <v>795</v>
      </c>
      <c r="D518" s="46" t="s">
        <v>1459</v>
      </c>
      <c r="E518" s="46" t="s">
        <v>765</v>
      </c>
      <c r="F518" s="46">
        <v>3510</v>
      </c>
      <c r="G518" s="46" t="s">
        <v>61</v>
      </c>
      <c r="H518" s="46"/>
      <c r="I518" s="51">
        <v>0</v>
      </c>
      <c r="J518" s="51">
        <v>-504</v>
      </c>
      <c r="K518" s="51">
        <f t="shared" ref="K518:K549" si="111">+I518+J518</f>
        <v>-504</v>
      </c>
      <c r="L518" s="51">
        <v>0</v>
      </c>
      <c r="M518" s="51">
        <v>0</v>
      </c>
      <c r="N518" s="51">
        <f t="shared" si="102"/>
        <v>0</v>
      </c>
      <c r="O518" s="51">
        <v>-3681.6</v>
      </c>
      <c r="P518" s="179" t="s">
        <v>1806</v>
      </c>
      <c r="Q518" s="179" t="s">
        <v>1856</v>
      </c>
      <c r="R518" s="179" t="s">
        <v>2132</v>
      </c>
      <c r="S518" s="47" t="s">
        <v>2291</v>
      </c>
      <c r="T518" s="54">
        <f>+J518</f>
        <v>-504</v>
      </c>
      <c r="U518" s="54"/>
      <c r="W518" t="s">
        <v>1867</v>
      </c>
      <c r="AA518">
        <f t="shared" si="103"/>
        <v>3510</v>
      </c>
      <c r="AD518" t="str">
        <f t="shared" si="104"/>
        <v>436</v>
      </c>
      <c r="AE518">
        <f t="shared" si="105"/>
        <v>0</v>
      </c>
      <c r="AG518" s="50" t="str">
        <f t="shared" si="106"/>
        <v>PAVILLON  PART DE TIERS</v>
      </c>
      <c r="AH518" s="244" t="str">
        <f t="shared" si="107"/>
        <v>02904</v>
      </c>
      <c r="AI518" s="219"/>
      <c r="AJ518" s="219"/>
      <c r="AK518" s="219" t="str">
        <f t="shared" si="108"/>
        <v>4472</v>
      </c>
      <c r="AL518" s="244" t="str">
        <f t="shared" si="109"/>
        <v>01</v>
      </c>
      <c r="AN518" s="219" t="str">
        <f t="shared" si="110"/>
        <v>Autres revenus financiers PA | Le Pavillon | chaises, tables, bancs</v>
      </c>
    </row>
    <row r="519" spans="1:40" ht="15" customHeight="1" x14ac:dyDescent="0.3">
      <c r="A519" s="48">
        <v>0</v>
      </c>
      <c r="B519" s="49" t="s">
        <v>796</v>
      </c>
      <c r="C519" s="50" t="s">
        <v>797</v>
      </c>
      <c r="D519" s="46" t="s">
        <v>1459</v>
      </c>
      <c r="E519" s="46" t="s">
        <v>765</v>
      </c>
      <c r="F519" s="46">
        <v>3510</v>
      </c>
      <c r="G519" s="46" t="s">
        <v>64</v>
      </c>
      <c r="H519" s="46"/>
      <c r="I519" s="51">
        <v>0</v>
      </c>
      <c r="J519" s="51">
        <v>0</v>
      </c>
      <c r="K519" s="51">
        <f t="shared" si="111"/>
        <v>0</v>
      </c>
      <c r="L519" s="51">
        <v>0</v>
      </c>
      <c r="M519" s="51">
        <v>0</v>
      </c>
      <c r="N519" s="51">
        <f t="shared" si="102"/>
        <v>0</v>
      </c>
      <c r="O519" s="51">
        <v>0</v>
      </c>
      <c r="P519" s="179" t="s">
        <v>1489</v>
      </c>
      <c r="Q519" s="179" t="s">
        <v>1489</v>
      </c>
      <c r="R519" s="179" t="s">
        <v>1489</v>
      </c>
      <c r="S519" s="47" t="s">
        <v>1489</v>
      </c>
      <c r="T519" s="54"/>
      <c r="U519" s="54"/>
      <c r="AA519">
        <f t="shared" si="103"/>
        <v>3510</v>
      </c>
      <c r="AD519" t="str">
        <f t="shared" si="104"/>
        <v>480</v>
      </c>
      <c r="AE519">
        <f t="shared" si="105"/>
        <v>0</v>
      </c>
      <c r="AG519" s="50" t="str">
        <f t="shared" si="106"/>
        <v>PAVILLON  PRELEV FDS RENOVATION (9281.10)</v>
      </c>
      <c r="AH519" s="244" t="str">
        <f t="shared" si="107"/>
        <v>-</v>
      </c>
      <c r="AI519" s="219"/>
      <c r="AJ519" s="219"/>
      <c r="AK519" s="219" t="str">
        <f t="shared" si="108"/>
        <v>-</v>
      </c>
      <c r="AL519" s="244" t="str">
        <f t="shared" si="109"/>
        <v>-</v>
      </c>
      <c r="AN519" s="219" t="str">
        <f t="shared" si="110"/>
        <v>-</v>
      </c>
    </row>
    <row r="520" spans="1:40" ht="15" customHeight="1" x14ac:dyDescent="0.3">
      <c r="A520" s="48">
        <v>0</v>
      </c>
      <c r="B520" s="49" t="s">
        <v>799</v>
      </c>
      <c r="C520" s="50" t="s">
        <v>800</v>
      </c>
      <c r="D520" s="46" t="s">
        <v>1459</v>
      </c>
      <c r="E520" s="46" t="s">
        <v>798</v>
      </c>
      <c r="F520" s="46">
        <v>3511</v>
      </c>
      <c r="G520" s="46" t="s">
        <v>25</v>
      </c>
      <c r="H520" s="46"/>
      <c r="I520" s="51">
        <v>0</v>
      </c>
      <c r="J520" s="51">
        <v>0</v>
      </c>
      <c r="K520" s="51">
        <f t="shared" si="111"/>
        <v>0</v>
      </c>
      <c r="L520" s="51">
        <v>100</v>
      </c>
      <c r="M520" s="51">
        <v>0</v>
      </c>
      <c r="N520" s="51">
        <f t="shared" si="102"/>
        <v>100</v>
      </c>
      <c r="O520" s="51">
        <v>0</v>
      </c>
      <c r="P520" s="179" t="s">
        <v>1808</v>
      </c>
      <c r="Q520" s="179" t="s">
        <v>1504</v>
      </c>
      <c r="R520" s="179" t="s">
        <v>2137</v>
      </c>
      <c r="S520" s="4" t="s">
        <v>2223</v>
      </c>
      <c r="T520" s="54"/>
      <c r="U520" s="54"/>
      <c r="AA520">
        <f t="shared" si="103"/>
        <v>3511</v>
      </c>
      <c r="AD520" t="str">
        <f t="shared" si="104"/>
        <v>311</v>
      </c>
      <c r="AE520">
        <f t="shared" si="105"/>
        <v>0</v>
      </c>
      <c r="AG520" s="50" t="str">
        <f t="shared" si="106"/>
        <v>SOURCE VIVE ACHATS MOBILIER MACH. MATERIEL</v>
      </c>
      <c r="AH520" s="244" t="str">
        <f t="shared" si="107"/>
        <v>96306</v>
      </c>
      <c r="AI520" s="219"/>
      <c r="AJ520" s="219"/>
      <c r="AK520" s="219" t="str">
        <f t="shared" si="108"/>
        <v>3439</v>
      </c>
      <c r="AL520" s="244" t="str">
        <f t="shared" si="109"/>
        <v>07</v>
      </c>
      <c r="AN520" s="219" t="str">
        <f t="shared" si="110"/>
        <v>Autres charges de biens-fonds PF | Bât Source Vive / Gare 10 | Achat mobilier</v>
      </c>
    </row>
    <row r="521" spans="1:40" ht="15" customHeight="1" x14ac:dyDescent="0.3">
      <c r="A521" s="48">
        <v>0</v>
      </c>
      <c r="B521" s="49" t="s">
        <v>801</v>
      </c>
      <c r="C521" s="50" t="s">
        <v>802</v>
      </c>
      <c r="D521" s="46" t="s">
        <v>1459</v>
      </c>
      <c r="E521" s="46" t="s">
        <v>798</v>
      </c>
      <c r="F521" s="46">
        <v>3511</v>
      </c>
      <c r="G521" s="46" t="s">
        <v>159</v>
      </c>
      <c r="H521" s="46"/>
      <c r="I521" s="51">
        <v>0</v>
      </c>
      <c r="J521" s="51">
        <v>0</v>
      </c>
      <c r="K521" s="51">
        <f t="shared" si="111"/>
        <v>0</v>
      </c>
      <c r="L521" s="51">
        <v>0</v>
      </c>
      <c r="M521" s="51">
        <v>0</v>
      </c>
      <c r="N521" s="51">
        <f t="shared" si="102"/>
        <v>0</v>
      </c>
      <c r="O521" s="51">
        <v>0</v>
      </c>
      <c r="P521" s="179" t="s">
        <v>1489</v>
      </c>
      <c r="Q521" s="179" t="s">
        <v>1489</v>
      </c>
      <c r="R521" s="179" t="s">
        <v>1489</v>
      </c>
      <c r="S521" s="47" t="s">
        <v>1489</v>
      </c>
      <c r="T521" s="54"/>
      <c r="U521" s="54"/>
      <c r="AA521">
        <f t="shared" si="103"/>
        <v>3511</v>
      </c>
      <c r="AD521" t="str">
        <f t="shared" si="104"/>
        <v>312</v>
      </c>
      <c r="AE521">
        <f t="shared" si="105"/>
        <v>0</v>
      </c>
      <c r="AG521" s="50" t="str">
        <f t="shared" si="106"/>
        <v>SOURCE VIVE ACHATS ELECTRICITE</v>
      </c>
      <c r="AH521" s="244" t="str">
        <f t="shared" si="107"/>
        <v>-</v>
      </c>
      <c r="AI521" s="219"/>
      <c r="AJ521" s="219"/>
      <c r="AK521" s="219" t="str">
        <f t="shared" si="108"/>
        <v>-</v>
      </c>
      <c r="AL521" s="244" t="str">
        <f t="shared" si="109"/>
        <v>-</v>
      </c>
      <c r="AN521" s="219" t="str">
        <f t="shared" si="110"/>
        <v>-</v>
      </c>
    </row>
    <row r="522" spans="1:40" ht="15" customHeight="1" x14ac:dyDescent="0.3">
      <c r="A522" s="48">
        <v>0</v>
      </c>
      <c r="B522" s="49" t="s">
        <v>803</v>
      </c>
      <c r="C522" s="50" t="s">
        <v>804</v>
      </c>
      <c r="D522" s="46" t="s">
        <v>1459</v>
      </c>
      <c r="E522" s="46" t="s">
        <v>798</v>
      </c>
      <c r="F522" s="46">
        <v>3511</v>
      </c>
      <c r="G522" s="46" t="s">
        <v>439</v>
      </c>
      <c r="H522" s="46"/>
      <c r="I522" s="51">
        <v>0</v>
      </c>
      <c r="J522" s="51">
        <v>0</v>
      </c>
      <c r="K522" s="51">
        <f t="shared" si="111"/>
        <v>0</v>
      </c>
      <c r="L522" s="51">
        <v>0</v>
      </c>
      <c r="M522" s="51">
        <v>0</v>
      </c>
      <c r="N522" s="51">
        <f t="shared" si="102"/>
        <v>0</v>
      </c>
      <c r="O522" s="51">
        <v>0</v>
      </c>
      <c r="P522" s="179" t="s">
        <v>1489</v>
      </c>
      <c r="Q522" s="179" t="s">
        <v>1489</v>
      </c>
      <c r="R522" s="179" t="s">
        <v>1489</v>
      </c>
      <c r="S522" s="47" t="s">
        <v>1489</v>
      </c>
      <c r="T522" s="54"/>
      <c r="U522" s="54"/>
      <c r="AA522">
        <f t="shared" si="103"/>
        <v>3511</v>
      </c>
      <c r="AD522" t="str">
        <f t="shared" si="104"/>
        <v>313</v>
      </c>
      <c r="AE522">
        <f t="shared" si="105"/>
        <v>0</v>
      </c>
      <c r="AG522" s="50" t="str">
        <f t="shared" si="106"/>
        <v>SOURCE VIVE ACHATS MARCH PROD ENTRETIEN</v>
      </c>
      <c r="AH522" s="244" t="str">
        <f t="shared" si="107"/>
        <v>-</v>
      </c>
      <c r="AI522" s="219"/>
      <c r="AJ522" s="219"/>
      <c r="AK522" s="219" t="str">
        <f t="shared" si="108"/>
        <v>-</v>
      </c>
      <c r="AL522" s="244" t="str">
        <f t="shared" si="109"/>
        <v>-</v>
      </c>
      <c r="AN522" s="219" t="str">
        <f t="shared" si="110"/>
        <v>-</v>
      </c>
    </row>
    <row r="523" spans="1:40" ht="15" customHeight="1" x14ac:dyDescent="0.3">
      <c r="A523" s="48">
        <v>0</v>
      </c>
      <c r="B523" s="49" t="s">
        <v>805</v>
      </c>
      <c r="C523" s="50" t="s">
        <v>806</v>
      </c>
      <c r="D523" s="46" t="s">
        <v>1459</v>
      </c>
      <c r="E523" s="46" t="s">
        <v>798</v>
      </c>
      <c r="F523" s="46">
        <v>3511</v>
      </c>
      <c r="G523" s="46" t="s">
        <v>131</v>
      </c>
      <c r="H523" s="46"/>
      <c r="I523" s="51">
        <v>310.8</v>
      </c>
      <c r="J523" s="51">
        <v>0</v>
      </c>
      <c r="K523" s="51">
        <f t="shared" si="111"/>
        <v>310.8</v>
      </c>
      <c r="L523" s="51">
        <v>10000</v>
      </c>
      <c r="M523" s="51">
        <v>0</v>
      </c>
      <c r="N523" s="51">
        <f t="shared" si="102"/>
        <v>10000</v>
      </c>
      <c r="O523" s="51">
        <v>29684.26</v>
      </c>
      <c r="P523" s="179" t="s">
        <v>1808</v>
      </c>
      <c r="Q523" s="179" t="s">
        <v>1812</v>
      </c>
      <c r="R523" s="179" t="s">
        <v>2131</v>
      </c>
      <c r="S523" s="57" t="s">
        <v>2224</v>
      </c>
      <c r="T523" s="54">
        <f>+I523</f>
        <v>310.8</v>
      </c>
      <c r="U523" s="54"/>
      <c r="AA523">
        <f t="shared" si="103"/>
        <v>3511</v>
      </c>
      <c r="AD523" t="str">
        <f t="shared" si="104"/>
        <v>314</v>
      </c>
      <c r="AE523">
        <f t="shared" si="105"/>
        <v>0</v>
      </c>
      <c r="AG523" s="50" t="str">
        <f t="shared" si="106"/>
        <v>SOURCE VIVE  ENTRETIEN BÂTIMENT</v>
      </c>
      <c r="AH523" s="244" t="str">
        <f t="shared" si="107"/>
        <v>96306</v>
      </c>
      <c r="AI523" s="219"/>
      <c r="AJ523" s="219"/>
      <c r="AK523" s="219" t="str">
        <f t="shared" si="108"/>
        <v>3431</v>
      </c>
      <c r="AL523" s="244" t="str">
        <f t="shared" si="109"/>
        <v>00</v>
      </c>
      <c r="AN523" s="219" t="str">
        <f t="shared" si="110"/>
        <v>Entretien courant, biens-fonds PF | Bât Source Vive / Gare 10 |</v>
      </c>
    </row>
    <row r="524" spans="1:40" ht="15" customHeight="1" x14ac:dyDescent="0.3">
      <c r="A524" s="48">
        <v>0</v>
      </c>
      <c r="B524" s="49" t="s">
        <v>807</v>
      </c>
      <c r="C524" s="50" t="s">
        <v>808</v>
      </c>
      <c r="D524" s="46" t="s">
        <v>1459</v>
      </c>
      <c r="E524" s="46" t="s">
        <v>798</v>
      </c>
      <c r="F524" s="46">
        <v>3511</v>
      </c>
      <c r="G524" s="46" t="s">
        <v>131</v>
      </c>
      <c r="H524" s="46">
        <v>1</v>
      </c>
      <c r="I524" s="51">
        <v>540.5</v>
      </c>
      <c r="J524" s="51">
        <v>0</v>
      </c>
      <c r="K524" s="51">
        <f t="shared" si="111"/>
        <v>540.5</v>
      </c>
      <c r="L524" s="51">
        <v>540</v>
      </c>
      <c r="M524" s="51">
        <v>0</v>
      </c>
      <c r="N524" s="51">
        <f t="shared" si="102"/>
        <v>540</v>
      </c>
      <c r="O524" s="51">
        <v>0</v>
      </c>
      <c r="P524" s="179" t="s">
        <v>1808</v>
      </c>
      <c r="Q524" s="179" t="s">
        <v>1812</v>
      </c>
      <c r="R524" s="179" t="s">
        <v>2131</v>
      </c>
      <c r="S524" s="57" t="s">
        <v>2224</v>
      </c>
      <c r="T524" s="54">
        <f>+I524</f>
        <v>540.5</v>
      </c>
      <c r="U524" s="54"/>
      <c r="AA524">
        <f t="shared" si="103"/>
        <v>3511</v>
      </c>
      <c r="AD524" t="str">
        <f t="shared" si="104"/>
        <v>314</v>
      </c>
      <c r="AE524">
        <f t="shared" si="105"/>
        <v>1</v>
      </c>
      <c r="AG524" s="50" t="str">
        <f t="shared" si="106"/>
        <v>SOURCE VIVE  CONTRATS D’ENTRETIEN BÂTIMENT</v>
      </c>
      <c r="AH524" s="244" t="str">
        <f t="shared" si="107"/>
        <v>96306</v>
      </c>
      <c r="AI524" s="219"/>
      <c r="AJ524" s="219"/>
      <c r="AK524" s="219" t="str">
        <f t="shared" si="108"/>
        <v>3431</v>
      </c>
      <c r="AL524" s="244" t="str">
        <f t="shared" si="109"/>
        <v>00</v>
      </c>
      <c r="AN524" s="219" t="str">
        <f t="shared" si="110"/>
        <v>Entretien courant, biens-fonds PF | Bât Source Vive / Gare 10 |</v>
      </c>
    </row>
    <row r="525" spans="1:40" ht="15" customHeight="1" x14ac:dyDescent="0.3">
      <c r="A525" s="48">
        <v>0</v>
      </c>
      <c r="B525" s="74" t="s">
        <v>809</v>
      </c>
      <c r="C525" s="67" t="s">
        <v>810</v>
      </c>
      <c r="D525" s="188" t="s">
        <v>1459</v>
      </c>
      <c r="E525" s="188" t="s">
        <v>798</v>
      </c>
      <c r="F525" s="46">
        <v>3511</v>
      </c>
      <c r="G525" s="188" t="s">
        <v>131</v>
      </c>
      <c r="H525" s="188">
        <v>2</v>
      </c>
      <c r="I525" s="51">
        <v>54986.93</v>
      </c>
      <c r="J525" s="51">
        <v>0</v>
      </c>
      <c r="K525" s="51">
        <f t="shared" si="111"/>
        <v>54986.93</v>
      </c>
      <c r="L525" s="51">
        <v>40000</v>
      </c>
      <c r="M525" s="51">
        <v>0</v>
      </c>
      <c r="N525" s="51">
        <f t="shared" si="102"/>
        <v>40000</v>
      </c>
      <c r="O525" s="51">
        <v>0</v>
      </c>
      <c r="P525" s="179" t="s">
        <v>1808</v>
      </c>
      <c r="Q525" s="179" t="s">
        <v>1812</v>
      </c>
      <c r="R525" s="179" t="s">
        <v>2131</v>
      </c>
      <c r="S525" s="57" t="s">
        <v>2224</v>
      </c>
      <c r="T525" s="54">
        <f>+I525</f>
        <v>54986.93</v>
      </c>
      <c r="U525" s="54"/>
      <c r="AA525">
        <f t="shared" si="103"/>
        <v>3511</v>
      </c>
      <c r="AD525" t="str">
        <f t="shared" si="104"/>
        <v>314</v>
      </c>
      <c r="AE525">
        <f t="shared" si="105"/>
        <v>2</v>
      </c>
      <c r="AG525" s="50" t="str">
        <f t="shared" si="106"/>
        <v>SOURCE VIVE DECPTE CHARGES REGIE SPG - VALAUR SA</v>
      </c>
      <c r="AH525" s="244" t="str">
        <f t="shared" si="107"/>
        <v>96306</v>
      </c>
      <c r="AI525" s="219"/>
      <c r="AJ525" s="219"/>
      <c r="AK525" s="219" t="str">
        <f t="shared" si="108"/>
        <v>3431</v>
      </c>
      <c r="AL525" s="244" t="str">
        <f t="shared" si="109"/>
        <v>00</v>
      </c>
      <c r="AN525" s="219" t="str">
        <f t="shared" si="110"/>
        <v>Entretien courant, biens-fonds PF | Bât Source Vive / Gare 10 |</v>
      </c>
    </row>
    <row r="526" spans="1:40" ht="15" customHeight="1" x14ac:dyDescent="0.3">
      <c r="A526" s="48"/>
      <c r="B526" s="74" t="s">
        <v>809</v>
      </c>
      <c r="C526" s="67" t="s">
        <v>810</v>
      </c>
      <c r="D526" s="188" t="s">
        <v>1459</v>
      </c>
      <c r="E526" s="188" t="s">
        <v>798</v>
      </c>
      <c r="F526" s="46">
        <v>3511</v>
      </c>
      <c r="G526" s="188" t="s">
        <v>131</v>
      </c>
      <c r="H526" s="188">
        <v>2</v>
      </c>
      <c r="I526" s="51"/>
      <c r="J526" s="51"/>
      <c r="K526" s="51">
        <f t="shared" si="111"/>
        <v>0</v>
      </c>
      <c r="L526" s="51"/>
      <c r="M526" s="51"/>
      <c r="N526" s="51">
        <f t="shared" si="102"/>
        <v>0</v>
      </c>
      <c r="O526" s="51"/>
      <c r="P526" s="179" t="s">
        <v>1808</v>
      </c>
      <c r="Q526" s="179" t="s">
        <v>1504</v>
      </c>
      <c r="R526" s="179" t="s">
        <v>2131</v>
      </c>
      <c r="S526" s="57" t="s">
        <v>2226</v>
      </c>
      <c r="T526" s="54"/>
      <c r="U526" s="54"/>
      <c r="AA526">
        <f t="shared" si="103"/>
        <v>3511</v>
      </c>
      <c r="AD526" t="str">
        <f t="shared" si="104"/>
        <v>314</v>
      </c>
      <c r="AE526">
        <f t="shared" si="105"/>
        <v>2</v>
      </c>
      <c r="AG526" s="50" t="str">
        <f t="shared" si="106"/>
        <v>SOURCE VIVE DECPTE CHARGES REGIE SPG - VALAUR SA</v>
      </c>
      <c r="AH526" s="244" t="str">
        <f t="shared" si="107"/>
        <v>96306</v>
      </c>
      <c r="AI526" s="219"/>
      <c r="AJ526" s="219"/>
      <c r="AK526" s="219" t="str">
        <f t="shared" si="108"/>
        <v>3439</v>
      </c>
      <c r="AL526" s="244" t="str">
        <f t="shared" si="109"/>
        <v>00</v>
      </c>
      <c r="AN526" s="219" t="str">
        <f t="shared" si="110"/>
        <v>Autres charges de biens-fonds PF | Bât Source Vive / Gare 10 |  Assurances</v>
      </c>
    </row>
    <row r="527" spans="1:40" ht="15" customHeight="1" x14ac:dyDescent="0.3">
      <c r="A527" s="48"/>
      <c r="B527" s="74" t="s">
        <v>809</v>
      </c>
      <c r="C527" s="67" t="s">
        <v>810</v>
      </c>
      <c r="D527" s="188" t="s">
        <v>1459</v>
      </c>
      <c r="E527" s="188" t="s">
        <v>798</v>
      </c>
      <c r="F527" s="46">
        <v>3511</v>
      </c>
      <c r="G527" s="188" t="s">
        <v>131</v>
      </c>
      <c r="H527" s="188">
        <v>2</v>
      </c>
      <c r="I527" s="51"/>
      <c r="J527" s="51"/>
      <c r="K527" s="51">
        <f t="shared" si="111"/>
        <v>0</v>
      </c>
      <c r="L527" s="51"/>
      <c r="M527" s="51"/>
      <c r="N527" s="51">
        <f t="shared" si="102"/>
        <v>0</v>
      </c>
      <c r="O527" s="51"/>
      <c r="P527" s="179" t="s">
        <v>1808</v>
      </c>
      <c r="Q527" s="179" t="s">
        <v>1504</v>
      </c>
      <c r="R527" s="179" t="s">
        <v>2132</v>
      </c>
      <c r="S527" s="57" t="s">
        <v>2227</v>
      </c>
      <c r="T527" s="54"/>
      <c r="U527" s="54"/>
      <c r="AA527">
        <f t="shared" si="103"/>
        <v>3511</v>
      </c>
      <c r="AD527" t="str">
        <f t="shared" si="104"/>
        <v>314</v>
      </c>
      <c r="AE527">
        <f t="shared" si="105"/>
        <v>2</v>
      </c>
      <c r="AG527" s="50" t="str">
        <f t="shared" si="106"/>
        <v>SOURCE VIVE DECPTE CHARGES REGIE SPG - VALAUR SA</v>
      </c>
      <c r="AH527" s="244" t="str">
        <f t="shared" si="107"/>
        <v>96306</v>
      </c>
      <c r="AI527" s="219"/>
      <c r="AJ527" s="219"/>
      <c r="AK527" s="219" t="str">
        <f t="shared" si="108"/>
        <v>3439</v>
      </c>
      <c r="AL527" s="244" t="str">
        <f t="shared" si="109"/>
        <v>01</v>
      </c>
      <c r="AN527" s="219" t="str">
        <f t="shared" si="110"/>
        <v>Autres charges de biens-fonds PF | Bât Source Vive / Gare 10 | Eau</v>
      </c>
    </row>
    <row r="528" spans="1:40" ht="15" customHeight="1" x14ac:dyDescent="0.3">
      <c r="A528" s="48"/>
      <c r="B528" s="74" t="s">
        <v>809</v>
      </c>
      <c r="C528" s="67" t="s">
        <v>810</v>
      </c>
      <c r="D528" s="188" t="s">
        <v>1459</v>
      </c>
      <c r="E528" s="188" t="s">
        <v>798</v>
      </c>
      <c r="F528" s="46">
        <v>3511</v>
      </c>
      <c r="G528" s="188" t="s">
        <v>131</v>
      </c>
      <c r="H528" s="188">
        <v>2</v>
      </c>
      <c r="I528" s="51"/>
      <c r="J528" s="51"/>
      <c r="K528" s="51">
        <f t="shared" si="111"/>
        <v>0</v>
      </c>
      <c r="L528" s="51"/>
      <c r="M528" s="51"/>
      <c r="N528" s="51">
        <f t="shared" si="102"/>
        <v>0</v>
      </c>
      <c r="O528" s="51"/>
      <c r="P528" s="179" t="s">
        <v>1808</v>
      </c>
      <c r="Q528" s="179" t="s">
        <v>1504</v>
      </c>
      <c r="R528" s="179" t="s">
        <v>2133</v>
      </c>
      <c r="S528" s="57" t="s">
        <v>2228</v>
      </c>
      <c r="T528" s="54"/>
      <c r="U528" s="54"/>
      <c r="AA528">
        <f t="shared" si="103"/>
        <v>3511</v>
      </c>
      <c r="AD528" t="str">
        <f t="shared" si="104"/>
        <v>314</v>
      </c>
      <c r="AE528">
        <f t="shared" si="105"/>
        <v>2</v>
      </c>
      <c r="AG528" s="50" t="str">
        <f t="shared" si="106"/>
        <v>SOURCE VIVE DECPTE CHARGES REGIE SPG - VALAUR SA</v>
      </c>
      <c r="AH528" s="244" t="str">
        <f t="shared" si="107"/>
        <v>96306</v>
      </c>
      <c r="AI528" s="219"/>
      <c r="AJ528" s="219"/>
      <c r="AK528" s="219" t="str">
        <f t="shared" si="108"/>
        <v>3439</v>
      </c>
      <c r="AL528" s="244" t="str">
        <f t="shared" si="109"/>
        <v>02</v>
      </c>
      <c r="AN528" s="219" t="str">
        <f t="shared" si="110"/>
        <v>Autres charges de biens-fonds PF | Bât Source Vive / Gare 10 | Electricité</v>
      </c>
    </row>
    <row r="529" spans="1:40" ht="15" customHeight="1" x14ac:dyDescent="0.3">
      <c r="A529" s="48"/>
      <c r="B529" s="74" t="s">
        <v>809</v>
      </c>
      <c r="C529" s="67" t="s">
        <v>810</v>
      </c>
      <c r="D529" s="188" t="s">
        <v>1459</v>
      </c>
      <c r="E529" s="188" t="s">
        <v>798</v>
      </c>
      <c r="F529" s="46">
        <v>3511</v>
      </c>
      <c r="G529" s="188" t="s">
        <v>131</v>
      </c>
      <c r="H529" s="188">
        <v>2</v>
      </c>
      <c r="I529" s="51"/>
      <c r="J529" s="51"/>
      <c r="K529" s="51">
        <f t="shared" si="111"/>
        <v>0</v>
      </c>
      <c r="L529" s="51"/>
      <c r="M529" s="51"/>
      <c r="N529" s="51">
        <f t="shared" ref="N529:N560" si="112">+L529+M529</f>
        <v>0</v>
      </c>
      <c r="O529" s="51"/>
      <c r="P529" s="179" t="s">
        <v>1808</v>
      </c>
      <c r="Q529" s="179" t="s">
        <v>1504</v>
      </c>
      <c r="R529" s="179" t="s">
        <v>2134</v>
      </c>
      <c r="S529" s="57" t="s">
        <v>2229</v>
      </c>
      <c r="T529" s="54"/>
      <c r="U529" s="54"/>
      <c r="AA529">
        <f t="shared" si="103"/>
        <v>3511</v>
      </c>
      <c r="AD529" t="str">
        <f t="shared" si="104"/>
        <v>314</v>
      </c>
      <c r="AE529">
        <f t="shared" si="105"/>
        <v>2</v>
      </c>
      <c r="AG529" s="50" t="str">
        <f t="shared" si="106"/>
        <v>SOURCE VIVE DECPTE CHARGES REGIE SPG - VALAUR SA</v>
      </c>
      <c r="AH529" s="244" t="str">
        <f t="shared" si="107"/>
        <v>96306</v>
      </c>
      <c r="AI529" s="219"/>
      <c r="AJ529" s="219"/>
      <c r="AK529" s="219" t="str">
        <f t="shared" si="108"/>
        <v>3439</v>
      </c>
      <c r="AL529" s="244" t="str">
        <f t="shared" si="109"/>
        <v>03</v>
      </c>
      <c r="AN529" s="219" t="str">
        <f t="shared" si="110"/>
        <v>Autres charges de biens-fonds PF | Bât Source Vive / Gare 10 |  Chauffage</v>
      </c>
    </row>
    <row r="530" spans="1:40" ht="15" customHeight="1" x14ac:dyDescent="0.3">
      <c r="A530" s="48"/>
      <c r="B530" s="74" t="s">
        <v>809</v>
      </c>
      <c r="C530" s="67" t="s">
        <v>810</v>
      </c>
      <c r="D530" s="188" t="s">
        <v>1459</v>
      </c>
      <c r="E530" s="188" t="s">
        <v>798</v>
      </c>
      <c r="F530" s="46">
        <v>3511</v>
      </c>
      <c r="G530" s="188" t="s">
        <v>131</v>
      </c>
      <c r="H530" s="188">
        <v>2</v>
      </c>
      <c r="I530" s="51"/>
      <c r="J530" s="51"/>
      <c r="K530" s="51">
        <f t="shared" si="111"/>
        <v>0</v>
      </c>
      <c r="L530" s="51"/>
      <c r="M530" s="51"/>
      <c r="N530" s="51">
        <f t="shared" si="112"/>
        <v>0</v>
      </c>
      <c r="O530" s="51"/>
      <c r="P530" s="179" t="s">
        <v>1808</v>
      </c>
      <c r="Q530" s="179" t="s">
        <v>1504</v>
      </c>
      <c r="R530" s="179" t="s">
        <v>2135</v>
      </c>
      <c r="S530" s="57" t="s">
        <v>2230</v>
      </c>
      <c r="T530" s="54"/>
      <c r="U530" s="54"/>
      <c r="AA530">
        <f t="shared" si="103"/>
        <v>3511</v>
      </c>
      <c r="AD530" t="str">
        <f t="shared" si="104"/>
        <v>314</v>
      </c>
      <c r="AE530">
        <f t="shared" si="105"/>
        <v>2</v>
      </c>
      <c r="AG530" s="50" t="str">
        <f t="shared" si="106"/>
        <v>SOURCE VIVE DECPTE CHARGES REGIE SPG - VALAUR SA</v>
      </c>
      <c r="AH530" s="244" t="str">
        <f t="shared" si="107"/>
        <v>96306</v>
      </c>
      <c r="AI530" s="219"/>
      <c r="AJ530" s="219"/>
      <c r="AK530" s="219" t="str">
        <f t="shared" si="108"/>
        <v>3439</v>
      </c>
      <c r="AL530" s="244" t="str">
        <f t="shared" si="109"/>
        <v>04</v>
      </c>
      <c r="AN530" s="219" t="str">
        <f t="shared" si="110"/>
        <v>Autres charges de biens-fonds PF | Bât Source Vive / Gare 10 |  Frais de gérance</v>
      </c>
    </row>
    <row r="531" spans="1:40" ht="15" customHeight="1" x14ac:dyDescent="0.3">
      <c r="A531" s="48"/>
      <c r="B531" s="74" t="s">
        <v>809</v>
      </c>
      <c r="C531" s="67" t="s">
        <v>810</v>
      </c>
      <c r="D531" s="188" t="s">
        <v>1459</v>
      </c>
      <c r="E531" s="188" t="s">
        <v>798</v>
      </c>
      <c r="F531" s="46">
        <v>3511</v>
      </c>
      <c r="G531" s="188" t="s">
        <v>131</v>
      </c>
      <c r="H531" s="188">
        <v>2</v>
      </c>
      <c r="I531" s="51"/>
      <c r="J531" s="51"/>
      <c r="K531" s="51">
        <f t="shared" si="111"/>
        <v>0</v>
      </c>
      <c r="L531" s="51"/>
      <c r="M531" s="51"/>
      <c r="N531" s="51">
        <f t="shared" si="112"/>
        <v>0</v>
      </c>
      <c r="O531" s="51"/>
      <c r="P531" s="179" t="s">
        <v>1808</v>
      </c>
      <c r="Q531" s="179" t="s">
        <v>1822</v>
      </c>
      <c r="R531" s="179" t="s">
        <v>2131</v>
      </c>
      <c r="S531" s="57" t="s">
        <v>2225</v>
      </c>
      <c r="T531" s="54"/>
      <c r="U531" s="54"/>
      <c r="AA531">
        <f t="shared" si="103"/>
        <v>3511</v>
      </c>
      <c r="AD531" t="str">
        <f t="shared" si="104"/>
        <v>314</v>
      </c>
      <c r="AE531">
        <f t="shared" si="105"/>
        <v>2</v>
      </c>
      <c r="AG531" s="50" t="str">
        <f t="shared" si="106"/>
        <v>SOURCE VIVE DECPTE CHARGES REGIE SPG - VALAUR SA</v>
      </c>
      <c r="AH531" s="244" t="str">
        <f t="shared" si="107"/>
        <v>96306</v>
      </c>
      <c r="AI531" s="219"/>
      <c r="AJ531" s="219"/>
      <c r="AK531" s="219" t="str">
        <f t="shared" si="108"/>
        <v>3430</v>
      </c>
      <c r="AL531" s="244" t="str">
        <f t="shared" si="109"/>
        <v>00</v>
      </c>
      <c r="AN531" s="219" t="str">
        <f t="shared" si="110"/>
        <v>Tavaux Ponctuels, biens-fonds PF | Bât Source Vive / Gare 10 |</v>
      </c>
    </row>
    <row r="532" spans="1:40" ht="15" customHeight="1" x14ac:dyDescent="0.3">
      <c r="A532" s="48">
        <v>0</v>
      </c>
      <c r="B532" s="49" t="s">
        <v>811</v>
      </c>
      <c r="C532" s="50" t="s">
        <v>812</v>
      </c>
      <c r="D532" s="46" t="s">
        <v>1459</v>
      </c>
      <c r="E532" s="46" t="s">
        <v>798</v>
      </c>
      <c r="F532" s="46">
        <v>3511</v>
      </c>
      <c r="G532" s="46" t="s">
        <v>123</v>
      </c>
      <c r="H532" s="46"/>
      <c r="I532" s="51">
        <v>0</v>
      </c>
      <c r="J532" s="51">
        <v>0</v>
      </c>
      <c r="K532" s="51">
        <f t="shared" si="111"/>
        <v>0</v>
      </c>
      <c r="L532" s="51">
        <v>0</v>
      </c>
      <c r="M532" s="51">
        <v>0</v>
      </c>
      <c r="N532" s="51">
        <f t="shared" si="112"/>
        <v>0</v>
      </c>
      <c r="O532" s="51">
        <v>0</v>
      </c>
      <c r="P532" s="179" t="s">
        <v>1489</v>
      </c>
      <c r="Q532" s="179" t="s">
        <v>1489</v>
      </c>
      <c r="R532" s="179" t="s">
        <v>1489</v>
      </c>
      <c r="S532" s="47" t="s">
        <v>1489</v>
      </c>
      <c r="T532" s="54"/>
      <c r="U532" s="54"/>
      <c r="AA532">
        <f t="shared" si="103"/>
        <v>3511</v>
      </c>
      <c r="AD532" t="str">
        <f t="shared" si="104"/>
        <v>315</v>
      </c>
      <c r="AE532">
        <f t="shared" si="105"/>
        <v>0</v>
      </c>
      <c r="AG532" s="50" t="str">
        <f t="shared" si="106"/>
        <v>SOURCE VIVE  ENTRETIEN MOB et INST TECH</v>
      </c>
      <c r="AH532" s="244" t="str">
        <f t="shared" si="107"/>
        <v>-</v>
      </c>
      <c r="AI532" s="219"/>
      <c r="AJ532" s="219"/>
      <c r="AK532" s="219" t="str">
        <f t="shared" si="108"/>
        <v>-</v>
      </c>
      <c r="AL532" s="244" t="str">
        <f t="shared" si="109"/>
        <v>-</v>
      </c>
      <c r="AN532" s="219" t="str">
        <f t="shared" si="110"/>
        <v>-</v>
      </c>
    </row>
    <row r="533" spans="1:40" ht="15" customHeight="1" x14ac:dyDescent="0.3">
      <c r="A533" s="48">
        <v>0</v>
      </c>
      <c r="B533" s="49" t="s">
        <v>813</v>
      </c>
      <c r="C533" s="50" t="s">
        <v>814</v>
      </c>
      <c r="D533" s="46" t="s">
        <v>1459</v>
      </c>
      <c r="E533" s="46" t="s">
        <v>798</v>
      </c>
      <c r="F533" s="46">
        <v>3511</v>
      </c>
      <c r="G533" s="46" t="s">
        <v>123</v>
      </c>
      <c r="H533" s="46">
        <v>1</v>
      </c>
      <c r="I533" s="51">
        <v>0</v>
      </c>
      <c r="J533" s="51">
        <v>0</v>
      </c>
      <c r="K533" s="51">
        <f t="shared" si="111"/>
        <v>0</v>
      </c>
      <c r="L533" s="51">
        <v>0</v>
      </c>
      <c r="M533" s="51">
        <v>0</v>
      </c>
      <c r="N533" s="51">
        <f t="shared" si="112"/>
        <v>0</v>
      </c>
      <c r="O533" s="51">
        <v>0</v>
      </c>
      <c r="P533" s="179" t="s">
        <v>1489</v>
      </c>
      <c r="Q533" s="179" t="s">
        <v>1489</v>
      </c>
      <c r="R533" s="179" t="s">
        <v>1489</v>
      </c>
      <c r="S533" s="47" t="s">
        <v>1489</v>
      </c>
      <c r="T533" s="54"/>
      <c r="U533" s="54"/>
      <c r="AA533">
        <f t="shared" si="103"/>
        <v>3511</v>
      </c>
      <c r="AD533" t="str">
        <f t="shared" si="104"/>
        <v>315</v>
      </c>
      <c r="AE533">
        <f t="shared" si="105"/>
        <v>1</v>
      </c>
      <c r="AG533" s="50" t="str">
        <f t="shared" si="106"/>
        <v>SOURCE VIVE  CONTRATS ENT INST TECH COMMUNAL</v>
      </c>
      <c r="AH533" s="244" t="str">
        <f t="shared" si="107"/>
        <v>-</v>
      </c>
      <c r="AI533" s="219"/>
      <c r="AJ533" s="219"/>
      <c r="AK533" s="219" t="str">
        <f t="shared" si="108"/>
        <v>-</v>
      </c>
      <c r="AL533" s="244" t="str">
        <f t="shared" si="109"/>
        <v>-</v>
      </c>
      <c r="AN533" s="219" t="str">
        <f t="shared" si="110"/>
        <v>-</v>
      </c>
    </row>
    <row r="534" spans="1:40" ht="15" customHeight="1" x14ac:dyDescent="0.3">
      <c r="A534" s="48">
        <v>0</v>
      </c>
      <c r="B534" s="49" t="s">
        <v>815</v>
      </c>
      <c r="C534" s="50" t="s">
        <v>816</v>
      </c>
      <c r="D534" s="46" t="s">
        <v>1459</v>
      </c>
      <c r="E534" s="46" t="s">
        <v>798</v>
      </c>
      <c r="F534" s="46">
        <v>3511</v>
      </c>
      <c r="G534" s="46" t="s">
        <v>48</v>
      </c>
      <c r="H534" s="46"/>
      <c r="I534" s="51">
        <v>0</v>
      </c>
      <c r="J534" s="51">
        <v>0</v>
      </c>
      <c r="K534" s="51">
        <f t="shared" si="111"/>
        <v>0</v>
      </c>
      <c r="L534" s="51">
        <v>0</v>
      </c>
      <c r="M534" s="51">
        <v>0</v>
      </c>
      <c r="N534" s="51">
        <f t="shared" si="112"/>
        <v>0</v>
      </c>
      <c r="O534" s="51">
        <v>0</v>
      </c>
      <c r="P534" s="179" t="s">
        <v>1489</v>
      </c>
      <c r="Q534" s="179" t="s">
        <v>1489</v>
      </c>
      <c r="R534" s="179" t="s">
        <v>1489</v>
      </c>
      <c r="S534" s="47" t="s">
        <v>1489</v>
      </c>
      <c r="T534" s="54"/>
      <c r="U534" s="54"/>
      <c r="AA534">
        <f t="shared" si="103"/>
        <v>3511</v>
      </c>
      <c r="AD534" t="str">
        <f t="shared" si="104"/>
        <v>318</v>
      </c>
      <c r="AE534">
        <f t="shared" si="105"/>
        <v>0</v>
      </c>
      <c r="AG534" s="50" t="str">
        <f t="shared" si="106"/>
        <v>SOURCE VIVE  PRESTATIONS ASSURANCES HONORAIRES</v>
      </c>
      <c r="AH534" s="244" t="str">
        <f t="shared" si="107"/>
        <v>-</v>
      </c>
      <c r="AI534" s="219"/>
      <c r="AJ534" s="219"/>
      <c r="AK534" s="219" t="str">
        <f t="shared" si="108"/>
        <v>-</v>
      </c>
      <c r="AL534" s="244" t="str">
        <f t="shared" si="109"/>
        <v>-</v>
      </c>
      <c r="AN534" s="219" t="str">
        <f t="shared" si="110"/>
        <v>-</v>
      </c>
    </row>
    <row r="535" spans="1:40" ht="15" customHeight="1" x14ac:dyDescent="0.3">
      <c r="A535" s="48">
        <v>0</v>
      </c>
      <c r="B535" s="49" t="s">
        <v>817</v>
      </c>
      <c r="C535" s="50" t="s">
        <v>818</v>
      </c>
      <c r="D535" s="46" t="s">
        <v>1459</v>
      </c>
      <c r="E535" s="46" t="s">
        <v>798</v>
      </c>
      <c r="F535" s="46">
        <v>3511</v>
      </c>
      <c r="G535" s="46" t="s">
        <v>53</v>
      </c>
      <c r="H535" s="46"/>
      <c r="I535" s="51">
        <v>0</v>
      </c>
      <c r="J535" s="51">
        <v>0</v>
      </c>
      <c r="K535" s="51">
        <f t="shared" si="111"/>
        <v>0</v>
      </c>
      <c r="L535" s="51">
        <v>0</v>
      </c>
      <c r="M535" s="51">
        <v>0</v>
      </c>
      <c r="N535" s="51">
        <f t="shared" si="112"/>
        <v>0</v>
      </c>
      <c r="O535" s="51">
        <v>0</v>
      </c>
      <c r="P535" s="179" t="s">
        <v>1489</v>
      </c>
      <c r="Q535" s="179" t="s">
        <v>1489</v>
      </c>
      <c r="R535" s="179" t="s">
        <v>1489</v>
      </c>
      <c r="S535" s="47" t="s">
        <v>1489</v>
      </c>
      <c r="T535" s="54"/>
      <c r="U535" s="54"/>
      <c r="AA535">
        <f t="shared" si="103"/>
        <v>3511</v>
      </c>
      <c r="AD535" t="str">
        <f t="shared" si="104"/>
        <v>330</v>
      </c>
      <c r="AE535">
        <f t="shared" si="105"/>
        <v>0</v>
      </c>
      <c r="AG535" s="50" t="str">
        <f t="shared" si="106"/>
        <v>SOURCE VIVE  AMORTISSEMENT PART FINANCIER</v>
      </c>
      <c r="AH535" s="244" t="str">
        <f t="shared" si="107"/>
        <v>-</v>
      </c>
      <c r="AI535" s="219"/>
      <c r="AJ535" s="219"/>
      <c r="AK535" s="219" t="str">
        <f t="shared" si="108"/>
        <v>-</v>
      </c>
      <c r="AL535" s="244" t="str">
        <f t="shared" si="109"/>
        <v>-</v>
      </c>
      <c r="AN535" s="219" t="str">
        <f t="shared" si="110"/>
        <v>-</v>
      </c>
    </row>
    <row r="536" spans="1:40" ht="15" customHeight="1" x14ac:dyDescent="0.3">
      <c r="A536" s="48">
        <v>0</v>
      </c>
      <c r="B536" s="49" t="s">
        <v>819</v>
      </c>
      <c r="C536" s="50" t="s">
        <v>820</v>
      </c>
      <c r="D536" s="46" t="s">
        <v>1459</v>
      </c>
      <c r="E536" s="46" t="s">
        <v>798</v>
      </c>
      <c r="F536" s="46">
        <v>3511</v>
      </c>
      <c r="G536" s="46" t="s">
        <v>164</v>
      </c>
      <c r="H536" s="46"/>
      <c r="I536" s="51">
        <v>0</v>
      </c>
      <c r="J536" s="51">
        <v>0</v>
      </c>
      <c r="K536" s="51">
        <f t="shared" si="111"/>
        <v>0</v>
      </c>
      <c r="L536" s="51">
        <v>0</v>
      </c>
      <c r="M536" s="51">
        <v>0</v>
      </c>
      <c r="N536" s="51">
        <f t="shared" si="112"/>
        <v>0</v>
      </c>
      <c r="O536" s="51">
        <v>0</v>
      </c>
      <c r="P536" s="179" t="s">
        <v>1489</v>
      </c>
      <c r="Q536" s="179" t="s">
        <v>1489</v>
      </c>
      <c r="R536" s="179" t="s">
        <v>1489</v>
      </c>
      <c r="S536" s="47" t="s">
        <v>1489</v>
      </c>
      <c r="T536" s="54"/>
      <c r="U536" s="54"/>
      <c r="AA536">
        <f t="shared" si="103"/>
        <v>3511</v>
      </c>
      <c r="AD536" t="str">
        <f t="shared" si="104"/>
        <v>331</v>
      </c>
      <c r="AE536">
        <f t="shared" si="105"/>
        <v>0</v>
      </c>
      <c r="AG536" s="50" t="str">
        <f t="shared" si="106"/>
        <v>SOURCE-VIVE  AMORT PATR ADM COMMUNAL (inactif)</v>
      </c>
      <c r="AH536" s="244" t="str">
        <f t="shared" si="107"/>
        <v>-</v>
      </c>
      <c r="AI536" s="219"/>
      <c r="AJ536" s="219"/>
      <c r="AK536" s="219" t="str">
        <f t="shared" si="108"/>
        <v>-</v>
      </c>
      <c r="AL536" s="244" t="str">
        <f t="shared" si="109"/>
        <v>-</v>
      </c>
      <c r="AN536" s="219" t="str">
        <f t="shared" si="110"/>
        <v>-</v>
      </c>
    </row>
    <row r="537" spans="1:40" ht="15" customHeight="1" x14ac:dyDescent="0.3">
      <c r="A537" s="48">
        <v>0</v>
      </c>
      <c r="B537" s="49" t="s">
        <v>821</v>
      </c>
      <c r="C537" s="50" t="s">
        <v>822</v>
      </c>
      <c r="D537" s="46" t="s">
        <v>1459</v>
      </c>
      <c r="E537" s="46" t="s">
        <v>798</v>
      </c>
      <c r="F537" s="46">
        <v>3511</v>
      </c>
      <c r="G537" s="46" t="s">
        <v>6</v>
      </c>
      <c r="H537" s="46"/>
      <c r="I537" s="51">
        <v>0</v>
      </c>
      <c r="J537" s="51">
        <v>0</v>
      </c>
      <c r="K537" s="51">
        <f t="shared" si="111"/>
        <v>0</v>
      </c>
      <c r="L537" s="51">
        <v>0</v>
      </c>
      <c r="M537" s="51">
        <v>0</v>
      </c>
      <c r="N537" s="51">
        <f t="shared" si="112"/>
        <v>0</v>
      </c>
      <c r="O537" s="51">
        <v>0</v>
      </c>
      <c r="P537" s="179" t="s">
        <v>1489</v>
      </c>
      <c r="Q537" s="179" t="s">
        <v>1489</v>
      </c>
      <c r="R537" s="179" t="s">
        <v>1489</v>
      </c>
      <c r="S537" s="47" t="s">
        <v>1489</v>
      </c>
      <c r="T537" s="54"/>
      <c r="U537" s="54"/>
      <c r="AA537">
        <f t="shared" si="103"/>
        <v>3511</v>
      </c>
      <c r="AD537" t="str">
        <f t="shared" si="104"/>
        <v>380</v>
      </c>
      <c r="AE537">
        <f t="shared" si="105"/>
        <v>0</v>
      </c>
      <c r="AG537" s="50" t="str">
        <f t="shared" si="106"/>
        <v>SOURCE VIVE  ATTRIB FONDS RENOVATION (9281.19)</v>
      </c>
      <c r="AH537" s="244" t="str">
        <f t="shared" si="107"/>
        <v>-</v>
      </c>
      <c r="AI537" s="219"/>
      <c r="AJ537" s="219"/>
      <c r="AK537" s="219" t="str">
        <f t="shared" si="108"/>
        <v>-</v>
      </c>
      <c r="AL537" s="244" t="str">
        <f t="shared" si="109"/>
        <v>-</v>
      </c>
      <c r="AN537" s="219" t="str">
        <f t="shared" si="110"/>
        <v>-</v>
      </c>
    </row>
    <row r="538" spans="1:40" ht="15" customHeight="1" x14ac:dyDescent="0.3">
      <c r="A538" s="48">
        <v>0</v>
      </c>
      <c r="B538" s="49" t="s">
        <v>823</v>
      </c>
      <c r="C538" s="50" t="s">
        <v>824</v>
      </c>
      <c r="D538" s="46" t="s">
        <v>1459</v>
      </c>
      <c r="E538" s="46" t="s">
        <v>798</v>
      </c>
      <c r="F538" s="46">
        <v>3511</v>
      </c>
      <c r="G538" s="46" t="s">
        <v>335</v>
      </c>
      <c r="H538" s="46"/>
      <c r="I538" s="51">
        <v>0</v>
      </c>
      <c r="J538" s="51">
        <v>0</v>
      </c>
      <c r="K538" s="51">
        <f t="shared" si="111"/>
        <v>0</v>
      </c>
      <c r="L538" s="51">
        <v>0</v>
      </c>
      <c r="M538" s="51">
        <v>0</v>
      </c>
      <c r="N538" s="51">
        <f t="shared" si="112"/>
        <v>0</v>
      </c>
      <c r="O538" s="51">
        <v>0</v>
      </c>
      <c r="P538" s="179" t="s">
        <v>1489</v>
      </c>
      <c r="Q538" s="179" t="s">
        <v>1489</v>
      </c>
      <c r="R538" s="179" t="s">
        <v>1489</v>
      </c>
      <c r="S538" s="47" t="s">
        <v>1489</v>
      </c>
      <c r="T538" s="54"/>
      <c r="U538" s="54"/>
      <c r="AA538">
        <f t="shared" si="103"/>
        <v>3511</v>
      </c>
      <c r="AD538" t="str">
        <f t="shared" si="104"/>
        <v>427</v>
      </c>
      <c r="AE538">
        <f t="shared" si="105"/>
        <v>0</v>
      </c>
      <c r="AG538" s="50" t="str">
        <f t="shared" si="106"/>
        <v>SOURCE VIVE  LOYERS et REVENUS PART FINANCIER</v>
      </c>
      <c r="AH538" s="244" t="str">
        <f t="shared" si="107"/>
        <v>-</v>
      </c>
      <c r="AI538" s="219"/>
      <c r="AJ538" s="219"/>
      <c r="AK538" s="219" t="str">
        <f t="shared" si="108"/>
        <v>-</v>
      </c>
      <c r="AL538" s="244" t="str">
        <f t="shared" si="109"/>
        <v>-</v>
      </c>
      <c r="AN538" s="219" t="str">
        <f t="shared" si="110"/>
        <v>-</v>
      </c>
    </row>
    <row r="539" spans="1:40" ht="15" customHeight="1" x14ac:dyDescent="0.3">
      <c r="A539" s="48">
        <v>0</v>
      </c>
      <c r="B539" s="49" t="s">
        <v>825</v>
      </c>
      <c r="C539" s="50" t="s">
        <v>826</v>
      </c>
      <c r="D539" s="46" t="s">
        <v>1459</v>
      </c>
      <c r="E539" s="46" t="s">
        <v>798</v>
      </c>
      <c r="F539" s="46">
        <v>3511</v>
      </c>
      <c r="G539" s="46" t="s">
        <v>335</v>
      </c>
      <c r="H539" s="46">
        <v>2</v>
      </c>
      <c r="I539" s="51">
        <v>0</v>
      </c>
      <c r="J539" s="51">
        <v>-263008.40000000002</v>
      </c>
      <c r="K539" s="51">
        <f t="shared" si="111"/>
        <v>-263008.40000000002</v>
      </c>
      <c r="L539" s="51">
        <v>0</v>
      </c>
      <c r="M539" s="51">
        <v>-260000</v>
      </c>
      <c r="N539" s="51">
        <f t="shared" si="112"/>
        <v>-260000</v>
      </c>
      <c r="O539" s="51">
        <v>0</v>
      </c>
      <c r="P539" s="179" t="s">
        <v>1808</v>
      </c>
      <c r="Q539" s="179" t="s">
        <v>1813</v>
      </c>
      <c r="R539" s="179" t="s">
        <v>2131</v>
      </c>
      <c r="S539" s="49" t="s">
        <v>2231</v>
      </c>
      <c r="T539" s="54">
        <f>+J539</f>
        <v>-263008.40000000002</v>
      </c>
      <c r="U539" s="54"/>
      <c r="AA539">
        <f t="shared" si="103"/>
        <v>3511</v>
      </c>
      <c r="AD539" t="str">
        <f t="shared" si="104"/>
        <v>427</v>
      </c>
      <c r="AE539">
        <f t="shared" si="105"/>
        <v>2</v>
      </c>
      <c r="AG539" s="50" t="str">
        <f t="shared" si="106"/>
        <v>SOURCE VIVE  DECPTE LOYERS REGIE SPG - VALAUR SA</v>
      </c>
      <c r="AH539" s="244" t="str">
        <f t="shared" si="107"/>
        <v>96306</v>
      </c>
      <c r="AI539" s="219"/>
      <c r="AJ539" s="219"/>
      <c r="AK539" s="219" t="str">
        <f t="shared" si="108"/>
        <v>4430</v>
      </c>
      <c r="AL539" s="244" t="str">
        <f t="shared" si="109"/>
        <v>00</v>
      </c>
      <c r="AN539" s="219" t="str">
        <f t="shared" si="110"/>
        <v>Loyers et fermages, immeubles du PF  | Bât Source Vive / Gare 10 |</v>
      </c>
    </row>
    <row r="540" spans="1:40" ht="15" customHeight="1" x14ac:dyDescent="0.3">
      <c r="A540" s="48">
        <v>0</v>
      </c>
      <c r="B540" s="49" t="s">
        <v>827</v>
      </c>
      <c r="C540" s="50" t="s">
        <v>828</v>
      </c>
      <c r="D540" s="46" t="s">
        <v>1459</v>
      </c>
      <c r="E540" s="46" t="s">
        <v>798</v>
      </c>
      <c r="F540" s="46">
        <v>3511</v>
      </c>
      <c r="G540" s="46" t="s">
        <v>61</v>
      </c>
      <c r="H540" s="46"/>
      <c r="I540" s="51">
        <v>0</v>
      </c>
      <c r="J540" s="51">
        <v>0</v>
      </c>
      <c r="K540" s="51">
        <f t="shared" si="111"/>
        <v>0</v>
      </c>
      <c r="L540" s="51">
        <v>0</v>
      </c>
      <c r="M540" s="51">
        <v>0</v>
      </c>
      <c r="N540" s="51">
        <f t="shared" si="112"/>
        <v>0</v>
      </c>
      <c r="O540" s="51">
        <v>0</v>
      </c>
      <c r="P540" s="179" t="s">
        <v>1489</v>
      </c>
      <c r="Q540" s="179" t="s">
        <v>1489</v>
      </c>
      <c r="R540" s="179" t="s">
        <v>1489</v>
      </c>
      <c r="S540" s="47" t="s">
        <v>1489</v>
      </c>
      <c r="T540" s="54"/>
      <c r="U540" s="54"/>
      <c r="AA540">
        <f t="shared" si="103"/>
        <v>3511</v>
      </c>
      <c r="AD540" t="str">
        <f t="shared" si="104"/>
        <v>436</v>
      </c>
      <c r="AE540">
        <f t="shared" si="105"/>
        <v>0</v>
      </c>
      <c r="AG540" s="50" t="str">
        <f t="shared" si="106"/>
        <v>SOURCE VIVE  PART DE TIERS</v>
      </c>
      <c r="AH540" s="244" t="str">
        <f t="shared" si="107"/>
        <v>-</v>
      </c>
      <c r="AI540" s="219"/>
      <c r="AJ540" s="219"/>
      <c r="AK540" s="219" t="str">
        <f t="shared" si="108"/>
        <v>-</v>
      </c>
      <c r="AL540" s="244" t="str">
        <f t="shared" si="109"/>
        <v>-</v>
      </c>
      <c r="AN540" s="219" t="str">
        <f t="shared" si="110"/>
        <v>-</v>
      </c>
    </row>
    <row r="541" spans="1:40" ht="15" customHeight="1" x14ac:dyDescent="0.3">
      <c r="A541" s="48">
        <v>0</v>
      </c>
      <c r="B541" s="49" t="s">
        <v>829</v>
      </c>
      <c r="C541" s="50" t="s">
        <v>830</v>
      </c>
      <c r="D541" s="46" t="s">
        <v>1459</v>
      </c>
      <c r="E541" s="46" t="s">
        <v>798</v>
      </c>
      <c r="F541" s="46">
        <v>3511</v>
      </c>
      <c r="G541" s="46" t="s">
        <v>64</v>
      </c>
      <c r="H541" s="46"/>
      <c r="I541" s="51">
        <v>0</v>
      </c>
      <c r="J541" s="51">
        <v>0</v>
      </c>
      <c r="K541" s="51">
        <f t="shared" si="111"/>
        <v>0</v>
      </c>
      <c r="L541" s="51">
        <v>0</v>
      </c>
      <c r="M541" s="51">
        <v>0</v>
      </c>
      <c r="N541" s="51">
        <f t="shared" si="112"/>
        <v>0</v>
      </c>
      <c r="O541" s="51">
        <v>0</v>
      </c>
      <c r="P541" s="179" t="s">
        <v>1489</v>
      </c>
      <c r="Q541" s="179" t="s">
        <v>1489</v>
      </c>
      <c r="R541" s="179" t="s">
        <v>1489</v>
      </c>
      <c r="S541" s="47" t="s">
        <v>1489</v>
      </c>
      <c r="T541" s="54"/>
      <c r="U541" s="54"/>
      <c r="AA541">
        <f t="shared" si="103"/>
        <v>3511</v>
      </c>
      <c r="AD541" t="str">
        <f t="shared" si="104"/>
        <v>480</v>
      </c>
      <c r="AE541">
        <f t="shared" si="105"/>
        <v>0</v>
      </c>
      <c r="AG541" s="50" t="str">
        <f t="shared" si="106"/>
        <v>SOURCE-VIVE  PRELEVEMENT FONDS RESERVE (9281.19)</v>
      </c>
      <c r="AH541" s="244" t="str">
        <f t="shared" si="107"/>
        <v>-</v>
      </c>
      <c r="AI541" s="219"/>
      <c r="AJ541" s="219"/>
      <c r="AK541" s="219" t="str">
        <f t="shared" si="108"/>
        <v>-</v>
      </c>
      <c r="AL541" s="244" t="str">
        <f t="shared" si="109"/>
        <v>-</v>
      </c>
      <c r="AN541" s="219" t="str">
        <f t="shared" si="110"/>
        <v>-</v>
      </c>
    </row>
    <row r="542" spans="1:40" ht="15" customHeight="1" x14ac:dyDescent="0.3">
      <c r="A542" s="48">
        <v>0</v>
      </c>
      <c r="B542" s="49" t="s">
        <v>832</v>
      </c>
      <c r="C542" s="50" t="s">
        <v>833</v>
      </c>
      <c r="D542" s="46" t="s">
        <v>1459</v>
      </c>
      <c r="E542" s="46" t="s">
        <v>831</v>
      </c>
      <c r="F542" s="46">
        <v>3512</v>
      </c>
      <c r="G542" s="46" t="s">
        <v>25</v>
      </c>
      <c r="H542" s="46">
        <v>1</v>
      </c>
      <c r="I542" s="51">
        <v>799</v>
      </c>
      <c r="J542" s="51">
        <v>0</v>
      </c>
      <c r="K542" s="51">
        <f t="shared" si="111"/>
        <v>799</v>
      </c>
      <c r="L542" s="51">
        <v>0</v>
      </c>
      <c r="M542" s="51">
        <v>0</v>
      </c>
      <c r="N542" s="51">
        <f t="shared" si="112"/>
        <v>0</v>
      </c>
      <c r="O542" s="51">
        <v>0</v>
      </c>
      <c r="P542" s="179" t="s">
        <v>1809</v>
      </c>
      <c r="Q542" s="179" t="s">
        <v>1493</v>
      </c>
      <c r="R542" s="179" t="s">
        <v>2131</v>
      </c>
      <c r="S542" s="49" t="s">
        <v>2298</v>
      </c>
      <c r="T542" s="54">
        <f>+I542</f>
        <v>799</v>
      </c>
      <c r="U542" s="54"/>
      <c r="AA542">
        <f t="shared" si="103"/>
        <v>3512</v>
      </c>
      <c r="AD542" t="str">
        <f t="shared" si="104"/>
        <v>311</v>
      </c>
      <c r="AE542">
        <f t="shared" si="105"/>
        <v>1</v>
      </c>
      <c r="AG542" s="50" t="str">
        <f t="shared" si="106"/>
        <v>CASERNE ACHAT MOBILIER, MATERIEL CTC</v>
      </c>
      <c r="AH542" s="244" t="str">
        <f t="shared" si="107"/>
        <v>02905</v>
      </c>
      <c r="AI542" s="219"/>
      <c r="AJ542" s="219"/>
      <c r="AK542" s="219" t="str">
        <f t="shared" si="108"/>
        <v>3111</v>
      </c>
      <c r="AL542" s="244" t="str">
        <f t="shared" si="109"/>
        <v>00</v>
      </c>
      <c r="AN542" s="219" t="str">
        <f t="shared" si="110"/>
        <v>Machines, appareils PA | Caserne de pompiers / Bregentenaz 10 |</v>
      </c>
    </row>
    <row r="543" spans="1:40" ht="15" customHeight="1" x14ac:dyDescent="0.3">
      <c r="A543" s="48">
        <v>0</v>
      </c>
      <c r="B543" s="49" t="s">
        <v>834</v>
      </c>
      <c r="C543" s="50" t="s">
        <v>835</v>
      </c>
      <c r="D543" s="46" t="s">
        <v>1459</v>
      </c>
      <c r="E543" s="46" t="s">
        <v>831</v>
      </c>
      <c r="F543" s="46">
        <v>3512</v>
      </c>
      <c r="G543" s="46" t="s">
        <v>25</v>
      </c>
      <c r="H543" s="46">
        <v>2</v>
      </c>
      <c r="I543" s="51">
        <v>0</v>
      </c>
      <c r="J543" s="51">
        <v>0</v>
      </c>
      <c r="K543" s="51">
        <f t="shared" si="111"/>
        <v>0</v>
      </c>
      <c r="L543" s="51">
        <v>0</v>
      </c>
      <c r="M543" s="51">
        <v>0</v>
      </c>
      <c r="N543" s="51">
        <f t="shared" si="112"/>
        <v>0</v>
      </c>
      <c r="O543" s="51">
        <v>0</v>
      </c>
      <c r="P543" s="179" t="s">
        <v>1489</v>
      </c>
      <c r="Q543" s="179" t="s">
        <v>1489</v>
      </c>
      <c r="R543" s="179" t="s">
        <v>1489</v>
      </c>
      <c r="S543" s="47" t="s">
        <v>1489</v>
      </c>
      <c r="T543" s="54"/>
      <c r="U543" s="54"/>
      <c r="AA543">
        <f t="shared" si="103"/>
        <v>3512</v>
      </c>
      <c r="AD543" t="str">
        <f t="shared" si="104"/>
        <v>311</v>
      </c>
      <c r="AE543">
        <f t="shared" si="105"/>
        <v>2</v>
      </c>
      <c r="AG543" s="50" t="str">
        <f t="shared" si="106"/>
        <v>CASERNE ACHAT MOBILIER, MATERIEL (inactif)</v>
      </c>
      <c r="AH543" s="244" t="str">
        <f t="shared" si="107"/>
        <v>-</v>
      </c>
      <c r="AI543" s="219"/>
      <c r="AJ543" s="219"/>
      <c r="AK543" s="219" t="str">
        <f t="shared" si="108"/>
        <v>-</v>
      </c>
      <c r="AL543" s="244" t="str">
        <f t="shared" si="109"/>
        <v>-</v>
      </c>
      <c r="AN543" s="219" t="str">
        <f t="shared" si="110"/>
        <v>-</v>
      </c>
    </row>
    <row r="544" spans="1:40" ht="15" customHeight="1" x14ac:dyDescent="0.3">
      <c r="A544" s="48">
        <v>0</v>
      </c>
      <c r="B544" s="49" t="s">
        <v>836</v>
      </c>
      <c r="C544" s="50" t="s">
        <v>837</v>
      </c>
      <c r="D544" s="46" t="s">
        <v>1459</v>
      </c>
      <c r="E544" s="46" t="s">
        <v>831</v>
      </c>
      <c r="F544" s="46">
        <v>3512</v>
      </c>
      <c r="G544" s="46" t="s">
        <v>25</v>
      </c>
      <c r="H544" s="46">
        <v>3</v>
      </c>
      <c r="I544" s="51">
        <v>0</v>
      </c>
      <c r="J544" s="51">
        <v>0</v>
      </c>
      <c r="K544" s="51">
        <f t="shared" si="111"/>
        <v>0</v>
      </c>
      <c r="L544" s="51">
        <v>0</v>
      </c>
      <c r="M544" s="51">
        <v>0</v>
      </c>
      <c r="N544" s="51">
        <f t="shared" si="112"/>
        <v>0</v>
      </c>
      <c r="O544" s="51">
        <v>0</v>
      </c>
      <c r="P544" s="179" t="s">
        <v>1489</v>
      </c>
      <c r="Q544" s="179" t="s">
        <v>1489</v>
      </c>
      <c r="R544" s="179" t="s">
        <v>1489</v>
      </c>
      <c r="S544" s="47" t="s">
        <v>1489</v>
      </c>
      <c r="T544" s="54"/>
      <c r="U544" s="54"/>
      <c r="AA544">
        <f t="shared" si="103"/>
        <v>3512</v>
      </c>
      <c r="AD544" t="str">
        <f t="shared" si="104"/>
        <v>311</v>
      </c>
      <c r="AE544">
        <f t="shared" si="105"/>
        <v>3</v>
      </c>
      <c r="AG544" s="50" t="str">
        <f t="shared" si="106"/>
        <v>CASERNE ACHAT MOBILIER, MATERIEL LOGEMENTS (inactif)</v>
      </c>
      <c r="AH544" s="244" t="str">
        <f t="shared" si="107"/>
        <v>-</v>
      </c>
      <c r="AI544" s="219"/>
      <c r="AJ544" s="219"/>
      <c r="AK544" s="219" t="str">
        <f t="shared" si="108"/>
        <v>-</v>
      </c>
      <c r="AL544" s="244" t="str">
        <f t="shared" si="109"/>
        <v>-</v>
      </c>
      <c r="AN544" s="219" t="str">
        <f t="shared" si="110"/>
        <v>-</v>
      </c>
    </row>
    <row r="545" spans="1:40" ht="15" customHeight="1" x14ac:dyDescent="0.3">
      <c r="A545" s="48">
        <v>0</v>
      </c>
      <c r="B545" s="74" t="s">
        <v>838</v>
      </c>
      <c r="C545" s="67" t="s">
        <v>839</v>
      </c>
      <c r="D545" s="188" t="s">
        <v>1459</v>
      </c>
      <c r="E545" s="188" t="s">
        <v>831</v>
      </c>
      <c r="F545" s="46">
        <v>3512</v>
      </c>
      <c r="G545" s="188" t="s">
        <v>159</v>
      </c>
      <c r="H545" s="188">
        <v>1</v>
      </c>
      <c r="I545" s="51">
        <v>7381.3</v>
      </c>
      <c r="J545" s="51">
        <v>0</v>
      </c>
      <c r="K545" s="51">
        <f t="shared" si="111"/>
        <v>7381.3</v>
      </c>
      <c r="L545" s="51">
        <v>6000</v>
      </c>
      <c r="M545" s="51">
        <v>0</v>
      </c>
      <c r="N545" s="51">
        <f t="shared" si="112"/>
        <v>6000</v>
      </c>
      <c r="O545" s="51">
        <v>63.55</v>
      </c>
      <c r="P545" s="179" t="s">
        <v>1809</v>
      </c>
      <c r="Q545" s="179" t="s">
        <v>1500</v>
      </c>
      <c r="R545" s="179" t="s">
        <v>2131</v>
      </c>
      <c r="S545" s="49" t="s">
        <v>2292</v>
      </c>
      <c r="T545" s="54">
        <f>+I545</f>
        <v>7381.3</v>
      </c>
      <c r="U545" s="54"/>
      <c r="AA545">
        <f t="shared" si="103"/>
        <v>3512</v>
      </c>
      <c r="AD545" t="str">
        <f t="shared" si="104"/>
        <v>312</v>
      </c>
      <c r="AE545">
        <f t="shared" si="105"/>
        <v>1</v>
      </c>
      <c r="AG545" s="50" t="str">
        <f t="shared" si="106"/>
        <v>CASERNE ACHAT EAU, ELECTRICITE, CHAUFFAGE CTC</v>
      </c>
      <c r="AH545" s="244" t="str">
        <f t="shared" si="107"/>
        <v>02905</v>
      </c>
      <c r="AI545" s="219"/>
      <c r="AJ545" s="219"/>
      <c r="AK545" s="219" t="str">
        <f t="shared" si="108"/>
        <v>3120</v>
      </c>
      <c r="AL545" s="244" t="str">
        <f t="shared" si="109"/>
        <v>00</v>
      </c>
      <c r="AN545" s="219" t="str">
        <f t="shared" si="110"/>
        <v>Frais de chauffage PA | Caserne de pompiers / Bregentenaz 10 |</v>
      </c>
    </row>
    <row r="546" spans="1:40" ht="15" customHeight="1" x14ac:dyDescent="0.3">
      <c r="A546" s="48"/>
      <c r="B546" s="74" t="s">
        <v>838</v>
      </c>
      <c r="C546" s="67" t="s">
        <v>839</v>
      </c>
      <c r="D546" s="188" t="s">
        <v>1459</v>
      </c>
      <c r="E546" s="188" t="s">
        <v>831</v>
      </c>
      <c r="F546" s="46">
        <v>3512</v>
      </c>
      <c r="G546" s="188" t="s">
        <v>159</v>
      </c>
      <c r="H546" s="188">
        <v>1</v>
      </c>
      <c r="I546" s="51"/>
      <c r="J546" s="51"/>
      <c r="K546" s="51">
        <f t="shared" si="111"/>
        <v>0</v>
      </c>
      <c r="L546" s="51"/>
      <c r="M546" s="51"/>
      <c r="N546" s="51">
        <f t="shared" si="112"/>
        <v>0</v>
      </c>
      <c r="O546" s="51"/>
      <c r="P546" s="179" t="s">
        <v>1809</v>
      </c>
      <c r="Q546" s="179" t="s">
        <v>1500</v>
      </c>
      <c r="R546" s="179" t="s">
        <v>2132</v>
      </c>
      <c r="S546" s="49" t="s">
        <v>2293</v>
      </c>
      <c r="T546" s="54"/>
      <c r="U546" s="54"/>
      <c r="AA546">
        <f t="shared" si="103"/>
        <v>3512</v>
      </c>
      <c r="AD546" t="str">
        <f t="shared" si="104"/>
        <v>312</v>
      </c>
      <c r="AE546">
        <f t="shared" si="105"/>
        <v>1</v>
      </c>
      <c r="AG546" s="50" t="str">
        <f t="shared" si="106"/>
        <v>CASERNE ACHAT EAU, ELECTRICITE, CHAUFFAGE CTC</v>
      </c>
      <c r="AH546" s="244" t="str">
        <f t="shared" si="107"/>
        <v>02905</v>
      </c>
      <c r="AI546" s="219"/>
      <c r="AJ546" s="219"/>
      <c r="AK546" s="219" t="str">
        <f t="shared" si="108"/>
        <v>3120</v>
      </c>
      <c r="AL546" s="244" t="str">
        <f t="shared" si="109"/>
        <v>01</v>
      </c>
      <c r="AN546" s="219" t="str">
        <f t="shared" si="110"/>
        <v>Frais d'électricité PA | Caserne de pompiers / Bregentenaz 10 |</v>
      </c>
    </row>
    <row r="547" spans="1:40" ht="15" customHeight="1" x14ac:dyDescent="0.3">
      <c r="A547" s="48">
        <v>0</v>
      </c>
      <c r="B547" s="49" t="s">
        <v>840</v>
      </c>
      <c r="C547" s="50" t="s">
        <v>841</v>
      </c>
      <c r="D547" s="46" t="s">
        <v>1459</v>
      </c>
      <c r="E547" s="46" t="s">
        <v>831</v>
      </c>
      <c r="F547" s="46">
        <v>3512</v>
      </c>
      <c r="G547" s="46" t="s">
        <v>439</v>
      </c>
      <c r="H547" s="46">
        <v>1</v>
      </c>
      <c r="I547" s="51">
        <v>0</v>
      </c>
      <c r="J547" s="51">
        <v>0</v>
      </c>
      <c r="K547" s="51">
        <f t="shared" si="111"/>
        <v>0</v>
      </c>
      <c r="L547" s="51">
        <v>1000</v>
      </c>
      <c r="M547" s="51">
        <v>0</v>
      </c>
      <c r="N547" s="51">
        <f t="shared" si="112"/>
        <v>1000</v>
      </c>
      <c r="O547" s="51">
        <v>0</v>
      </c>
      <c r="P547" s="179" t="s">
        <v>1809</v>
      </c>
      <c r="Q547" s="179" t="s">
        <v>1426</v>
      </c>
      <c r="R547" s="179" t="s">
        <v>2131</v>
      </c>
      <c r="S547" s="4" t="s">
        <v>2294</v>
      </c>
      <c r="T547" s="54"/>
      <c r="U547" s="54"/>
      <c r="AA547">
        <f t="shared" si="103"/>
        <v>3512</v>
      </c>
      <c r="AD547" t="str">
        <f t="shared" si="104"/>
        <v>313</v>
      </c>
      <c r="AE547">
        <f t="shared" si="105"/>
        <v>1</v>
      </c>
      <c r="AG547" s="50" t="str">
        <f t="shared" si="106"/>
        <v>CASERNE ACHAT MARCH. PRODUITS ENTRETIEN CTC</v>
      </c>
      <c r="AH547" s="244" t="str">
        <f t="shared" si="107"/>
        <v>02905</v>
      </c>
      <c r="AI547" s="219"/>
      <c r="AJ547" s="219"/>
      <c r="AK547" s="219" t="str">
        <f t="shared" si="108"/>
        <v>3101</v>
      </c>
      <c r="AL547" s="244" t="str">
        <f t="shared" si="109"/>
        <v>00</v>
      </c>
      <c r="AN547" s="219" t="str">
        <f t="shared" si="110"/>
        <v>Matériel d'exploitation, petites fournitures PA | Caserne de pompiers / Bregentenaz 10 |</v>
      </c>
    </row>
    <row r="548" spans="1:40" ht="15" customHeight="1" x14ac:dyDescent="0.3">
      <c r="A548" s="48">
        <v>0</v>
      </c>
      <c r="B548" s="49" t="s">
        <v>842</v>
      </c>
      <c r="C548" s="50" t="s">
        <v>843</v>
      </c>
      <c r="D548" s="46" t="s">
        <v>1459</v>
      </c>
      <c r="E548" s="46" t="s">
        <v>831</v>
      </c>
      <c r="F548" s="46">
        <v>3512</v>
      </c>
      <c r="G548" s="46" t="s">
        <v>439</v>
      </c>
      <c r="H548" s="46">
        <v>2</v>
      </c>
      <c r="I548" s="51">
        <v>0</v>
      </c>
      <c r="J548" s="51">
        <v>0</v>
      </c>
      <c r="K548" s="51">
        <f t="shared" si="111"/>
        <v>0</v>
      </c>
      <c r="L548" s="51">
        <v>0</v>
      </c>
      <c r="M548" s="51">
        <v>0</v>
      </c>
      <c r="N548" s="51">
        <f t="shared" si="112"/>
        <v>0</v>
      </c>
      <c r="O548" s="51">
        <v>0</v>
      </c>
      <c r="P548" s="179" t="s">
        <v>1489</v>
      </c>
      <c r="Q548" s="179" t="s">
        <v>1489</v>
      </c>
      <c r="R548" s="179" t="s">
        <v>1489</v>
      </c>
      <c r="S548" s="47" t="s">
        <v>1489</v>
      </c>
      <c r="T548" s="54"/>
      <c r="U548" s="54"/>
      <c r="AA548">
        <f t="shared" si="103"/>
        <v>3512</v>
      </c>
      <c r="AD548" t="str">
        <f t="shared" si="104"/>
        <v>313</v>
      </c>
      <c r="AE548">
        <f t="shared" si="105"/>
        <v>2</v>
      </c>
      <c r="AG548" s="50" t="str">
        <f t="shared" si="106"/>
        <v>CASERNE ACHAT MARCH. PRODUITS ENTRETIEN CASERNE (inactif)</v>
      </c>
      <c r="AH548" s="244" t="str">
        <f t="shared" si="107"/>
        <v>-</v>
      </c>
      <c r="AI548" s="219"/>
      <c r="AJ548" s="219"/>
      <c r="AK548" s="219" t="str">
        <f t="shared" si="108"/>
        <v>-</v>
      </c>
      <c r="AL548" s="244" t="str">
        <f t="shared" si="109"/>
        <v>-</v>
      </c>
      <c r="AN548" s="219" t="str">
        <f t="shared" si="110"/>
        <v>-</v>
      </c>
    </row>
    <row r="549" spans="1:40" ht="15" customHeight="1" x14ac:dyDescent="0.3">
      <c r="A549" s="48">
        <v>0</v>
      </c>
      <c r="B549" s="49" t="s">
        <v>844</v>
      </c>
      <c r="C549" s="50" t="s">
        <v>845</v>
      </c>
      <c r="D549" s="46" t="s">
        <v>1459</v>
      </c>
      <c r="E549" s="46" t="s">
        <v>831</v>
      </c>
      <c r="F549" s="46">
        <v>3512</v>
      </c>
      <c r="G549" s="46" t="s">
        <v>439</v>
      </c>
      <c r="H549" s="46">
        <v>3</v>
      </c>
      <c r="I549" s="51">
        <v>0</v>
      </c>
      <c r="J549" s="51">
        <v>0</v>
      </c>
      <c r="K549" s="51">
        <f t="shared" si="111"/>
        <v>0</v>
      </c>
      <c r="L549" s="51">
        <v>0</v>
      </c>
      <c r="M549" s="51">
        <v>0</v>
      </c>
      <c r="N549" s="51">
        <f t="shared" si="112"/>
        <v>0</v>
      </c>
      <c r="O549" s="51">
        <v>0</v>
      </c>
      <c r="P549" s="179" t="s">
        <v>1489</v>
      </c>
      <c r="Q549" s="179" t="s">
        <v>1489</v>
      </c>
      <c r="R549" s="179" t="s">
        <v>1489</v>
      </c>
      <c r="S549" s="47" t="s">
        <v>1489</v>
      </c>
      <c r="T549" s="54"/>
      <c r="U549" s="54"/>
      <c r="AA549">
        <f t="shared" si="103"/>
        <v>3512</v>
      </c>
      <c r="AD549" t="str">
        <f t="shared" si="104"/>
        <v>313</v>
      </c>
      <c r="AE549">
        <f t="shared" si="105"/>
        <v>3</v>
      </c>
      <c r="AG549" s="50" t="str">
        <f t="shared" si="106"/>
        <v>CASERNE ACHAT MARCH. PRODUITS ENTRETIEN LOGEMENTS (inactif)</v>
      </c>
      <c r="AH549" s="244" t="str">
        <f t="shared" si="107"/>
        <v>-</v>
      </c>
      <c r="AI549" s="219"/>
      <c r="AJ549" s="219"/>
      <c r="AK549" s="219" t="str">
        <f t="shared" si="108"/>
        <v>-</v>
      </c>
      <c r="AL549" s="244" t="str">
        <f t="shared" si="109"/>
        <v>-</v>
      </c>
      <c r="AN549" s="219" t="str">
        <f t="shared" si="110"/>
        <v>-</v>
      </c>
    </row>
    <row r="550" spans="1:40" ht="15" customHeight="1" x14ac:dyDescent="0.3">
      <c r="A550" s="48">
        <v>0</v>
      </c>
      <c r="B550" s="74" t="s">
        <v>846</v>
      </c>
      <c r="C550" s="67" t="s">
        <v>847</v>
      </c>
      <c r="D550" s="188" t="s">
        <v>1459</v>
      </c>
      <c r="E550" s="188" t="s">
        <v>831</v>
      </c>
      <c r="F550" s="46">
        <v>3512</v>
      </c>
      <c r="G550" s="188" t="s">
        <v>131</v>
      </c>
      <c r="H550" s="188">
        <v>1</v>
      </c>
      <c r="I550" s="51">
        <v>3594.35</v>
      </c>
      <c r="J550" s="51">
        <v>0</v>
      </c>
      <c r="K550" s="51">
        <f t="shared" ref="K550:K581" si="113">+I550+J550</f>
        <v>3594.35</v>
      </c>
      <c r="L550" s="51">
        <v>6000</v>
      </c>
      <c r="M550" s="51">
        <v>0</v>
      </c>
      <c r="N550" s="51">
        <f t="shared" si="112"/>
        <v>6000</v>
      </c>
      <c r="O550" s="51">
        <v>1642.65</v>
      </c>
      <c r="P550" s="179" t="s">
        <v>1809</v>
      </c>
      <c r="Q550" s="179" t="s">
        <v>1678</v>
      </c>
      <c r="R550" s="179" t="s">
        <v>2131</v>
      </c>
      <c r="S550" s="49" t="s">
        <v>2295</v>
      </c>
      <c r="T550" s="54">
        <f>+I550</f>
        <v>3594.35</v>
      </c>
      <c r="U550" s="54"/>
      <c r="AA550">
        <f t="shared" si="103"/>
        <v>3512</v>
      </c>
      <c r="AD550" t="str">
        <f t="shared" si="104"/>
        <v>314</v>
      </c>
      <c r="AE550">
        <f t="shared" si="105"/>
        <v>1</v>
      </c>
      <c r="AG550" s="50" t="str">
        <f t="shared" si="106"/>
        <v>CASERNE / CTC ENTRETIEN BATIMENT</v>
      </c>
      <c r="AH550" s="244" t="str">
        <f t="shared" si="107"/>
        <v>02905</v>
      </c>
      <c r="AI550" s="219"/>
      <c r="AJ550" s="219"/>
      <c r="AK550" s="219" t="str">
        <f t="shared" si="108"/>
        <v>3144</v>
      </c>
      <c r="AL550" s="244" t="str">
        <f t="shared" si="109"/>
        <v>00</v>
      </c>
      <c r="AN550" s="219" t="str">
        <f t="shared" si="110"/>
        <v>Entretien des bâtiments, immeubles PA | Caserne de pompiers / Bregentenaz 10 |</v>
      </c>
    </row>
    <row r="551" spans="1:40" ht="15" customHeight="1" x14ac:dyDescent="0.3">
      <c r="A551" s="48"/>
      <c r="B551" s="74" t="s">
        <v>846</v>
      </c>
      <c r="C551" s="67" t="s">
        <v>847</v>
      </c>
      <c r="D551" s="188" t="s">
        <v>1459</v>
      </c>
      <c r="E551" s="188" t="s">
        <v>831</v>
      </c>
      <c r="F551" s="46">
        <v>3512</v>
      </c>
      <c r="G551" s="188" t="s">
        <v>131</v>
      </c>
      <c r="H551" s="188">
        <v>1</v>
      </c>
      <c r="I551" s="51"/>
      <c r="J551" s="51"/>
      <c r="K551" s="51">
        <f t="shared" si="113"/>
        <v>0</v>
      </c>
      <c r="L551" s="51"/>
      <c r="M551" s="51"/>
      <c r="N551" s="51">
        <f t="shared" si="112"/>
        <v>0</v>
      </c>
      <c r="O551" s="51"/>
      <c r="P551" s="179" t="s">
        <v>1809</v>
      </c>
      <c r="Q551" s="179" t="s">
        <v>1500</v>
      </c>
      <c r="R551" s="179" t="s">
        <v>2133</v>
      </c>
      <c r="S551" s="49" t="s">
        <v>2296</v>
      </c>
      <c r="T551" s="54"/>
      <c r="U551" s="54"/>
      <c r="AA551">
        <f t="shared" si="103"/>
        <v>3512</v>
      </c>
      <c r="AD551" t="str">
        <f t="shared" si="104"/>
        <v>314</v>
      </c>
      <c r="AE551">
        <f t="shared" si="105"/>
        <v>1</v>
      </c>
      <c r="AG551" s="50" t="str">
        <f t="shared" si="106"/>
        <v>CASERNE / CTC ENTRETIEN BATIMENT</v>
      </c>
      <c r="AH551" s="244" t="str">
        <f t="shared" si="107"/>
        <v>02905</v>
      </c>
      <c r="AI551" s="219"/>
      <c r="AJ551" s="219"/>
      <c r="AK551" s="219" t="str">
        <f t="shared" si="108"/>
        <v>3120</v>
      </c>
      <c r="AL551" s="244" t="str">
        <f t="shared" si="109"/>
        <v>02</v>
      </c>
      <c r="AN551" s="219" t="str">
        <f t="shared" si="110"/>
        <v>Frais d'eau PA | Caserne de pompiers / Bregentenaz 10 |</v>
      </c>
    </row>
    <row r="552" spans="1:40" ht="15" customHeight="1" x14ac:dyDescent="0.3">
      <c r="A552" s="48"/>
      <c r="B552" s="74" t="s">
        <v>846</v>
      </c>
      <c r="C552" s="67" t="s">
        <v>847</v>
      </c>
      <c r="D552" s="188" t="s">
        <v>1459</v>
      </c>
      <c r="E552" s="188" t="s">
        <v>831</v>
      </c>
      <c r="F552" s="46">
        <v>3512</v>
      </c>
      <c r="G552" s="188" t="s">
        <v>131</v>
      </c>
      <c r="H552" s="188">
        <v>1</v>
      </c>
      <c r="I552" s="51"/>
      <c r="J552" s="51"/>
      <c r="K552" s="51">
        <f t="shared" si="113"/>
        <v>0</v>
      </c>
      <c r="L552" s="51"/>
      <c r="M552" s="51"/>
      <c r="N552" s="51">
        <f t="shared" si="112"/>
        <v>0</v>
      </c>
      <c r="O552" s="51"/>
      <c r="P552" s="179" t="s">
        <v>1809</v>
      </c>
      <c r="Q552" s="179" t="s">
        <v>1426</v>
      </c>
      <c r="R552" s="179" t="s">
        <v>2131</v>
      </c>
      <c r="S552" s="49" t="s">
        <v>2294</v>
      </c>
      <c r="T552" s="54"/>
      <c r="U552" s="54"/>
      <c r="AA552">
        <f t="shared" si="103"/>
        <v>3512</v>
      </c>
      <c r="AD552" t="str">
        <f t="shared" si="104"/>
        <v>314</v>
      </c>
      <c r="AE552">
        <f t="shared" si="105"/>
        <v>1</v>
      </c>
      <c r="AG552" s="50" t="str">
        <f t="shared" si="106"/>
        <v>CASERNE / CTC ENTRETIEN BATIMENT</v>
      </c>
      <c r="AH552" s="244" t="str">
        <f t="shared" si="107"/>
        <v>02905</v>
      </c>
      <c r="AI552" s="219"/>
      <c r="AJ552" s="219"/>
      <c r="AK552" s="219" t="str">
        <f t="shared" si="108"/>
        <v>3101</v>
      </c>
      <c r="AL552" s="244" t="str">
        <f t="shared" si="109"/>
        <v>00</v>
      </c>
      <c r="AN552" s="219" t="str">
        <f t="shared" si="110"/>
        <v>Matériel d'exploitation, petites fournitures PA | Caserne de pompiers / Bregentenaz 10 |</v>
      </c>
    </row>
    <row r="553" spans="1:40" ht="15" customHeight="1" x14ac:dyDescent="0.3">
      <c r="A553" s="48"/>
      <c r="B553" s="74" t="s">
        <v>846</v>
      </c>
      <c r="C553" s="67" t="s">
        <v>847</v>
      </c>
      <c r="D553" s="188" t="s">
        <v>1459</v>
      </c>
      <c r="E553" s="188" t="s">
        <v>831</v>
      </c>
      <c r="F553" s="46">
        <v>3512</v>
      </c>
      <c r="G553" s="188" t="s">
        <v>131</v>
      </c>
      <c r="H553" s="188">
        <v>1</v>
      </c>
      <c r="I553" s="51"/>
      <c r="J553" s="51"/>
      <c r="K553" s="51">
        <f t="shared" si="113"/>
        <v>0</v>
      </c>
      <c r="L553" s="51"/>
      <c r="M553" s="51"/>
      <c r="N553" s="51">
        <f t="shared" si="112"/>
        <v>0</v>
      </c>
      <c r="O553" s="51"/>
      <c r="P553" s="179" t="s">
        <v>1809</v>
      </c>
      <c r="Q553" s="179" t="s">
        <v>1831</v>
      </c>
      <c r="R553" s="179" t="s">
        <v>2131</v>
      </c>
      <c r="S553" s="49" t="s">
        <v>2297</v>
      </c>
      <c r="T553" s="54"/>
      <c r="U553" s="54"/>
      <c r="AA553">
        <f t="shared" si="103"/>
        <v>3512</v>
      </c>
      <c r="AD553" t="str">
        <f t="shared" si="104"/>
        <v>314</v>
      </c>
      <c r="AE553">
        <f t="shared" si="105"/>
        <v>1</v>
      </c>
      <c r="AG553" s="50" t="str">
        <f t="shared" si="106"/>
        <v>CASERNE / CTC ENTRETIEN BATIMENT</v>
      </c>
      <c r="AH553" s="244" t="str">
        <f t="shared" si="107"/>
        <v>02905</v>
      </c>
      <c r="AI553" s="219"/>
      <c r="AJ553" s="219"/>
      <c r="AK553" s="219" t="str">
        <f t="shared" si="108"/>
        <v>3110</v>
      </c>
      <c r="AL553" s="244" t="str">
        <f t="shared" si="109"/>
        <v>00</v>
      </c>
      <c r="AN553" s="219" t="str">
        <f t="shared" si="110"/>
        <v>Meubles et appareils de bureau PA | Caserne de pompiers / Bregentenaz 10 |</v>
      </c>
    </row>
    <row r="554" spans="1:40" ht="15" customHeight="1" x14ac:dyDescent="0.3">
      <c r="A554" s="48">
        <v>0</v>
      </c>
      <c r="B554" s="49" t="s">
        <v>848</v>
      </c>
      <c r="C554" s="50" t="s">
        <v>849</v>
      </c>
      <c r="D554" s="46" t="s">
        <v>1459</v>
      </c>
      <c r="E554" s="46" t="s">
        <v>831</v>
      </c>
      <c r="F554" s="46">
        <v>3512</v>
      </c>
      <c r="G554" s="46" t="s">
        <v>131</v>
      </c>
      <c r="H554" s="46">
        <v>2</v>
      </c>
      <c r="I554" s="51">
        <v>0</v>
      </c>
      <c r="J554" s="51">
        <v>0</v>
      </c>
      <c r="K554" s="51">
        <f t="shared" si="113"/>
        <v>0</v>
      </c>
      <c r="L554" s="51">
        <v>0</v>
      </c>
      <c r="M554" s="51">
        <v>0</v>
      </c>
      <c r="N554" s="51">
        <f t="shared" si="112"/>
        <v>0</v>
      </c>
      <c r="O554" s="51">
        <v>0</v>
      </c>
      <c r="P554" s="179" t="s">
        <v>1489</v>
      </c>
      <c r="Q554" s="179" t="s">
        <v>1489</v>
      </c>
      <c r="R554" s="179" t="s">
        <v>1489</v>
      </c>
      <c r="S554" s="47" t="s">
        <v>1489</v>
      </c>
      <c r="T554" s="54"/>
      <c r="U554" s="54"/>
      <c r="AA554">
        <f t="shared" si="103"/>
        <v>3512</v>
      </c>
      <c r="AD554" t="str">
        <f t="shared" si="104"/>
        <v>314</v>
      </c>
      <c r="AE554">
        <f t="shared" si="105"/>
        <v>2</v>
      </c>
      <c r="AG554" s="50" t="str">
        <f t="shared" si="106"/>
        <v>CASERNE Décompte de charges Rytz (inactif)</v>
      </c>
      <c r="AH554" s="244" t="str">
        <f t="shared" si="107"/>
        <v>-</v>
      </c>
      <c r="AI554" s="219"/>
      <c r="AJ554" s="219"/>
      <c r="AK554" s="219" t="str">
        <f t="shared" si="108"/>
        <v>-</v>
      </c>
      <c r="AL554" s="244" t="str">
        <f t="shared" si="109"/>
        <v>-</v>
      </c>
      <c r="AN554" s="219" t="str">
        <f t="shared" si="110"/>
        <v>-</v>
      </c>
    </row>
    <row r="555" spans="1:40" ht="15" customHeight="1" x14ac:dyDescent="0.3">
      <c r="A555" s="48">
        <v>0</v>
      </c>
      <c r="B555" s="49" t="s">
        <v>850</v>
      </c>
      <c r="C555" s="50" t="s">
        <v>851</v>
      </c>
      <c r="D555" s="46" t="s">
        <v>1459</v>
      </c>
      <c r="E555" s="46" t="s">
        <v>831</v>
      </c>
      <c r="F555" s="46">
        <v>3512</v>
      </c>
      <c r="G555" s="46" t="s">
        <v>131</v>
      </c>
      <c r="H555" s="46">
        <v>3</v>
      </c>
      <c r="I555" s="51">
        <v>0</v>
      </c>
      <c r="J555" s="51">
        <v>0</v>
      </c>
      <c r="K555" s="51">
        <f t="shared" si="113"/>
        <v>0</v>
      </c>
      <c r="L555" s="51">
        <v>0</v>
      </c>
      <c r="M555" s="51">
        <v>0</v>
      </c>
      <c r="N555" s="51">
        <f t="shared" si="112"/>
        <v>0</v>
      </c>
      <c r="O555" s="51">
        <v>0</v>
      </c>
      <c r="P555" s="179" t="s">
        <v>1489</v>
      </c>
      <c r="Q555" s="179" t="s">
        <v>1489</v>
      </c>
      <c r="R555" s="179" t="s">
        <v>1489</v>
      </c>
      <c r="S555" s="47" t="s">
        <v>1489</v>
      </c>
      <c r="T555" s="54"/>
      <c r="U555" s="54"/>
      <c r="AA555">
        <f t="shared" si="103"/>
        <v>3512</v>
      </c>
      <c r="AD555" t="str">
        <f t="shared" si="104"/>
        <v>314</v>
      </c>
      <c r="AE555">
        <f t="shared" si="105"/>
        <v>3</v>
      </c>
      <c r="AG555" s="50" t="str">
        <f t="shared" si="106"/>
        <v>CASERNE ENTRETIEN BATIMENT LOGEMENTS</v>
      </c>
      <c r="AH555" s="244" t="str">
        <f t="shared" si="107"/>
        <v>-</v>
      </c>
      <c r="AI555" s="219"/>
      <c r="AJ555" s="219"/>
      <c r="AK555" s="219" t="str">
        <f t="shared" si="108"/>
        <v>-</v>
      </c>
      <c r="AL555" s="244" t="str">
        <f t="shared" si="109"/>
        <v>-</v>
      </c>
      <c r="AN555" s="219" t="str">
        <f t="shared" si="110"/>
        <v>-</v>
      </c>
    </row>
    <row r="556" spans="1:40" ht="15" customHeight="1" x14ac:dyDescent="0.3">
      <c r="A556" s="48">
        <v>0</v>
      </c>
      <c r="B556" s="74" t="s">
        <v>852</v>
      </c>
      <c r="C556" s="67" t="s">
        <v>853</v>
      </c>
      <c r="D556" s="188" t="s">
        <v>1459</v>
      </c>
      <c r="E556" s="188" t="s">
        <v>831</v>
      </c>
      <c r="F556" s="46">
        <v>3512</v>
      </c>
      <c r="G556" s="188" t="s">
        <v>131</v>
      </c>
      <c r="H556" s="188">
        <v>4</v>
      </c>
      <c r="I556" s="51">
        <v>8513.5499999999993</v>
      </c>
      <c r="J556" s="51">
        <v>0</v>
      </c>
      <c r="K556" s="51">
        <f t="shared" si="113"/>
        <v>8513.5499999999993</v>
      </c>
      <c r="L556" s="51">
        <v>8000</v>
      </c>
      <c r="M556" s="51">
        <v>0</v>
      </c>
      <c r="N556" s="51">
        <f t="shared" si="112"/>
        <v>8000</v>
      </c>
      <c r="O556" s="51">
        <v>0</v>
      </c>
      <c r="P556" s="179" t="s">
        <v>1810</v>
      </c>
      <c r="Q556" s="179" t="s">
        <v>1812</v>
      </c>
      <c r="R556" s="179" t="s">
        <v>2131</v>
      </c>
      <c r="S556" s="49" t="s">
        <v>2237</v>
      </c>
      <c r="T556" s="54">
        <f>+I556</f>
        <v>8513.5499999999993</v>
      </c>
      <c r="U556" s="54"/>
      <c r="AA556">
        <f t="shared" si="103"/>
        <v>3512</v>
      </c>
      <c r="AD556" t="str">
        <f t="shared" si="104"/>
        <v>314</v>
      </c>
      <c r="AE556">
        <f t="shared" si="105"/>
        <v>4</v>
      </c>
      <c r="AG556" s="50" t="str">
        <f t="shared" si="106"/>
        <v>CASERNE DECOMPTE DE CHARGES SPG - VALAUR SA</v>
      </c>
      <c r="AH556" s="244" t="str">
        <f t="shared" si="107"/>
        <v>96307</v>
      </c>
      <c r="AI556" s="219"/>
      <c r="AJ556" s="219"/>
      <c r="AK556" s="219" t="str">
        <f t="shared" si="108"/>
        <v>3431</v>
      </c>
      <c r="AL556" s="244" t="str">
        <f t="shared" si="109"/>
        <v>00</v>
      </c>
      <c r="AN556" s="219" t="str">
        <f t="shared" si="110"/>
        <v>Entretien courant, biens-fonds PF | Bât Caserne appartements / Bregentenaz 10 |</v>
      </c>
    </row>
    <row r="557" spans="1:40" ht="15" customHeight="1" x14ac:dyDescent="0.3">
      <c r="A557" s="48"/>
      <c r="B557" s="74" t="s">
        <v>852</v>
      </c>
      <c r="C557" s="67" t="s">
        <v>853</v>
      </c>
      <c r="D557" s="188" t="s">
        <v>1459</v>
      </c>
      <c r="E557" s="188" t="s">
        <v>831</v>
      </c>
      <c r="F557" s="46">
        <v>3512</v>
      </c>
      <c r="G557" s="188" t="s">
        <v>131</v>
      </c>
      <c r="H557" s="188">
        <v>4</v>
      </c>
      <c r="I557" s="51"/>
      <c r="J557" s="51"/>
      <c r="K557" s="51">
        <f t="shared" si="113"/>
        <v>0</v>
      </c>
      <c r="L557" s="51"/>
      <c r="M557" s="51"/>
      <c r="N557" s="51">
        <f t="shared" si="112"/>
        <v>0</v>
      </c>
      <c r="O557" s="51"/>
      <c r="P557" s="179" t="s">
        <v>1810</v>
      </c>
      <c r="Q557" s="179" t="s">
        <v>1504</v>
      </c>
      <c r="R557" s="179" t="s">
        <v>2131</v>
      </c>
      <c r="S557" s="49" t="s">
        <v>2236</v>
      </c>
      <c r="T557" s="54"/>
      <c r="U557" s="54"/>
      <c r="AA557">
        <f t="shared" si="103"/>
        <v>3512</v>
      </c>
      <c r="AD557" t="str">
        <f t="shared" si="104"/>
        <v>314</v>
      </c>
      <c r="AE557">
        <f t="shared" si="105"/>
        <v>4</v>
      </c>
      <c r="AG557" s="50" t="str">
        <f t="shared" si="106"/>
        <v>CASERNE DECOMPTE DE CHARGES SPG - VALAUR SA</v>
      </c>
      <c r="AH557" s="244" t="str">
        <f t="shared" si="107"/>
        <v>96307</v>
      </c>
      <c r="AI557" s="219"/>
      <c r="AJ557" s="219"/>
      <c r="AK557" s="219" t="str">
        <f t="shared" si="108"/>
        <v>3439</v>
      </c>
      <c r="AL557" s="244" t="str">
        <f t="shared" si="109"/>
        <v>00</v>
      </c>
      <c r="AN557" s="219" t="str">
        <f t="shared" si="110"/>
        <v>Autres charges de biens-fonds PF | Bât Caserne appartements / Bregentenaz 10 |Assurances</v>
      </c>
    </row>
    <row r="558" spans="1:40" ht="15" customHeight="1" x14ac:dyDescent="0.3">
      <c r="A558" s="48"/>
      <c r="B558" s="74" t="s">
        <v>852</v>
      </c>
      <c r="C558" s="67" t="s">
        <v>853</v>
      </c>
      <c r="D558" s="188" t="s">
        <v>1459</v>
      </c>
      <c r="E558" s="188" t="s">
        <v>831</v>
      </c>
      <c r="F558" s="46">
        <v>3512</v>
      </c>
      <c r="G558" s="188" t="s">
        <v>131</v>
      </c>
      <c r="H558" s="188">
        <v>4</v>
      </c>
      <c r="I558" s="51"/>
      <c r="J558" s="51"/>
      <c r="K558" s="51">
        <f t="shared" si="113"/>
        <v>0</v>
      </c>
      <c r="L558" s="51"/>
      <c r="M558" s="51"/>
      <c r="N558" s="51">
        <f t="shared" si="112"/>
        <v>0</v>
      </c>
      <c r="O558" s="51"/>
      <c r="P558" s="179" t="s">
        <v>1810</v>
      </c>
      <c r="Q558" s="179" t="s">
        <v>1504</v>
      </c>
      <c r="R558" s="179" t="s">
        <v>2132</v>
      </c>
      <c r="S558" s="66" t="s">
        <v>2232</v>
      </c>
      <c r="T558" s="54"/>
      <c r="U558" s="54"/>
      <c r="AA558">
        <f t="shared" si="103"/>
        <v>3512</v>
      </c>
      <c r="AD558" t="str">
        <f t="shared" si="104"/>
        <v>314</v>
      </c>
      <c r="AE558">
        <f t="shared" si="105"/>
        <v>4</v>
      </c>
      <c r="AG558" s="50" t="str">
        <f t="shared" si="106"/>
        <v>CASERNE DECOMPTE DE CHARGES SPG - VALAUR SA</v>
      </c>
      <c r="AH558" s="244" t="str">
        <f t="shared" si="107"/>
        <v>96307</v>
      </c>
      <c r="AI558" s="219"/>
      <c r="AJ558" s="219"/>
      <c r="AK558" s="219" t="str">
        <f t="shared" si="108"/>
        <v>3439</v>
      </c>
      <c r="AL558" s="244" t="str">
        <f t="shared" si="109"/>
        <v>01</v>
      </c>
      <c r="AN558" s="219" t="str">
        <f t="shared" si="110"/>
        <v>Autres charges de biens-fonds PF | Bât Caserne appartements / Bregentenaz 10 | Eau</v>
      </c>
    </row>
    <row r="559" spans="1:40" ht="15" customHeight="1" x14ac:dyDescent="0.3">
      <c r="A559" s="48"/>
      <c r="B559" s="74" t="s">
        <v>852</v>
      </c>
      <c r="C559" s="67" t="s">
        <v>853</v>
      </c>
      <c r="D559" s="188" t="s">
        <v>1459</v>
      </c>
      <c r="E559" s="188" t="s">
        <v>831</v>
      </c>
      <c r="F559" s="46">
        <v>3512</v>
      </c>
      <c r="G559" s="188" t="s">
        <v>131</v>
      </c>
      <c r="H559" s="188">
        <v>4</v>
      </c>
      <c r="I559" s="51"/>
      <c r="J559" s="51"/>
      <c r="K559" s="51">
        <f t="shared" si="113"/>
        <v>0</v>
      </c>
      <c r="L559" s="51"/>
      <c r="M559" s="51"/>
      <c r="N559" s="51">
        <f t="shared" si="112"/>
        <v>0</v>
      </c>
      <c r="O559" s="51"/>
      <c r="P559" s="179" t="s">
        <v>1810</v>
      </c>
      <c r="Q559" s="179" t="s">
        <v>1504</v>
      </c>
      <c r="R559" s="179" t="s">
        <v>2133</v>
      </c>
      <c r="S559" s="66" t="s">
        <v>2233</v>
      </c>
      <c r="T559" s="54"/>
      <c r="U559" s="54"/>
      <c r="AA559">
        <f t="shared" si="103"/>
        <v>3512</v>
      </c>
      <c r="AD559" t="str">
        <f t="shared" si="104"/>
        <v>314</v>
      </c>
      <c r="AE559">
        <f t="shared" si="105"/>
        <v>4</v>
      </c>
      <c r="AG559" s="50" t="str">
        <f t="shared" si="106"/>
        <v>CASERNE DECOMPTE DE CHARGES SPG - VALAUR SA</v>
      </c>
      <c r="AH559" s="244" t="str">
        <f t="shared" si="107"/>
        <v>96307</v>
      </c>
      <c r="AI559" s="219"/>
      <c r="AJ559" s="219"/>
      <c r="AK559" s="219" t="str">
        <f t="shared" si="108"/>
        <v>3439</v>
      </c>
      <c r="AL559" s="244" t="str">
        <f t="shared" si="109"/>
        <v>02</v>
      </c>
      <c r="AN559" s="219" t="str">
        <f t="shared" si="110"/>
        <v>Autres charges de biens-fonds PF | Bât Caserne appartements / Bregentenaz 10 | Electricité</v>
      </c>
    </row>
    <row r="560" spans="1:40" ht="15" customHeight="1" x14ac:dyDescent="0.3">
      <c r="A560" s="48"/>
      <c r="B560" s="74" t="s">
        <v>852</v>
      </c>
      <c r="C560" s="67" t="s">
        <v>853</v>
      </c>
      <c r="D560" s="188" t="s">
        <v>1459</v>
      </c>
      <c r="E560" s="188" t="s">
        <v>831</v>
      </c>
      <c r="F560" s="46">
        <v>3512</v>
      </c>
      <c r="G560" s="188" t="s">
        <v>131</v>
      </c>
      <c r="H560" s="188">
        <v>4</v>
      </c>
      <c r="I560" s="51"/>
      <c r="J560" s="51"/>
      <c r="K560" s="51">
        <f t="shared" si="113"/>
        <v>0</v>
      </c>
      <c r="L560" s="51"/>
      <c r="M560" s="51"/>
      <c r="N560" s="51">
        <f t="shared" si="112"/>
        <v>0</v>
      </c>
      <c r="O560" s="51"/>
      <c r="P560" s="179" t="s">
        <v>1810</v>
      </c>
      <c r="Q560" s="179" t="s">
        <v>1504</v>
      </c>
      <c r="R560" s="179" t="s">
        <v>2134</v>
      </c>
      <c r="S560" s="66" t="s">
        <v>2234</v>
      </c>
      <c r="T560" s="54"/>
      <c r="U560" s="54"/>
      <c r="AA560">
        <f t="shared" si="103"/>
        <v>3512</v>
      </c>
      <c r="AD560" t="str">
        <f t="shared" si="104"/>
        <v>314</v>
      </c>
      <c r="AE560">
        <f t="shared" si="105"/>
        <v>4</v>
      </c>
      <c r="AG560" s="50" t="str">
        <f t="shared" si="106"/>
        <v>CASERNE DECOMPTE DE CHARGES SPG - VALAUR SA</v>
      </c>
      <c r="AH560" s="244" t="str">
        <f t="shared" si="107"/>
        <v>96307</v>
      </c>
      <c r="AI560" s="219"/>
      <c r="AJ560" s="219"/>
      <c r="AK560" s="219" t="str">
        <f t="shared" si="108"/>
        <v>3439</v>
      </c>
      <c r="AL560" s="244" t="str">
        <f t="shared" si="109"/>
        <v>03</v>
      </c>
      <c r="AN560" s="219" t="str">
        <f t="shared" si="110"/>
        <v>Autres charges de biens-fonds PF | Bât Caserne appartements / Bregentenaz 10 | Chauffage</v>
      </c>
    </row>
    <row r="561" spans="1:40" ht="15" customHeight="1" x14ac:dyDescent="0.3">
      <c r="A561" s="48"/>
      <c r="B561" s="74" t="s">
        <v>852</v>
      </c>
      <c r="C561" s="67" t="s">
        <v>853</v>
      </c>
      <c r="D561" s="188" t="s">
        <v>1459</v>
      </c>
      <c r="E561" s="188" t="s">
        <v>831</v>
      </c>
      <c r="F561" s="46">
        <v>3512</v>
      </c>
      <c r="G561" s="188" t="s">
        <v>131</v>
      </c>
      <c r="H561" s="188">
        <v>4</v>
      </c>
      <c r="I561" s="51"/>
      <c r="J561" s="51"/>
      <c r="K561" s="51">
        <f t="shared" si="113"/>
        <v>0</v>
      </c>
      <c r="L561" s="51"/>
      <c r="M561" s="51"/>
      <c r="N561" s="51">
        <f t="shared" ref="N561:N592" si="114">+L561+M561</f>
        <v>0</v>
      </c>
      <c r="O561" s="51"/>
      <c r="P561" s="179" t="s">
        <v>1810</v>
      </c>
      <c r="Q561" s="179" t="s">
        <v>1504</v>
      </c>
      <c r="R561" s="179" t="s">
        <v>2135</v>
      </c>
      <c r="S561" s="66" t="s">
        <v>2235</v>
      </c>
      <c r="T561" s="54"/>
      <c r="U561" s="54"/>
      <c r="AA561">
        <f t="shared" si="103"/>
        <v>3512</v>
      </c>
      <c r="AD561" t="str">
        <f t="shared" si="104"/>
        <v>314</v>
      </c>
      <c r="AE561">
        <f t="shared" si="105"/>
        <v>4</v>
      </c>
      <c r="AG561" s="50" t="str">
        <f t="shared" si="106"/>
        <v>CASERNE DECOMPTE DE CHARGES SPG - VALAUR SA</v>
      </c>
      <c r="AH561" s="244" t="str">
        <f t="shared" si="107"/>
        <v>96307</v>
      </c>
      <c r="AI561" s="219"/>
      <c r="AJ561" s="219"/>
      <c r="AK561" s="219" t="str">
        <f t="shared" si="108"/>
        <v>3439</v>
      </c>
      <c r="AL561" s="244" t="str">
        <f t="shared" si="109"/>
        <v>04</v>
      </c>
      <c r="AN561" s="219" t="str">
        <f t="shared" si="110"/>
        <v>Autres charges de biens-fonds PF | Bât Caserne appartements / Bregentenaz 10 | Frais de gérance</v>
      </c>
    </row>
    <row r="562" spans="1:40" ht="15" customHeight="1" x14ac:dyDescent="0.3">
      <c r="A562" s="48"/>
      <c r="B562" s="74" t="s">
        <v>852</v>
      </c>
      <c r="C562" s="67" t="s">
        <v>853</v>
      </c>
      <c r="D562" s="188" t="s">
        <v>1459</v>
      </c>
      <c r="E562" s="188" t="s">
        <v>831</v>
      </c>
      <c r="F562" s="46">
        <v>3512</v>
      </c>
      <c r="G562" s="188" t="s">
        <v>131</v>
      </c>
      <c r="H562" s="188">
        <v>4</v>
      </c>
      <c r="I562" s="51"/>
      <c r="J562" s="51"/>
      <c r="K562" s="51">
        <f t="shared" si="113"/>
        <v>0</v>
      </c>
      <c r="L562" s="51"/>
      <c r="M562" s="51"/>
      <c r="N562" s="51">
        <f t="shared" si="114"/>
        <v>0</v>
      </c>
      <c r="O562" s="51"/>
      <c r="P562" s="179" t="s">
        <v>1810</v>
      </c>
      <c r="Q562" s="179" t="s">
        <v>1822</v>
      </c>
      <c r="R562" s="179" t="s">
        <v>2131</v>
      </c>
      <c r="S562" s="49" t="s">
        <v>2238</v>
      </c>
      <c r="T562" s="54"/>
      <c r="U562" s="54"/>
      <c r="AA562">
        <f t="shared" si="103"/>
        <v>3512</v>
      </c>
      <c r="AD562" t="str">
        <f t="shared" si="104"/>
        <v>314</v>
      </c>
      <c r="AE562">
        <f t="shared" si="105"/>
        <v>4</v>
      </c>
      <c r="AG562" s="50" t="str">
        <f t="shared" si="106"/>
        <v>CASERNE DECOMPTE DE CHARGES SPG - VALAUR SA</v>
      </c>
      <c r="AH562" s="244" t="str">
        <f t="shared" si="107"/>
        <v>96307</v>
      </c>
      <c r="AI562" s="219"/>
      <c r="AJ562" s="219"/>
      <c r="AK562" s="219" t="str">
        <f t="shared" si="108"/>
        <v>3430</v>
      </c>
      <c r="AL562" s="244" t="str">
        <f t="shared" si="109"/>
        <v>00</v>
      </c>
      <c r="AN562" s="219" t="str">
        <f t="shared" si="110"/>
        <v>Tavaux Ponctuels, biens-fonds PF | Bât Caserne appartements / Bregentenaz 10 |</v>
      </c>
    </row>
    <row r="563" spans="1:40" ht="16.2" customHeight="1" x14ac:dyDescent="0.3">
      <c r="A563" s="48">
        <v>0</v>
      </c>
      <c r="B563" s="49" t="s">
        <v>854</v>
      </c>
      <c r="C563" s="50" t="s">
        <v>855</v>
      </c>
      <c r="D563" s="46" t="s">
        <v>1459</v>
      </c>
      <c r="E563" s="46" t="s">
        <v>831</v>
      </c>
      <c r="F563" s="46">
        <v>3512</v>
      </c>
      <c r="G563" s="46" t="s">
        <v>123</v>
      </c>
      <c r="H563" s="46"/>
      <c r="I563" s="51">
        <v>571.35</v>
      </c>
      <c r="J563" s="51">
        <v>0</v>
      </c>
      <c r="K563" s="51">
        <f t="shared" si="113"/>
        <v>571.35</v>
      </c>
      <c r="L563" s="51">
        <v>0</v>
      </c>
      <c r="M563" s="51">
        <v>0</v>
      </c>
      <c r="N563" s="51">
        <f t="shared" si="114"/>
        <v>0</v>
      </c>
      <c r="O563" s="51">
        <v>0</v>
      </c>
      <c r="P563" s="179" t="s">
        <v>1809</v>
      </c>
      <c r="Q563" s="179" t="s">
        <v>1678</v>
      </c>
      <c r="R563" s="179" t="s">
        <v>2131</v>
      </c>
      <c r="S563" s="49" t="s">
        <v>2295</v>
      </c>
      <c r="T563" s="54">
        <f>+I563</f>
        <v>571.35</v>
      </c>
      <c r="U563" s="54"/>
      <c r="W563" t="s">
        <v>1868</v>
      </c>
      <c r="AA563">
        <f t="shared" si="103"/>
        <v>3512</v>
      </c>
      <c r="AD563" t="str">
        <f t="shared" si="104"/>
        <v>315</v>
      </c>
      <c r="AE563">
        <f t="shared" si="105"/>
        <v>0</v>
      </c>
      <c r="AG563" s="50" t="str">
        <f t="shared" si="106"/>
        <v>CASERNE CONTRAT MAINTENANCE PHOTOVOLTAIQUE</v>
      </c>
      <c r="AH563" s="244" t="str">
        <f t="shared" si="107"/>
        <v>02905</v>
      </c>
      <c r="AI563" s="219"/>
      <c r="AJ563" s="219"/>
      <c r="AK563" s="219" t="str">
        <f t="shared" si="108"/>
        <v>3144</v>
      </c>
      <c r="AL563" s="244" t="str">
        <f t="shared" si="109"/>
        <v>00</v>
      </c>
      <c r="AN563" s="219" t="str">
        <f t="shared" si="110"/>
        <v>Entretien des bâtiments, immeubles PA | Caserne de pompiers / Bregentenaz 10 |</v>
      </c>
    </row>
    <row r="564" spans="1:40" ht="15" customHeight="1" x14ac:dyDescent="0.3">
      <c r="A564" s="48">
        <v>0</v>
      </c>
      <c r="B564" s="49" t="s">
        <v>856</v>
      </c>
      <c r="C564" s="50" t="s">
        <v>857</v>
      </c>
      <c r="D564" s="46" t="s">
        <v>1459</v>
      </c>
      <c r="E564" s="46" t="s">
        <v>831</v>
      </c>
      <c r="F564" s="46">
        <v>3512</v>
      </c>
      <c r="G564" s="46" t="s">
        <v>123</v>
      </c>
      <c r="H564" s="46">
        <v>1</v>
      </c>
      <c r="I564" s="51">
        <v>515</v>
      </c>
      <c r="J564" s="51">
        <v>0</v>
      </c>
      <c r="K564" s="51">
        <f t="shared" si="113"/>
        <v>515</v>
      </c>
      <c r="L564" s="51">
        <v>1000</v>
      </c>
      <c r="M564" s="51">
        <v>0</v>
      </c>
      <c r="N564" s="51">
        <f t="shared" si="114"/>
        <v>1000</v>
      </c>
      <c r="O564" s="51">
        <v>200</v>
      </c>
      <c r="P564" s="179" t="s">
        <v>1809</v>
      </c>
      <c r="Q564" s="179" t="s">
        <v>1678</v>
      </c>
      <c r="R564" s="179" t="s">
        <v>2131</v>
      </c>
      <c r="S564" s="49" t="s">
        <v>2295</v>
      </c>
      <c r="T564" s="54">
        <f>+I564</f>
        <v>515</v>
      </c>
      <c r="U564" s="54"/>
      <c r="AA564">
        <f t="shared" si="103"/>
        <v>3512</v>
      </c>
      <c r="AD564" t="str">
        <f t="shared" si="104"/>
        <v>315</v>
      </c>
      <c r="AE564">
        <f t="shared" si="105"/>
        <v>1</v>
      </c>
      <c r="AG564" s="50" t="str">
        <f t="shared" si="106"/>
        <v>CASERNE / CTC ENTRETIEN + CONTRAT MOB. INSTALLATIONS CTC</v>
      </c>
      <c r="AH564" s="244" t="str">
        <f t="shared" si="107"/>
        <v>02905</v>
      </c>
      <c r="AI564" s="219"/>
      <c r="AJ564" s="219"/>
      <c r="AK564" s="219" t="str">
        <f t="shared" si="108"/>
        <v>3144</v>
      </c>
      <c r="AL564" s="244" t="str">
        <f t="shared" si="109"/>
        <v>00</v>
      </c>
      <c r="AN564" s="219" t="str">
        <f t="shared" si="110"/>
        <v>Entretien des bâtiments, immeubles PA | Caserne de pompiers / Bregentenaz 10 |</v>
      </c>
    </row>
    <row r="565" spans="1:40" ht="15" customHeight="1" x14ac:dyDescent="0.3">
      <c r="A565" s="48">
        <v>0</v>
      </c>
      <c r="B565" s="49" t="s">
        <v>858</v>
      </c>
      <c r="C565" s="50" t="s">
        <v>859</v>
      </c>
      <c r="D565" s="46" t="s">
        <v>1459</v>
      </c>
      <c r="E565" s="46" t="s">
        <v>831</v>
      </c>
      <c r="F565" s="46">
        <v>3512</v>
      </c>
      <c r="G565" s="46" t="s">
        <v>123</v>
      </c>
      <c r="H565" s="46">
        <v>2</v>
      </c>
      <c r="I565" s="51">
        <v>0</v>
      </c>
      <c r="J565" s="51">
        <v>0</v>
      </c>
      <c r="K565" s="51">
        <f t="shared" si="113"/>
        <v>0</v>
      </c>
      <c r="L565" s="51">
        <v>0</v>
      </c>
      <c r="M565" s="51">
        <v>0</v>
      </c>
      <c r="N565" s="51">
        <f t="shared" si="114"/>
        <v>0</v>
      </c>
      <c r="O565" s="51">
        <v>0</v>
      </c>
      <c r="P565" s="179" t="s">
        <v>1489</v>
      </c>
      <c r="Q565" s="179" t="s">
        <v>1489</v>
      </c>
      <c r="R565" s="179" t="s">
        <v>1489</v>
      </c>
      <c r="S565" s="47" t="s">
        <v>1489</v>
      </c>
      <c r="T565" s="54"/>
      <c r="U565" s="54"/>
      <c r="AA565">
        <f t="shared" si="103"/>
        <v>3512</v>
      </c>
      <c r="AD565" t="str">
        <f t="shared" si="104"/>
        <v>315</v>
      </c>
      <c r="AE565">
        <f t="shared" si="105"/>
        <v>2</v>
      </c>
      <c r="AG565" s="50" t="str">
        <f t="shared" si="106"/>
        <v>CASERNE ENTRETIEN MOB. INSTALLATIONS CASERNE</v>
      </c>
      <c r="AH565" s="244" t="str">
        <f t="shared" si="107"/>
        <v>-</v>
      </c>
      <c r="AI565" s="219"/>
      <c r="AJ565" s="219"/>
      <c r="AK565" s="219" t="str">
        <f t="shared" si="108"/>
        <v>-</v>
      </c>
      <c r="AL565" s="244" t="str">
        <f t="shared" si="109"/>
        <v>-</v>
      </c>
      <c r="AN565" s="219" t="str">
        <f t="shared" si="110"/>
        <v>-</v>
      </c>
    </row>
    <row r="566" spans="1:40" ht="15" customHeight="1" x14ac:dyDescent="0.3">
      <c r="A566" s="48">
        <v>0</v>
      </c>
      <c r="B566" s="49" t="s">
        <v>860</v>
      </c>
      <c r="C566" s="50" t="s">
        <v>861</v>
      </c>
      <c r="D566" s="46" t="s">
        <v>1459</v>
      </c>
      <c r="E566" s="46" t="s">
        <v>831</v>
      </c>
      <c r="F566" s="46">
        <v>3512</v>
      </c>
      <c r="G566" s="46" t="s">
        <v>123</v>
      </c>
      <c r="H566" s="46">
        <v>3</v>
      </c>
      <c r="I566" s="51">
        <v>0</v>
      </c>
      <c r="J566" s="51">
        <v>0</v>
      </c>
      <c r="K566" s="51">
        <f t="shared" si="113"/>
        <v>0</v>
      </c>
      <c r="L566" s="51">
        <v>0</v>
      </c>
      <c r="M566" s="51">
        <v>0</v>
      </c>
      <c r="N566" s="51">
        <f t="shared" si="114"/>
        <v>0</v>
      </c>
      <c r="O566" s="51">
        <v>0</v>
      </c>
      <c r="P566" s="179" t="s">
        <v>1489</v>
      </c>
      <c r="Q566" s="179" t="s">
        <v>1489</v>
      </c>
      <c r="R566" s="179" t="s">
        <v>1489</v>
      </c>
      <c r="S566" s="47" t="s">
        <v>1489</v>
      </c>
      <c r="T566" s="54"/>
      <c r="U566" s="54"/>
      <c r="AA566">
        <f t="shared" si="103"/>
        <v>3512</v>
      </c>
      <c r="AD566" t="str">
        <f t="shared" si="104"/>
        <v>315</v>
      </c>
      <c r="AE566">
        <f t="shared" si="105"/>
        <v>3</v>
      </c>
      <c r="AG566" s="50" t="str">
        <f t="shared" si="106"/>
        <v>CASERNE ENTRETIEN MOB. INSTALLATIONS LOGEMENTS</v>
      </c>
      <c r="AH566" s="244" t="str">
        <f t="shared" si="107"/>
        <v>-</v>
      </c>
      <c r="AI566" s="219"/>
      <c r="AJ566" s="219"/>
      <c r="AK566" s="219" t="str">
        <f t="shared" si="108"/>
        <v>-</v>
      </c>
      <c r="AL566" s="244" t="str">
        <f t="shared" si="109"/>
        <v>-</v>
      </c>
      <c r="AN566" s="219" t="str">
        <f t="shared" si="110"/>
        <v>-</v>
      </c>
    </row>
    <row r="567" spans="1:40" ht="15" customHeight="1" x14ac:dyDescent="0.3">
      <c r="A567" s="48">
        <v>0</v>
      </c>
      <c r="B567" s="49" t="s">
        <v>862</v>
      </c>
      <c r="C567" s="50" t="s">
        <v>863</v>
      </c>
      <c r="D567" s="46" t="s">
        <v>1459</v>
      </c>
      <c r="E567" s="46" t="s">
        <v>831</v>
      </c>
      <c r="F567" s="46">
        <v>3512</v>
      </c>
      <c r="G567" s="46" t="s">
        <v>48</v>
      </c>
      <c r="H567" s="46"/>
      <c r="I567" s="51">
        <v>2360.9</v>
      </c>
      <c r="J567" s="51">
        <v>0</v>
      </c>
      <c r="K567" s="51">
        <f t="shared" si="113"/>
        <v>2360.9</v>
      </c>
      <c r="L567" s="51">
        <v>0</v>
      </c>
      <c r="M567" s="51">
        <v>0</v>
      </c>
      <c r="N567" s="51">
        <f t="shared" si="114"/>
        <v>0</v>
      </c>
      <c r="O567" s="51">
        <v>0</v>
      </c>
      <c r="P567" s="179" t="s">
        <v>1809</v>
      </c>
      <c r="Q567" s="179" t="s">
        <v>1418</v>
      </c>
      <c r="R567" s="179" t="s">
        <v>2131</v>
      </c>
      <c r="S567" s="49" t="s">
        <v>2299</v>
      </c>
      <c r="T567" s="54">
        <f>+I567</f>
        <v>2360.9</v>
      </c>
      <c r="U567" s="54"/>
      <c r="AA567">
        <f t="shared" si="103"/>
        <v>3512</v>
      </c>
      <c r="AD567" t="str">
        <f t="shared" si="104"/>
        <v>318</v>
      </c>
      <c r="AE567">
        <f t="shared" si="105"/>
        <v>0</v>
      </c>
      <c r="AG567" s="50" t="str">
        <f t="shared" si="106"/>
        <v>CASERNE  PRESTATIONS ASSURANCES et HONORAIRES</v>
      </c>
      <c r="AH567" s="244" t="str">
        <f t="shared" si="107"/>
        <v>02905</v>
      </c>
      <c r="AI567" s="219"/>
      <c r="AJ567" s="219"/>
      <c r="AK567" s="219" t="str">
        <f t="shared" si="108"/>
        <v>3134</v>
      </c>
      <c r="AL567" s="244" t="str">
        <f t="shared" si="109"/>
        <v>00</v>
      </c>
      <c r="AN567" s="219" t="str">
        <f t="shared" si="110"/>
        <v>Frais Assurances PA | Caserne de pompiers / Bregentenaz 10 |</v>
      </c>
    </row>
    <row r="568" spans="1:40" ht="15" customHeight="1" x14ac:dyDescent="0.3">
      <c r="A568" s="48">
        <v>0</v>
      </c>
      <c r="B568" s="49" t="s">
        <v>864</v>
      </c>
      <c r="C568" s="50" t="s">
        <v>865</v>
      </c>
      <c r="D568" s="46" t="s">
        <v>1459</v>
      </c>
      <c r="E568" s="46" t="s">
        <v>831</v>
      </c>
      <c r="F568" s="46">
        <v>3512</v>
      </c>
      <c r="G568" s="46" t="s">
        <v>164</v>
      </c>
      <c r="H568" s="46"/>
      <c r="I568" s="51">
        <v>75000</v>
      </c>
      <c r="J568" s="51">
        <v>0</v>
      </c>
      <c r="K568" s="51">
        <f t="shared" si="113"/>
        <v>75000</v>
      </c>
      <c r="L568" s="51">
        <v>75000</v>
      </c>
      <c r="M568" s="51">
        <v>0</v>
      </c>
      <c r="N568" s="51">
        <f t="shared" si="114"/>
        <v>75000</v>
      </c>
      <c r="O568" s="51">
        <v>0</v>
      </c>
      <c r="P568" s="179" t="s">
        <v>1549</v>
      </c>
      <c r="Q568" s="179" t="s">
        <v>1508</v>
      </c>
      <c r="R568" s="179" t="s">
        <v>2139</v>
      </c>
      <c r="S568" s="58" t="s">
        <v>1509</v>
      </c>
      <c r="T568" s="233">
        <f>+I568</f>
        <v>75000</v>
      </c>
      <c r="U568" s="54"/>
      <c r="AA568">
        <f t="shared" si="103"/>
        <v>3512</v>
      </c>
      <c r="AD568" t="str">
        <f t="shared" si="104"/>
        <v>331</v>
      </c>
      <c r="AE568">
        <f t="shared" si="105"/>
        <v>0</v>
      </c>
      <c r="AG568" s="50" t="str">
        <f t="shared" si="106"/>
        <v>CASERNE AMORTISSEMENTS PATR ADM COMMUNAL</v>
      </c>
      <c r="AH568" s="244" t="str">
        <f t="shared" si="107"/>
        <v>15000</v>
      </c>
      <c r="AI568" s="219"/>
      <c r="AJ568" s="219"/>
      <c r="AK568" s="219" t="str">
        <f t="shared" si="108"/>
        <v>3300</v>
      </c>
      <c r="AL568" s="244" t="str">
        <f t="shared" si="109"/>
        <v>09</v>
      </c>
      <c r="AN568" s="219" t="str">
        <f t="shared" si="110"/>
        <v>Amortissements planifiés des immobilisations corporelles PA</v>
      </c>
    </row>
    <row r="569" spans="1:40" ht="15" customHeight="1" x14ac:dyDescent="0.3">
      <c r="A569" s="48">
        <v>0</v>
      </c>
      <c r="B569" s="49" t="s">
        <v>866</v>
      </c>
      <c r="C569" s="50" t="s">
        <v>867</v>
      </c>
      <c r="D569" s="46" t="s">
        <v>1459</v>
      </c>
      <c r="E569" s="46" t="s">
        <v>831</v>
      </c>
      <c r="F569" s="46">
        <v>3512</v>
      </c>
      <c r="G569" s="46" t="s">
        <v>6</v>
      </c>
      <c r="H569" s="46"/>
      <c r="I569" s="51">
        <v>0</v>
      </c>
      <c r="J569" s="51">
        <v>0</v>
      </c>
      <c r="K569" s="51">
        <f t="shared" si="113"/>
        <v>0</v>
      </c>
      <c r="L569" s="51">
        <v>0</v>
      </c>
      <c r="M569" s="51">
        <v>0</v>
      </c>
      <c r="N569" s="51">
        <f t="shared" si="114"/>
        <v>0</v>
      </c>
      <c r="O569" s="51">
        <v>0</v>
      </c>
      <c r="P569" s="179" t="s">
        <v>1489</v>
      </c>
      <c r="Q569" s="179" t="s">
        <v>1489</v>
      </c>
      <c r="R569" s="179" t="s">
        <v>1489</v>
      </c>
      <c r="S569" s="47" t="s">
        <v>1489</v>
      </c>
      <c r="T569" s="54"/>
      <c r="U569" s="54"/>
      <c r="AA569">
        <f t="shared" si="103"/>
        <v>3512</v>
      </c>
      <c r="AD569" t="str">
        <f t="shared" si="104"/>
        <v>380</v>
      </c>
      <c r="AE569">
        <f t="shared" si="105"/>
        <v>0</v>
      </c>
      <c r="AG569" s="50" t="str">
        <f t="shared" si="106"/>
        <v>CASERNE ATTRIBUTION FONDS DE RENOVATION</v>
      </c>
      <c r="AH569" s="244" t="str">
        <f t="shared" si="107"/>
        <v>-</v>
      </c>
      <c r="AI569" s="219"/>
      <c r="AJ569" s="219"/>
      <c r="AK569" s="219" t="str">
        <f t="shared" si="108"/>
        <v>-</v>
      </c>
      <c r="AL569" s="244" t="str">
        <f t="shared" si="109"/>
        <v>-</v>
      </c>
      <c r="AN569" s="219" t="str">
        <f t="shared" si="110"/>
        <v>-</v>
      </c>
    </row>
    <row r="570" spans="1:40" ht="15" customHeight="1" x14ac:dyDescent="0.3">
      <c r="A570" s="48">
        <v>0</v>
      </c>
      <c r="B570" s="49" t="s">
        <v>868</v>
      </c>
      <c r="C570" s="50" t="s">
        <v>869</v>
      </c>
      <c r="D570" s="46" t="s">
        <v>1459</v>
      </c>
      <c r="E570" s="46" t="s">
        <v>831</v>
      </c>
      <c r="F570" s="46">
        <v>3512</v>
      </c>
      <c r="G570" s="46" t="s">
        <v>326</v>
      </c>
      <c r="H570" s="46"/>
      <c r="I570" s="51">
        <v>0</v>
      </c>
      <c r="J570" s="51">
        <v>-44248.2</v>
      </c>
      <c r="K570" s="51">
        <f t="shared" si="113"/>
        <v>-44248.2</v>
      </c>
      <c r="L570" s="51">
        <v>0</v>
      </c>
      <c r="M570" s="51">
        <v>-44248.2</v>
      </c>
      <c r="N570" s="51">
        <f t="shared" si="114"/>
        <v>-44248.2</v>
      </c>
      <c r="O570" s="51">
        <v>-44248.2</v>
      </c>
      <c r="P570" s="179" t="s">
        <v>1809</v>
      </c>
      <c r="Q570" s="179" t="s">
        <v>1443</v>
      </c>
      <c r="R570" s="179" t="s">
        <v>2131</v>
      </c>
      <c r="S570" s="47" t="s">
        <v>2032</v>
      </c>
      <c r="T570" s="54">
        <f>+J570</f>
        <v>-44248.2</v>
      </c>
      <c r="U570" s="54"/>
      <c r="W570" t="s">
        <v>1874</v>
      </c>
      <c r="AA570">
        <f t="shared" si="103"/>
        <v>3512</v>
      </c>
      <c r="AD570" t="str">
        <f t="shared" si="104"/>
        <v>423</v>
      </c>
      <c r="AE570">
        <f t="shared" si="105"/>
        <v>0</v>
      </c>
      <c r="AG570" s="50" t="str">
        <f t="shared" si="106"/>
        <v>CASERNE LOYERS CASERNE</v>
      </c>
      <c r="AH570" s="244" t="str">
        <f t="shared" si="107"/>
        <v>02905</v>
      </c>
      <c r="AI570" s="219"/>
      <c r="AJ570" s="219"/>
      <c r="AK570" s="219" t="str">
        <f t="shared" si="108"/>
        <v>4612</v>
      </c>
      <c r="AL570" s="244" t="str">
        <f t="shared" si="109"/>
        <v>00</v>
      </c>
      <c r="AN570" s="219" t="str">
        <f t="shared" si="110"/>
        <v>Dédommagement des communes et associations intercommunales - SDIS</v>
      </c>
    </row>
    <row r="571" spans="1:40" ht="15" customHeight="1" x14ac:dyDescent="0.3">
      <c r="A571" s="48">
        <v>0</v>
      </c>
      <c r="B571" s="49" t="s">
        <v>870</v>
      </c>
      <c r="C571" s="50" t="s">
        <v>871</v>
      </c>
      <c r="D571" s="46" t="s">
        <v>1459</v>
      </c>
      <c r="E571" s="46" t="s">
        <v>831</v>
      </c>
      <c r="F571" s="46">
        <v>3512</v>
      </c>
      <c r="G571" s="46" t="s">
        <v>335</v>
      </c>
      <c r="H571" s="46"/>
      <c r="I571" s="51">
        <v>0</v>
      </c>
      <c r="J571" s="51">
        <v>-76881.3</v>
      </c>
      <c r="K571" s="51">
        <f t="shared" si="113"/>
        <v>-76881.3</v>
      </c>
      <c r="L571" s="51">
        <v>0</v>
      </c>
      <c r="M571" s="51">
        <v>-75000</v>
      </c>
      <c r="N571" s="51">
        <f t="shared" si="114"/>
        <v>-75000</v>
      </c>
      <c r="O571" s="51">
        <v>0</v>
      </c>
      <c r="P571" s="179" t="s">
        <v>1810</v>
      </c>
      <c r="Q571" s="179" t="s">
        <v>1813</v>
      </c>
      <c r="R571" s="179" t="s">
        <v>2131</v>
      </c>
      <c r="S571" s="49" t="s">
        <v>2239</v>
      </c>
      <c r="T571" s="54">
        <f>+J571</f>
        <v>-76881.3</v>
      </c>
      <c r="U571" s="54"/>
      <c r="AA571">
        <f t="shared" si="103"/>
        <v>3512</v>
      </c>
      <c r="AD571" t="str">
        <f t="shared" si="104"/>
        <v>427</v>
      </c>
      <c r="AE571">
        <f t="shared" si="105"/>
        <v>0</v>
      </c>
      <c r="AG571" s="50" t="str">
        <f t="shared" si="106"/>
        <v>CASERNE APPART. DECPTE LOYERS SPG - VALAUR SA</v>
      </c>
      <c r="AH571" s="244" t="str">
        <f t="shared" si="107"/>
        <v>96307</v>
      </c>
      <c r="AI571" s="219"/>
      <c r="AJ571" s="219"/>
      <c r="AK571" s="219" t="str">
        <f t="shared" si="108"/>
        <v>4430</v>
      </c>
      <c r="AL571" s="244" t="str">
        <f t="shared" si="109"/>
        <v>00</v>
      </c>
      <c r="AN571" s="219" t="str">
        <f t="shared" si="110"/>
        <v>Loyers et fermages, immeubles du PF | Bât Caserne appartements / Bregentenaz 10 |</v>
      </c>
    </row>
    <row r="572" spans="1:40" ht="15" customHeight="1" x14ac:dyDescent="0.3">
      <c r="A572" s="48">
        <v>0</v>
      </c>
      <c r="B572" s="49" t="s">
        <v>872</v>
      </c>
      <c r="C572" s="50" t="s">
        <v>873</v>
      </c>
      <c r="D572" s="46" t="s">
        <v>1459</v>
      </c>
      <c r="E572" s="46" t="s">
        <v>831</v>
      </c>
      <c r="F572" s="46">
        <v>3512</v>
      </c>
      <c r="G572" s="46" t="s">
        <v>61</v>
      </c>
      <c r="H572" s="46"/>
      <c r="I572" s="51">
        <v>0</v>
      </c>
      <c r="J572" s="51">
        <v>0</v>
      </c>
      <c r="K572" s="51">
        <f t="shared" si="113"/>
        <v>0</v>
      </c>
      <c r="L572" s="51">
        <v>0</v>
      </c>
      <c r="M572" s="51">
        <v>0</v>
      </c>
      <c r="N572" s="51">
        <f t="shared" si="114"/>
        <v>0</v>
      </c>
      <c r="O572" s="51">
        <v>0</v>
      </c>
      <c r="P572" s="179" t="s">
        <v>1489</v>
      </c>
      <c r="Q572" s="179" t="s">
        <v>1489</v>
      </c>
      <c r="R572" s="179" t="s">
        <v>1489</v>
      </c>
      <c r="S572" s="47" t="s">
        <v>1489</v>
      </c>
      <c r="T572" s="54"/>
      <c r="U572" s="54"/>
      <c r="AA572">
        <f t="shared" si="103"/>
        <v>3512</v>
      </c>
      <c r="AD572" t="str">
        <f t="shared" si="104"/>
        <v>436</v>
      </c>
      <c r="AE572">
        <f t="shared" si="105"/>
        <v>0</v>
      </c>
      <c r="AG572" s="50" t="str">
        <f t="shared" si="106"/>
        <v>CASERNE  PART DE TIERS</v>
      </c>
      <c r="AH572" s="244" t="str">
        <f t="shared" si="107"/>
        <v>-</v>
      </c>
      <c r="AI572" s="219"/>
      <c r="AJ572" s="219"/>
      <c r="AK572" s="219" t="str">
        <f t="shared" si="108"/>
        <v>-</v>
      </c>
      <c r="AL572" s="244" t="str">
        <f t="shared" si="109"/>
        <v>-</v>
      </c>
      <c r="AN572" s="219" t="str">
        <f t="shared" si="110"/>
        <v>-</v>
      </c>
    </row>
    <row r="573" spans="1:40" ht="15" customHeight="1" x14ac:dyDescent="0.3">
      <c r="A573" s="48">
        <v>0</v>
      </c>
      <c r="B573" s="49" t="s">
        <v>875</v>
      </c>
      <c r="C573" s="50" t="s">
        <v>876</v>
      </c>
      <c r="D573" s="46" t="s">
        <v>1459</v>
      </c>
      <c r="E573" s="46" t="s">
        <v>874</v>
      </c>
      <c r="F573" s="46">
        <v>3513</v>
      </c>
      <c r="G573" s="46" t="s">
        <v>159</v>
      </c>
      <c r="H573" s="46"/>
      <c r="I573" s="51">
        <v>0</v>
      </c>
      <c r="J573" s="51">
        <v>0</v>
      </c>
      <c r="K573" s="51">
        <f t="shared" si="113"/>
        <v>0</v>
      </c>
      <c r="L573" s="51">
        <v>0</v>
      </c>
      <c r="M573" s="51">
        <v>0</v>
      </c>
      <c r="N573" s="51">
        <f t="shared" si="114"/>
        <v>0</v>
      </c>
      <c r="O573" s="51">
        <v>0</v>
      </c>
      <c r="P573" s="179" t="s">
        <v>1489</v>
      </c>
      <c r="Q573" s="179" t="s">
        <v>1489</v>
      </c>
      <c r="R573" s="179" t="s">
        <v>1489</v>
      </c>
      <c r="S573" s="47" t="s">
        <v>1489</v>
      </c>
      <c r="T573" s="54"/>
      <c r="U573" s="54"/>
      <c r="AA573">
        <f t="shared" si="103"/>
        <v>3513</v>
      </c>
      <c r="AD573" t="str">
        <f t="shared" si="104"/>
        <v>312</v>
      </c>
      <c r="AE573">
        <f t="shared" si="105"/>
        <v>0</v>
      </c>
      <c r="AG573" s="50" t="str">
        <f t="shared" si="106"/>
        <v>La Chèvrerie : Eau, Electricité, Chauffage</v>
      </c>
      <c r="AH573" s="244" t="str">
        <f t="shared" si="107"/>
        <v>-</v>
      </c>
      <c r="AI573" s="219"/>
      <c r="AJ573" s="219"/>
      <c r="AK573" s="219" t="str">
        <f t="shared" si="108"/>
        <v>-</v>
      </c>
      <c r="AL573" s="244" t="str">
        <f t="shared" si="109"/>
        <v>-</v>
      </c>
      <c r="AN573" s="219" t="str">
        <f t="shared" si="110"/>
        <v>-</v>
      </c>
    </row>
    <row r="574" spans="1:40" ht="15" customHeight="1" x14ac:dyDescent="0.3">
      <c r="A574" s="48">
        <v>0</v>
      </c>
      <c r="B574" s="49" t="s">
        <v>877</v>
      </c>
      <c r="C574" s="50" t="s">
        <v>878</v>
      </c>
      <c r="D574" s="46" t="s">
        <v>1459</v>
      </c>
      <c r="E574" s="46" t="s">
        <v>874</v>
      </c>
      <c r="F574" s="46">
        <v>3513</v>
      </c>
      <c r="G574" s="46" t="s">
        <v>131</v>
      </c>
      <c r="H574" s="46"/>
      <c r="I574" s="51">
        <v>1232.2</v>
      </c>
      <c r="J574" s="51">
        <v>0</v>
      </c>
      <c r="K574" s="51">
        <f t="shared" si="113"/>
        <v>1232.2</v>
      </c>
      <c r="L574" s="51">
        <v>1500</v>
      </c>
      <c r="M574" s="51">
        <v>0</v>
      </c>
      <c r="N574" s="51">
        <f t="shared" si="114"/>
        <v>1500</v>
      </c>
      <c r="O574" s="51">
        <v>0</v>
      </c>
      <c r="P574" s="179">
        <v>96903</v>
      </c>
      <c r="Q574" s="179" t="s">
        <v>1812</v>
      </c>
      <c r="R574" s="179" t="s">
        <v>2131</v>
      </c>
      <c r="S574" s="49" t="s">
        <v>2176</v>
      </c>
      <c r="T574" s="54">
        <f>+I574</f>
        <v>1232.2</v>
      </c>
      <c r="U574" s="54"/>
      <c r="AA574">
        <f t="shared" si="103"/>
        <v>3513</v>
      </c>
      <c r="AD574" t="str">
        <f t="shared" si="104"/>
        <v>314</v>
      </c>
      <c r="AE574">
        <f t="shared" si="105"/>
        <v>0</v>
      </c>
      <c r="AG574" s="50" t="str">
        <f t="shared" si="106"/>
        <v>La Chèvrerie : Entretien Bâti., Déneigement accès, Nettoy.Parcelles</v>
      </c>
      <c r="AH574" s="244">
        <f t="shared" si="107"/>
        <v>96903</v>
      </c>
      <c r="AI574" s="219"/>
      <c r="AJ574" s="219"/>
      <c r="AK574" s="219" t="str">
        <f t="shared" si="108"/>
        <v>3431</v>
      </c>
      <c r="AL574" s="244" t="str">
        <f t="shared" si="109"/>
        <v>00</v>
      </c>
      <c r="AN574" s="219" t="str">
        <f t="shared" si="110"/>
        <v>Entretien courant, biens-fonds PF | La Chèvrerie |</v>
      </c>
    </row>
    <row r="575" spans="1:40" ht="15" customHeight="1" x14ac:dyDescent="0.3">
      <c r="A575" s="48">
        <v>0</v>
      </c>
      <c r="B575" s="49" t="s">
        <v>879</v>
      </c>
      <c r="C575" s="50" t="s">
        <v>880</v>
      </c>
      <c r="D575" s="46" t="s">
        <v>1459</v>
      </c>
      <c r="E575" s="46" t="s">
        <v>874</v>
      </c>
      <c r="F575" s="46">
        <v>3513</v>
      </c>
      <c r="G575" s="46" t="s">
        <v>48</v>
      </c>
      <c r="H575" s="46"/>
      <c r="I575" s="51">
        <v>0</v>
      </c>
      <c r="J575" s="51">
        <v>0</v>
      </c>
      <c r="K575" s="51">
        <f t="shared" si="113"/>
        <v>0</v>
      </c>
      <c r="L575" s="51">
        <v>0</v>
      </c>
      <c r="M575" s="51">
        <v>0</v>
      </c>
      <c r="N575" s="51">
        <f t="shared" si="114"/>
        <v>0</v>
      </c>
      <c r="O575" s="51">
        <v>0</v>
      </c>
      <c r="P575" s="179" t="s">
        <v>1489</v>
      </c>
      <c r="Q575" s="179" t="s">
        <v>1489</v>
      </c>
      <c r="R575" s="179" t="s">
        <v>1489</v>
      </c>
      <c r="S575" s="47" t="s">
        <v>1489</v>
      </c>
      <c r="T575" s="54"/>
      <c r="U575" s="54"/>
      <c r="AA575">
        <f t="shared" si="103"/>
        <v>3513</v>
      </c>
      <c r="AD575" t="str">
        <f t="shared" si="104"/>
        <v>318</v>
      </c>
      <c r="AE575">
        <f t="shared" si="105"/>
        <v>0</v>
      </c>
      <c r="AG575" s="50" t="str">
        <f t="shared" si="106"/>
        <v>La Chèvrerie : Assurance et Prestations de service</v>
      </c>
      <c r="AH575" s="244" t="str">
        <f t="shared" si="107"/>
        <v>-</v>
      </c>
      <c r="AI575" s="219"/>
      <c r="AJ575" s="219"/>
      <c r="AK575" s="219" t="str">
        <f t="shared" si="108"/>
        <v>-</v>
      </c>
      <c r="AL575" s="244" t="str">
        <f t="shared" si="109"/>
        <v>-</v>
      </c>
      <c r="AN575" s="219" t="str">
        <f t="shared" si="110"/>
        <v>-</v>
      </c>
    </row>
    <row r="576" spans="1:40" ht="15" customHeight="1" x14ac:dyDescent="0.3">
      <c r="A576" s="48">
        <v>0</v>
      </c>
      <c r="B576" s="49" t="s">
        <v>881</v>
      </c>
      <c r="C576" s="50" t="s">
        <v>882</v>
      </c>
      <c r="D576" s="46" t="s">
        <v>1459</v>
      </c>
      <c r="E576" s="46" t="s">
        <v>874</v>
      </c>
      <c r="F576" s="46">
        <v>3513</v>
      </c>
      <c r="G576" s="46" t="s">
        <v>164</v>
      </c>
      <c r="H576" s="46"/>
      <c r="I576" s="51">
        <v>0</v>
      </c>
      <c r="J576" s="51">
        <v>0</v>
      </c>
      <c r="K576" s="51">
        <f t="shared" si="113"/>
        <v>0</v>
      </c>
      <c r="L576" s="51">
        <v>0</v>
      </c>
      <c r="M576" s="51">
        <v>0</v>
      </c>
      <c r="N576" s="51">
        <f t="shared" si="114"/>
        <v>0</v>
      </c>
      <c r="O576" s="51">
        <v>0</v>
      </c>
      <c r="P576" s="179" t="s">
        <v>1489</v>
      </c>
      <c r="Q576" s="179" t="s">
        <v>1489</v>
      </c>
      <c r="R576" s="179" t="s">
        <v>1489</v>
      </c>
      <c r="S576" s="47" t="s">
        <v>1489</v>
      </c>
      <c r="T576" s="54"/>
      <c r="U576" s="54"/>
      <c r="AA576">
        <f t="shared" si="103"/>
        <v>3513</v>
      </c>
      <c r="AD576" t="str">
        <f t="shared" si="104"/>
        <v>331</v>
      </c>
      <c r="AE576">
        <f t="shared" si="105"/>
        <v>0</v>
      </c>
      <c r="AG576" s="50" t="str">
        <f t="shared" si="106"/>
        <v>La Chèvrerie : Amort. Patr. Admn.</v>
      </c>
      <c r="AH576" s="244" t="str">
        <f t="shared" si="107"/>
        <v>-</v>
      </c>
      <c r="AI576" s="219"/>
      <c r="AJ576" s="219"/>
      <c r="AK576" s="219" t="str">
        <f t="shared" si="108"/>
        <v>-</v>
      </c>
      <c r="AL576" s="244" t="str">
        <f t="shared" si="109"/>
        <v>-</v>
      </c>
      <c r="AN576" s="219" t="str">
        <f t="shared" si="110"/>
        <v>-</v>
      </c>
    </row>
    <row r="577" spans="1:40" ht="15" customHeight="1" x14ac:dyDescent="0.3">
      <c r="A577" s="48">
        <v>0</v>
      </c>
      <c r="B577" s="49" t="s">
        <v>883</v>
      </c>
      <c r="C577" s="50" t="s">
        <v>884</v>
      </c>
      <c r="D577" s="46" t="s">
        <v>1459</v>
      </c>
      <c r="E577" s="46" t="s">
        <v>874</v>
      </c>
      <c r="F577" s="46">
        <v>3513</v>
      </c>
      <c r="G577" s="46" t="s">
        <v>6</v>
      </c>
      <c r="H577" s="46"/>
      <c r="I577" s="51">
        <v>0</v>
      </c>
      <c r="J577" s="51">
        <v>0</v>
      </c>
      <c r="K577" s="51">
        <f t="shared" si="113"/>
        <v>0</v>
      </c>
      <c r="L577" s="51">
        <v>0</v>
      </c>
      <c r="M577" s="51">
        <v>0</v>
      </c>
      <c r="N577" s="51">
        <f t="shared" si="114"/>
        <v>0</v>
      </c>
      <c r="O577" s="51">
        <v>0</v>
      </c>
      <c r="P577" s="179" t="s">
        <v>1489</v>
      </c>
      <c r="Q577" s="179" t="s">
        <v>1489</v>
      </c>
      <c r="R577" s="179" t="s">
        <v>1489</v>
      </c>
      <c r="S577" s="47" t="s">
        <v>1489</v>
      </c>
      <c r="T577" s="54"/>
      <c r="U577" s="54"/>
      <c r="AA577">
        <f t="shared" si="103"/>
        <v>3513</v>
      </c>
      <c r="AD577" t="str">
        <f t="shared" si="104"/>
        <v>380</v>
      </c>
      <c r="AE577">
        <f t="shared" si="105"/>
        <v>0</v>
      </c>
      <c r="AG577" s="50" t="str">
        <f t="shared" si="106"/>
        <v>La Chèvrerie : Attrib. Fonds réser., renouv. (9282.1)</v>
      </c>
      <c r="AH577" s="244" t="str">
        <f t="shared" si="107"/>
        <v>-</v>
      </c>
      <c r="AI577" s="219"/>
      <c r="AJ577" s="219"/>
      <c r="AK577" s="219" t="str">
        <f t="shared" si="108"/>
        <v>-</v>
      </c>
      <c r="AL577" s="244" t="str">
        <f t="shared" si="109"/>
        <v>-</v>
      </c>
      <c r="AN577" s="219" t="str">
        <f t="shared" si="110"/>
        <v>-</v>
      </c>
    </row>
    <row r="578" spans="1:40" ht="15" customHeight="1" x14ac:dyDescent="0.3">
      <c r="A578" s="48">
        <v>0</v>
      </c>
      <c r="B578" s="49" t="s">
        <v>885</v>
      </c>
      <c r="C578" s="50" t="s">
        <v>886</v>
      </c>
      <c r="D578" s="46" t="s">
        <v>1459</v>
      </c>
      <c r="E578" s="46" t="s">
        <v>874</v>
      </c>
      <c r="F578" s="46">
        <v>3513</v>
      </c>
      <c r="G578" s="46" t="s">
        <v>326</v>
      </c>
      <c r="H578" s="46"/>
      <c r="I578" s="51">
        <v>0</v>
      </c>
      <c r="J578" s="51">
        <v>0</v>
      </c>
      <c r="K578" s="51">
        <f t="shared" si="113"/>
        <v>0</v>
      </c>
      <c r="L578" s="51">
        <v>0</v>
      </c>
      <c r="M578" s="51">
        <v>0</v>
      </c>
      <c r="N578" s="51">
        <f t="shared" si="114"/>
        <v>0</v>
      </c>
      <c r="O578" s="51">
        <v>0</v>
      </c>
      <c r="P578" s="179" t="s">
        <v>1489</v>
      </c>
      <c r="Q578" s="179" t="s">
        <v>1489</v>
      </c>
      <c r="R578" s="179" t="s">
        <v>1489</v>
      </c>
      <c r="S578" s="47" t="s">
        <v>1489</v>
      </c>
      <c r="T578" s="54"/>
      <c r="U578" s="54"/>
      <c r="AA578">
        <f t="shared" si="103"/>
        <v>3513</v>
      </c>
      <c r="AD578" t="str">
        <f t="shared" si="104"/>
        <v>423</v>
      </c>
      <c r="AE578">
        <f t="shared" si="105"/>
        <v>0</v>
      </c>
      <c r="AG578" s="50" t="str">
        <f t="shared" si="106"/>
        <v>La Chèvrerie : Loyers</v>
      </c>
      <c r="AH578" s="244" t="str">
        <f t="shared" si="107"/>
        <v>-</v>
      </c>
      <c r="AI578" s="219"/>
      <c r="AJ578" s="219"/>
      <c r="AK578" s="219" t="str">
        <f t="shared" si="108"/>
        <v>-</v>
      </c>
      <c r="AL578" s="244" t="str">
        <f t="shared" si="109"/>
        <v>-</v>
      </c>
      <c r="AN578" s="219" t="str">
        <f t="shared" si="110"/>
        <v>-</v>
      </c>
    </row>
    <row r="579" spans="1:40" ht="15" customHeight="1" x14ac:dyDescent="0.3">
      <c r="A579" s="48">
        <v>0</v>
      </c>
      <c r="B579" s="49" t="s">
        <v>887</v>
      </c>
      <c r="C579" s="50" t="s">
        <v>888</v>
      </c>
      <c r="D579" s="46" t="s">
        <v>1459</v>
      </c>
      <c r="E579" s="46" t="s">
        <v>874</v>
      </c>
      <c r="F579" s="46">
        <v>3513</v>
      </c>
      <c r="G579" s="46" t="s">
        <v>329</v>
      </c>
      <c r="H579" s="46"/>
      <c r="I579" s="51">
        <v>0</v>
      </c>
      <c r="J579" s="51">
        <v>0</v>
      </c>
      <c r="K579" s="51">
        <f t="shared" si="113"/>
        <v>0</v>
      </c>
      <c r="L579" s="51">
        <v>0</v>
      </c>
      <c r="M579" s="51">
        <v>0</v>
      </c>
      <c r="N579" s="51">
        <f t="shared" si="114"/>
        <v>0</v>
      </c>
      <c r="O579" s="51">
        <v>0</v>
      </c>
      <c r="P579" s="179" t="s">
        <v>1489</v>
      </c>
      <c r="Q579" s="179" t="s">
        <v>1489</v>
      </c>
      <c r="R579" s="179" t="s">
        <v>1489</v>
      </c>
      <c r="S579" s="47" t="s">
        <v>1489</v>
      </c>
      <c r="T579" s="54"/>
      <c r="U579" s="54"/>
      <c r="AA579">
        <f t="shared" si="103"/>
        <v>3513</v>
      </c>
      <c r="AD579" t="str">
        <f t="shared" si="104"/>
        <v>424</v>
      </c>
      <c r="AE579">
        <f t="shared" si="105"/>
        <v>0</v>
      </c>
      <c r="AG579" s="50" t="str">
        <f t="shared" si="106"/>
        <v>La Chèvrerie : Gains immobiliers patrimoine financer</v>
      </c>
      <c r="AH579" s="244" t="str">
        <f t="shared" si="107"/>
        <v>-</v>
      </c>
      <c r="AI579" s="219"/>
      <c r="AJ579" s="219"/>
      <c r="AK579" s="219" t="str">
        <f t="shared" si="108"/>
        <v>-</v>
      </c>
      <c r="AL579" s="244" t="str">
        <f t="shared" si="109"/>
        <v>-</v>
      </c>
      <c r="AN579" s="219" t="str">
        <f t="shared" si="110"/>
        <v>-</v>
      </c>
    </row>
    <row r="580" spans="1:40" ht="15" customHeight="1" x14ac:dyDescent="0.3">
      <c r="A580" s="48">
        <v>0</v>
      </c>
      <c r="B580" s="49" t="s">
        <v>889</v>
      </c>
      <c r="C580" s="50" t="s">
        <v>890</v>
      </c>
      <c r="D580" s="46" t="s">
        <v>1459</v>
      </c>
      <c r="E580" s="46" t="s">
        <v>874</v>
      </c>
      <c r="F580" s="46">
        <v>3513</v>
      </c>
      <c r="G580" s="46" t="s">
        <v>64</v>
      </c>
      <c r="H580" s="46"/>
      <c r="I580" s="51">
        <v>0</v>
      </c>
      <c r="J580" s="51">
        <v>0</v>
      </c>
      <c r="K580" s="51">
        <f t="shared" si="113"/>
        <v>0</v>
      </c>
      <c r="L580" s="51">
        <v>0</v>
      </c>
      <c r="M580" s="51">
        <v>0</v>
      </c>
      <c r="N580" s="51">
        <f t="shared" si="114"/>
        <v>0</v>
      </c>
      <c r="O580" s="51">
        <v>0</v>
      </c>
      <c r="P580" s="179" t="s">
        <v>1489</v>
      </c>
      <c r="Q580" s="179" t="s">
        <v>1489</v>
      </c>
      <c r="R580" s="179" t="s">
        <v>1489</v>
      </c>
      <c r="S580" s="47" t="s">
        <v>1489</v>
      </c>
      <c r="T580" s="54"/>
      <c r="U580" s="54"/>
      <c r="AA580">
        <f t="shared" ref="AA580:AA643" si="115">+F580</f>
        <v>3513</v>
      </c>
      <c r="AD580" t="str">
        <f t="shared" ref="AD580:AD643" si="116">+G580</f>
        <v>480</v>
      </c>
      <c r="AE580">
        <f t="shared" ref="AE580:AE643" si="117">+H580</f>
        <v>0</v>
      </c>
      <c r="AG580" s="50" t="str">
        <f t="shared" ref="AG580:AG643" si="118">+C580</f>
        <v>La Chèvrerie :  Prélèvement fonds rés. Travaux futurs (9282.1)</v>
      </c>
      <c r="AH580" s="244" t="str">
        <f t="shared" ref="AH580:AH643" si="119">+P580</f>
        <v>-</v>
      </c>
      <c r="AI580" s="219"/>
      <c r="AJ580" s="219"/>
      <c r="AK580" s="219" t="str">
        <f t="shared" ref="AK580:AK643" si="120">+Q580</f>
        <v>-</v>
      </c>
      <c r="AL580" s="244" t="str">
        <f t="shared" ref="AL580:AL643" si="121">+R580</f>
        <v>-</v>
      </c>
      <c r="AN580" s="219" t="str">
        <f t="shared" ref="AN580:AN643" si="122">+S580</f>
        <v>-</v>
      </c>
    </row>
    <row r="581" spans="1:40" ht="15" customHeight="1" x14ac:dyDescent="0.3">
      <c r="A581" s="48">
        <v>0</v>
      </c>
      <c r="B581" s="49" t="s">
        <v>892</v>
      </c>
      <c r="C581" s="50" t="s">
        <v>893</v>
      </c>
      <c r="D581" s="46" t="s">
        <v>1459</v>
      </c>
      <c r="E581" s="46" t="s">
        <v>891</v>
      </c>
      <c r="F581" s="46">
        <v>3514</v>
      </c>
      <c r="G581" s="46" t="s">
        <v>159</v>
      </c>
      <c r="H581" s="46"/>
      <c r="I581" s="51">
        <v>221.95</v>
      </c>
      <c r="J581" s="51">
        <v>0</v>
      </c>
      <c r="K581" s="51">
        <f t="shared" si="113"/>
        <v>221.95</v>
      </c>
      <c r="L581" s="51">
        <v>0</v>
      </c>
      <c r="M581" s="51">
        <v>0</v>
      </c>
      <c r="N581" s="51">
        <f t="shared" si="114"/>
        <v>0</v>
      </c>
      <c r="O581" s="51">
        <v>0</v>
      </c>
      <c r="P581" s="179" t="s">
        <v>1811</v>
      </c>
      <c r="Q581" s="179" t="s">
        <v>1504</v>
      </c>
      <c r="R581" s="179" t="s">
        <v>2133</v>
      </c>
      <c r="S581" s="66" t="s">
        <v>2240</v>
      </c>
      <c r="T581" s="54">
        <f>+I581</f>
        <v>221.95</v>
      </c>
      <c r="U581" s="54"/>
      <c r="AA581">
        <f t="shared" si="115"/>
        <v>3514</v>
      </c>
      <c r="AD581" t="str">
        <f t="shared" si="116"/>
        <v>312</v>
      </c>
      <c r="AE581">
        <f t="shared" si="117"/>
        <v>0</v>
      </c>
      <c r="AG581" s="50" t="str">
        <f t="shared" si="118"/>
        <v>Gare 5 Combustible</v>
      </c>
      <c r="AH581" s="244" t="str">
        <f t="shared" si="119"/>
        <v>96308</v>
      </c>
      <c r="AI581" s="219"/>
      <c r="AJ581" s="219"/>
      <c r="AK581" s="219" t="str">
        <f t="shared" si="120"/>
        <v>3439</v>
      </c>
      <c r="AL581" s="244" t="str">
        <f t="shared" si="121"/>
        <v>02</v>
      </c>
      <c r="AN581" s="219" t="str">
        <f t="shared" si="122"/>
        <v>Autres charges de biens-fonds PF | Bât Pharmacie / Gare 5 | Electricité</v>
      </c>
    </row>
    <row r="582" spans="1:40" ht="15" customHeight="1" x14ac:dyDescent="0.3">
      <c r="A582" s="48">
        <v>0</v>
      </c>
      <c r="B582" s="49" t="s">
        <v>894</v>
      </c>
      <c r="C582" s="50" t="s">
        <v>895</v>
      </c>
      <c r="D582" s="46" t="s">
        <v>1459</v>
      </c>
      <c r="E582" s="46" t="s">
        <v>891</v>
      </c>
      <c r="F582" s="46">
        <v>3514</v>
      </c>
      <c r="G582" s="46" t="s">
        <v>159</v>
      </c>
      <c r="H582" s="46">
        <v>2</v>
      </c>
      <c r="I582" s="51">
        <v>101.05</v>
      </c>
      <c r="J582" s="51">
        <v>0</v>
      </c>
      <c r="K582" s="51">
        <f t="shared" ref="K582:K613" si="123">+I582+J582</f>
        <v>101.05</v>
      </c>
      <c r="L582" s="51">
        <v>0</v>
      </c>
      <c r="M582" s="51">
        <v>0</v>
      </c>
      <c r="N582" s="51">
        <f t="shared" si="114"/>
        <v>0</v>
      </c>
      <c r="O582" s="51">
        <v>0</v>
      </c>
      <c r="P582" s="179" t="s">
        <v>1811</v>
      </c>
      <c r="Q582" s="179" t="s">
        <v>1504</v>
      </c>
      <c r="R582" s="179" t="s">
        <v>2133</v>
      </c>
      <c r="S582" s="66" t="s">
        <v>2240</v>
      </c>
      <c r="T582" s="54">
        <f>+I582</f>
        <v>101.05</v>
      </c>
      <c r="U582" s="54"/>
      <c r="AA582">
        <f t="shared" si="115"/>
        <v>3514</v>
      </c>
      <c r="AD582" t="str">
        <f t="shared" si="116"/>
        <v>312</v>
      </c>
      <c r="AE582">
        <f t="shared" si="117"/>
        <v>2</v>
      </c>
      <c r="AG582" s="50" t="str">
        <f t="shared" si="118"/>
        <v>Electricité Rte de la Gare 5</v>
      </c>
      <c r="AH582" s="244" t="str">
        <f t="shared" si="119"/>
        <v>96308</v>
      </c>
      <c r="AI582" s="219"/>
      <c r="AJ582" s="219"/>
      <c r="AK582" s="219" t="str">
        <f t="shared" si="120"/>
        <v>3439</v>
      </c>
      <c r="AL582" s="244" t="str">
        <f t="shared" si="121"/>
        <v>02</v>
      </c>
      <c r="AN582" s="219" t="str">
        <f t="shared" si="122"/>
        <v>Autres charges de biens-fonds PF | Bât Pharmacie / Gare 5 | Electricité</v>
      </c>
    </row>
    <row r="583" spans="1:40" ht="15" customHeight="1" x14ac:dyDescent="0.3">
      <c r="A583" s="48">
        <v>0</v>
      </c>
      <c r="B583" s="49" t="s">
        <v>896</v>
      </c>
      <c r="C583" s="50" t="s">
        <v>897</v>
      </c>
      <c r="D583" s="46" t="s">
        <v>1459</v>
      </c>
      <c r="E583" s="46" t="s">
        <v>891</v>
      </c>
      <c r="F583" s="46">
        <v>3514</v>
      </c>
      <c r="G583" s="46" t="s">
        <v>131</v>
      </c>
      <c r="H583" s="46"/>
      <c r="I583" s="51">
        <v>605.45000000000005</v>
      </c>
      <c r="J583" s="51">
        <v>0</v>
      </c>
      <c r="K583" s="51">
        <f t="shared" si="123"/>
        <v>605.45000000000005</v>
      </c>
      <c r="L583" s="51">
        <v>0</v>
      </c>
      <c r="M583" s="51">
        <v>0</v>
      </c>
      <c r="N583" s="51">
        <f t="shared" si="114"/>
        <v>0</v>
      </c>
      <c r="O583" s="51">
        <v>0</v>
      </c>
      <c r="P583" s="179" t="s">
        <v>1811</v>
      </c>
      <c r="Q583" s="179" t="s">
        <v>1812</v>
      </c>
      <c r="R583" s="179" t="s">
        <v>2131</v>
      </c>
      <c r="S583" s="49" t="s">
        <v>2245</v>
      </c>
      <c r="T583" s="54">
        <f>+I583</f>
        <v>605.45000000000005</v>
      </c>
      <c r="U583" s="54"/>
      <c r="AA583">
        <f t="shared" si="115"/>
        <v>3514</v>
      </c>
      <c r="AD583" t="str">
        <f t="shared" si="116"/>
        <v>314</v>
      </c>
      <c r="AE583">
        <f t="shared" si="117"/>
        <v>0</v>
      </c>
      <c r="AG583" s="50" t="str">
        <f t="shared" si="118"/>
        <v>Gare 5 entretien</v>
      </c>
      <c r="AH583" s="244" t="str">
        <f t="shared" si="119"/>
        <v>96308</v>
      </c>
      <c r="AI583" s="219"/>
      <c r="AJ583" s="219"/>
      <c r="AK583" s="219" t="str">
        <f t="shared" si="120"/>
        <v>3431</v>
      </c>
      <c r="AL583" s="244" t="str">
        <f t="shared" si="121"/>
        <v>00</v>
      </c>
      <c r="AN583" s="219" t="str">
        <f t="shared" si="122"/>
        <v xml:space="preserve">Entretien courant, biens-fonds PF | Bât Pharmacie / Gare 5 | </v>
      </c>
    </row>
    <row r="584" spans="1:40" ht="15" customHeight="1" x14ac:dyDescent="0.3">
      <c r="A584" s="48">
        <v>0</v>
      </c>
      <c r="B584" s="74" t="s">
        <v>898</v>
      </c>
      <c r="C584" s="67" t="s">
        <v>899</v>
      </c>
      <c r="D584" s="188" t="s">
        <v>1459</v>
      </c>
      <c r="E584" s="188" t="s">
        <v>891</v>
      </c>
      <c r="F584" s="46">
        <v>3514</v>
      </c>
      <c r="G584" s="188" t="s">
        <v>131</v>
      </c>
      <c r="H584" s="188">
        <v>2</v>
      </c>
      <c r="I584" s="51">
        <v>775.5</v>
      </c>
      <c r="J584" s="51">
        <v>0</v>
      </c>
      <c r="K584" s="51">
        <f t="shared" si="123"/>
        <v>775.5</v>
      </c>
      <c r="L584" s="51">
        <v>0</v>
      </c>
      <c r="M584" s="51">
        <v>0</v>
      </c>
      <c r="N584" s="51">
        <f t="shared" si="114"/>
        <v>0</v>
      </c>
      <c r="O584" s="51">
        <v>0</v>
      </c>
      <c r="P584" s="179" t="s">
        <v>1811</v>
      </c>
      <c r="Q584" s="179" t="s">
        <v>1812</v>
      </c>
      <c r="R584" s="179" t="s">
        <v>2131</v>
      </c>
      <c r="S584" s="49" t="s">
        <v>2245</v>
      </c>
      <c r="T584" s="54">
        <f>+I584</f>
        <v>775.5</v>
      </c>
      <c r="U584" s="54"/>
      <c r="AA584">
        <f t="shared" si="115"/>
        <v>3514</v>
      </c>
      <c r="AD584" t="str">
        <f t="shared" si="116"/>
        <v>314</v>
      </c>
      <c r="AE584">
        <f t="shared" si="117"/>
        <v>2</v>
      </c>
      <c r="AG584" s="50" t="str">
        <f t="shared" si="118"/>
        <v>Gare 5 charges Régie SPG - VALAUR SA</v>
      </c>
      <c r="AH584" s="244" t="str">
        <f t="shared" si="119"/>
        <v>96308</v>
      </c>
      <c r="AI584" s="219"/>
      <c r="AJ584" s="219"/>
      <c r="AK584" s="219" t="str">
        <f t="shared" si="120"/>
        <v>3431</v>
      </c>
      <c r="AL584" s="244" t="str">
        <f t="shared" si="121"/>
        <v>00</v>
      </c>
      <c r="AN584" s="219" t="str">
        <f t="shared" si="122"/>
        <v xml:space="preserve">Entretien courant, biens-fonds PF | Bât Pharmacie / Gare 5 | </v>
      </c>
    </row>
    <row r="585" spans="1:40" ht="15" customHeight="1" x14ac:dyDescent="0.3">
      <c r="A585" s="48"/>
      <c r="B585" s="74" t="s">
        <v>898</v>
      </c>
      <c r="C585" s="67" t="s">
        <v>899</v>
      </c>
      <c r="D585" s="188" t="s">
        <v>1459</v>
      </c>
      <c r="E585" s="188" t="s">
        <v>891</v>
      </c>
      <c r="F585" s="46">
        <v>3514</v>
      </c>
      <c r="G585" s="188" t="s">
        <v>131</v>
      </c>
      <c r="H585" s="188">
        <v>2</v>
      </c>
      <c r="I585" s="51"/>
      <c r="J585" s="51"/>
      <c r="K585" s="51">
        <f t="shared" si="123"/>
        <v>0</v>
      </c>
      <c r="L585" s="51"/>
      <c r="M585" s="51"/>
      <c r="N585" s="51">
        <f t="shared" si="114"/>
        <v>0</v>
      </c>
      <c r="O585" s="51"/>
      <c r="P585" s="179" t="s">
        <v>1811</v>
      </c>
      <c r="Q585" s="179" t="s">
        <v>1504</v>
      </c>
      <c r="R585" s="179" t="s">
        <v>2132</v>
      </c>
      <c r="S585" s="66" t="s">
        <v>2241</v>
      </c>
      <c r="T585" s="54"/>
      <c r="U585" s="54"/>
      <c r="AA585">
        <f t="shared" si="115"/>
        <v>3514</v>
      </c>
      <c r="AD585" t="str">
        <f t="shared" si="116"/>
        <v>314</v>
      </c>
      <c r="AE585">
        <f t="shared" si="117"/>
        <v>2</v>
      </c>
      <c r="AG585" s="50" t="str">
        <f t="shared" si="118"/>
        <v>Gare 5 charges Régie SPG - VALAUR SA</v>
      </c>
      <c r="AH585" s="244" t="str">
        <f t="shared" si="119"/>
        <v>96308</v>
      </c>
      <c r="AI585" s="219"/>
      <c r="AJ585" s="219"/>
      <c r="AK585" s="219" t="str">
        <f t="shared" si="120"/>
        <v>3439</v>
      </c>
      <c r="AL585" s="244" t="str">
        <f t="shared" si="121"/>
        <v>01</v>
      </c>
      <c r="AN585" s="219" t="str">
        <f t="shared" si="122"/>
        <v>Autres charges de biens-fonds PF | Bât Pharmacie / Gare 5 | Eau</v>
      </c>
    </row>
    <row r="586" spans="1:40" ht="15" customHeight="1" x14ac:dyDescent="0.3">
      <c r="A586" s="48"/>
      <c r="B586" s="74" t="s">
        <v>898</v>
      </c>
      <c r="C586" s="67" t="s">
        <v>899</v>
      </c>
      <c r="D586" s="188" t="s">
        <v>1459</v>
      </c>
      <c r="E586" s="188" t="s">
        <v>891</v>
      </c>
      <c r="F586" s="46">
        <v>3514</v>
      </c>
      <c r="G586" s="188" t="s">
        <v>131</v>
      </c>
      <c r="H586" s="188">
        <v>2</v>
      </c>
      <c r="I586" s="51"/>
      <c r="J586" s="51"/>
      <c r="K586" s="51">
        <f t="shared" si="123"/>
        <v>0</v>
      </c>
      <c r="L586" s="51"/>
      <c r="M586" s="51"/>
      <c r="N586" s="51">
        <f t="shared" si="114"/>
        <v>0</v>
      </c>
      <c r="O586" s="51"/>
      <c r="P586" s="179" t="s">
        <v>1811</v>
      </c>
      <c r="Q586" s="179" t="s">
        <v>1504</v>
      </c>
      <c r="R586" s="179" t="s">
        <v>2134</v>
      </c>
      <c r="S586" s="66" t="s">
        <v>2242</v>
      </c>
      <c r="T586" s="54"/>
      <c r="U586" s="54"/>
      <c r="AA586">
        <f t="shared" si="115"/>
        <v>3514</v>
      </c>
      <c r="AD586" t="str">
        <f t="shared" si="116"/>
        <v>314</v>
      </c>
      <c r="AE586">
        <f t="shared" si="117"/>
        <v>2</v>
      </c>
      <c r="AG586" s="50" t="str">
        <f t="shared" si="118"/>
        <v>Gare 5 charges Régie SPG - VALAUR SA</v>
      </c>
      <c r="AH586" s="244" t="str">
        <f t="shared" si="119"/>
        <v>96308</v>
      </c>
      <c r="AI586" s="219"/>
      <c r="AJ586" s="219"/>
      <c r="AK586" s="219" t="str">
        <f t="shared" si="120"/>
        <v>3439</v>
      </c>
      <c r="AL586" s="244" t="str">
        <f t="shared" si="121"/>
        <v>03</v>
      </c>
      <c r="AN586" s="219" t="str">
        <f t="shared" si="122"/>
        <v>Autres charges de biens-fonds PF | Bât Pharmacie / Gare 5 | Chauffage</v>
      </c>
    </row>
    <row r="587" spans="1:40" ht="15" customHeight="1" x14ac:dyDescent="0.3">
      <c r="A587" s="48"/>
      <c r="B587" s="74" t="s">
        <v>898</v>
      </c>
      <c r="C587" s="67" t="s">
        <v>899</v>
      </c>
      <c r="D587" s="188" t="s">
        <v>1459</v>
      </c>
      <c r="E587" s="188" t="s">
        <v>891</v>
      </c>
      <c r="F587" s="46">
        <v>3514</v>
      </c>
      <c r="G587" s="188" t="s">
        <v>131</v>
      </c>
      <c r="H587" s="188">
        <v>2</v>
      </c>
      <c r="I587" s="51"/>
      <c r="J587" s="51"/>
      <c r="K587" s="51">
        <f t="shared" si="123"/>
        <v>0</v>
      </c>
      <c r="L587" s="51"/>
      <c r="M587" s="51"/>
      <c r="N587" s="51">
        <f t="shared" si="114"/>
        <v>0</v>
      </c>
      <c r="O587" s="51"/>
      <c r="P587" s="179" t="s">
        <v>1811</v>
      </c>
      <c r="Q587" s="179" t="s">
        <v>1504</v>
      </c>
      <c r="R587" s="179" t="s">
        <v>2135</v>
      </c>
      <c r="S587" s="66" t="s">
        <v>2243</v>
      </c>
      <c r="T587" s="54"/>
      <c r="U587" s="54"/>
      <c r="AA587">
        <f t="shared" si="115"/>
        <v>3514</v>
      </c>
      <c r="AD587" t="str">
        <f t="shared" si="116"/>
        <v>314</v>
      </c>
      <c r="AE587">
        <f t="shared" si="117"/>
        <v>2</v>
      </c>
      <c r="AG587" s="50" t="str">
        <f t="shared" si="118"/>
        <v>Gare 5 charges Régie SPG - VALAUR SA</v>
      </c>
      <c r="AH587" s="244" t="str">
        <f t="shared" si="119"/>
        <v>96308</v>
      </c>
      <c r="AI587" s="219"/>
      <c r="AJ587" s="219"/>
      <c r="AK587" s="219" t="str">
        <f t="shared" si="120"/>
        <v>3439</v>
      </c>
      <c r="AL587" s="244" t="str">
        <f t="shared" si="121"/>
        <v>04</v>
      </c>
      <c r="AN587" s="219" t="str">
        <f t="shared" si="122"/>
        <v>Autres charges de biens-fonds PF | Bât Pharmacie / Gare 5 | Frais de gérance</v>
      </c>
    </row>
    <row r="588" spans="1:40" ht="15" customHeight="1" x14ac:dyDescent="0.3">
      <c r="A588" s="48"/>
      <c r="B588" s="74" t="s">
        <v>898</v>
      </c>
      <c r="C588" s="67" t="s">
        <v>899</v>
      </c>
      <c r="D588" s="188" t="s">
        <v>1459</v>
      </c>
      <c r="E588" s="188" t="s">
        <v>891</v>
      </c>
      <c r="F588" s="46">
        <v>3514</v>
      </c>
      <c r="G588" s="188" t="s">
        <v>131</v>
      </c>
      <c r="H588" s="188">
        <v>2</v>
      </c>
      <c r="I588" s="51"/>
      <c r="J588" s="51"/>
      <c r="K588" s="51">
        <f t="shared" si="123"/>
        <v>0</v>
      </c>
      <c r="L588" s="51"/>
      <c r="M588" s="51"/>
      <c r="N588" s="51">
        <f t="shared" si="114"/>
        <v>0</v>
      </c>
      <c r="O588" s="51"/>
      <c r="P588" s="179" t="s">
        <v>1811</v>
      </c>
      <c r="Q588" s="179" t="s">
        <v>1822</v>
      </c>
      <c r="R588" s="179" t="s">
        <v>2131</v>
      </c>
      <c r="S588" s="49" t="s">
        <v>2246</v>
      </c>
      <c r="T588" s="54"/>
      <c r="U588" s="54"/>
      <c r="AA588">
        <f t="shared" si="115"/>
        <v>3514</v>
      </c>
      <c r="AD588" t="str">
        <f t="shared" si="116"/>
        <v>314</v>
      </c>
      <c r="AE588">
        <f t="shared" si="117"/>
        <v>2</v>
      </c>
      <c r="AG588" s="50" t="str">
        <f t="shared" si="118"/>
        <v>Gare 5 charges Régie SPG - VALAUR SA</v>
      </c>
      <c r="AH588" s="244" t="str">
        <f t="shared" si="119"/>
        <v>96308</v>
      </c>
      <c r="AI588" s="219"/>
      <c r="AJ588" s="219"/>
      <c r="AK588" s="219" t="str">
        <f t="shared" si="120"/>
        <v>3430</v>
      </c>
      <c r="AL588" s="244" t="str">
        <f t="shared" si="121"/>
        <v>00</v>
      </c>
      <c r="AN588" s="219" t="str">
        <f t="shared" si="122"/>
        <v xml:space="preserve">Tavaux Ponctuels, biens-fonds PF | Bât Pharmacie / Gare 5 | </v>
      </c>
    </row>
    <row r="589" spans="1:40" ht="15" customHeight="1" x14ac:dyDescent="0.3">
      <c r="A589" s="48">
        <v>0</v>
      </c>
      <c r="B589" s="49" t="s">
        <v>900</v>
      </c>
      <c r="C589" s="50" t="s">
        <v>901</v>
      </c>
      <c r="D589" s="46" t="s">
        <v>1459</v>
      </c>
      <c r="E589" s="46" t="s">
        <v>891</v>
      </c>
      <c r="F589" s="46">
        <v>3514</v>
      </c>
      <c r="G589" s="46" t="s">
        <v>123</v>
      </c>
      <c r="H589" s="46"/>
      <c r="I589" s="51">
        <v>172.95</v>
      </c>
      <c r="J589" s="51">
        <v>0</v>
      </c>
      <c r="K589" s="51">
        <f t="shared" si="123"/>
        <v>172.95</v>
      </c>
      <c r="L589" s="51">
        <v>0</v>
      </c>
      <c r="M589" s="51">
        <v>0</v>
      </c>
      <c r="N589" s="51">
        <f t="shared" si="114"/>
        <v>0</v>
      </c>
      <c r="O589" s="51">
        <v>0</v>
      </c>
      <c r="P589" s="179" t="s">
        <v>1811</v>
      </c>
      <c r="Q589" s="179" t="s">
        <v>1812</v>
      </c>
      <c r="R589" s="179" t="s">
        <v>2131</v>
      </c>
      <c r="S589" s="49" t="s">
        <v>2245</v>
      </c>
      <c r="T589" s="54">
        <f>+I589</f>
        <v>172.95</v>
      </c>
      <c r="U589" s="54"/>
      <c r="AA589">
        <f t="shared" si="115"/>
        <v>3514</v>
      </c>
      <c r="AD589" t="str">
        <f t="shared" si="116"/>
        <v>315</v>
      </c>
      <c r="AE589">
        <f t="shared" si="117"/>
        <v>0</v>
      </c>
      <c r="AG589" s="50" t="str">
        <f t="shared" si="118"/>
        <v>Gare 5_Entretien mobilier et installation</v>
      </c>
      <c r="AH589" s="244" t="str">
        <f t="shared" si="119"/>
        <v>96308</v>
      </c>
      <c r="AI589" s="219"/>
      <c r="AJ589" s="219"/>
      <c r="AK589" s="219" t="str">
        <f t="shared" si="120"/>
        <v>3431</v>
      </c>
      <c r="AL589" s="244" t="str">
        <f t="shared" si="121"/>
        <v>00</v>
      </c>
      <c r="AN589" s="219" t="str">
        <f t="shared" si="122"/>
        <v xml:space="preserve">Entretien courant, biens-fonds PF | Bât Pharmacie / Gare 5 | </v>
      </c>
    </row>
    <row r="590" spans="1:40" ht="15" customHeight="1" x14ac:dyDescent="0.3">
      <c r="A590" s="48">
        <v>0</v>
      </c>
      <c r="B590" s="49" t="s">
        <v>902</v>
      </c>
      <c r="C590" s="50" t="s">
        <v>903</v>
      </c>
      <c r="D590" s="46" t="s">
        <v>1459</v>
      </c>
      <c r="E590" s="46" t="s">
        <v>891</v>
      </c>
      <c r="F590" s="46">
        <v>3514</v>
      </c>
      <c r="G590" s="46" t="s">
        <v>48</v>
      </c>
      <c r="H590" s="46"/>
      <c r="I590" s="51">
        <v>657.8</v>
      </c>
      <c r="J590" s="51">
        <v>0</v>
      </c>
      <c r="K590" s="51">
        <f t="shared" si="123"/>
        <v>657.8</v>
      </c>
      <c r="L590" s="51">
        <v>0</v>
      </c>
      <c r="M590" s="51">
        <v>0</v>
      </c>
      <c r="N590" s="51">
        <f t="shared" si="114"/>
        <v>0</v>
      </c>
      <c r="O590" s="51">
        <v>0</v>
      </c>
      <c r="P590" s="179" t="s">
        <v>1811</v>
      </c>
      <c r="Q590" s="179" t="s">
        <v>1504</v>
      </c>
      <c r="R590" s="179" t="s">
        <v>2131</v>
      </c>
      <c r="S590" s="49" t="s">
        <v>2244</v>
      </c>
      <c r="T590" s="54">
        <f>+I590</f>
        <v>657.8</v>
      </c>
      <c r="U590" s="54"/>
      <c r="AA590">
        <f t="shared" si="115"/>
        <v>3514</v>
      </c>
      <c r="AD590" t="str">
        <f t="shared" si="116"/>
        <v>318</v>
      </c>
      <c r="AE590">
        <f t="shared" si="117"/>
        <v>0</v>
      </c>
      <c r="AG590" s="50" t="str">
        <f t="shared" si="118"/>
        <v>Gare 5 Assurances et honoraires</v>
      </c>
      <c r="AH590" s="244" t="str">
        <f t="shared" si="119"/>
        <v>96308</v>
      </c>
      <c r="AI590" s="219"/>
      <c r="AJ590" s="219"/>
      <c r="AK590" s="219" t="str">
        <f t="shared" si="120"/>
        <v>3439</v>
      </c>
      <c r="AL590" s="244" t="str">
        <f t="shared" si="121"/>
        <v>00</v>
      </c>
      <c r="AN590" s="219" t="str">
        <f t="shared" si="122"/>
        <v>Autres charges de biens-fonds PF | Bât Pharmacie / Gare 5 | Assurances</v>
      </c>
    </row>
    <row r="591" spans="1:40" ht="15" customHeight="1" x14ac:dyDescent="0.3">
      <c r="A591" s="48">
        <v>0</v>
      </c>
      <c r="B591" s="49" t="s">
        <v>904</v>
      </c>
      <c r="C591" s="50" t="s">
        <v>905</v>
      </c>
      <c r="D591" s="46" t="s">
        <v>1459</v>
      </c>
      <c r="E591" s="46" t="s">
        <v>891</v>
      </c>
      <c r="F591" s="46">
        <v>3514</v>
      </c>
      <c r="G591" s="46" t="s">
        <v>53</v>
      </c>
      <c r="H591" s="46"/>
      <c r="I591" s="51">
        <v>94641.85</v>
      </c>
      <c r="J591" s="51">
        <v>0</v>
      </c>
      <c r="K591" s="51">
        <f t="shared" si="123"/>
        <v>94641.85</v>
      </c>
      <c r="L591" s="51">
        <v>0</v>
      </c>
      <c r="M591" s="51">
        <v>0</v>
      </c>
      <c r="N591" s="51">
        <f t="shared" si="114"/>
        <v>0</v>
      </c>
      <c r="O591" s="51">
        <v>0</v>
      </c>
      <c r="P591" s="179" t="s">
        <v>1811</v>
      </c>
      <c r="Q591" s="179">
        <v>3441</v>
      </c>
      <c r="R591" s="179" t="s">
        <v>2139</v>
      </c>
      <c r="S591" s="47" t="s">
        <v>2249</v>
      </c>
      <c r="T591" s="54">
        <f>+I591</f>
        <v>94641.85</v>
      </c>
      <c r="U591" s="54"/>
      <c r="W591" t="s">
        <v>2164</v>
      </c>
      <c r="AA591">
        <f t="shared" si="115"/>
        <v>3514</v>
      </c>
      <c r="AD591" t="str">
        <f t="shared" si="116"/>
        <v>330</v>
      </c>
      <c r="AE591">
        <f t="shared" si="117"/>
        <v>0</v>
      </c>
      <c r="AG591" s="50" t="str">
        <f t="shared" si="118"/>
        <v>Amortissement Av. de la Gare (PA)</v>
      </c>
      <c r="AH591" s="244" t="str">
        <f t="shared" si="119"/>
        <v>96308</v>
      </c>
      <c r="AI591" s="219"/>
      <c r="AJ591" s="219"/>
      <c r="AK591" s="219">
        <f t="shared" si="120"/>
        <v>3441</v>
      </c>
      <c r="AL591" s="244" t="str">
        <f t="shared" si="121"/>
        <v>09</v>
      </c>
      <c r="AN591" s="219" t="str">
        <f t="shared" si="122"/>
        <v>Amortissements non planifiés des immobilisations corporelles PF  | Bât Pharmacie / Gare 5 | Assurances</v>
      </c>
    </row>
    <row r="592" spans="1:40" ht="15" customHeight="1" x14ac:dyDescent="0.3">
      <c r="A592" s="48">
        <v>0</v>
      </c>
      <c r="B592" s="49" t="s">
        <v>906</v>
      </c>
      <c r="C592" s="50" t="s">
        <v>907</v>
      </c>
      <c r="D592" s="46" t="s">
        <v>1459</v>
      </c>
      <c r="E592" s="46" t="s">
        <v>891</v>
      </c>
      <c r="F592" s="46">
        <v>3514</v>
      </c>
      <c r="G592" s="46" t="s">
        <v>6</v>
      </c>
      <c r="H592" s="46"/>
      <c r="I592" s="51">
        <v>0</v>
      </c>
      <c r="J592" s="51">
        <v>0</v>
      </c>
      <c r="K592" s="51">
        <f t="shared" si="123"/>
        <v>0</v>
      </c>
      <c r="L592" s="51">
        <v>0</v>
      </c>
      <c r="M592" s="51">
        <v>0</v>
      </c>
      <c r="N592" s="51">
        <f t="shared" si="114"/>
        <v>0</v>
      </c>
      <c r="O592" s="51">
        <v>0</v>
      </c>
      <c r="P592" s="179" t="s">
        <v>1489</v>
      </c>
      <c r="Q592" s="179"/>
      <c r="R592" s="179" t="s">
        <v>1489</v>
      </c>
      <c r="S592" s="47" t="s">
        <v>1489</v>
      </c>
      <c r="T592" s="54"/>
      <c r="U592" s="54"/>
      <c r="AA592">
        <f t="shared" si="115"/>
        <v>3514</v>
      </c>
      <c r="AD592" t="str">
        <f t="shared" si="116"/>
        <v>380</v>
      </c>
      <c r="AE592">
        <f t="shared" si="117"/>
        <v>0</v>
      </c>
      <c r="AG592" s="50" t="str">
        <f t="shared" si="118"/>
        <v>Gare 5 attrib fonds de rénovation</v>
      </c>
      <c r="AH592" s="244" t="str">
        <f t="shared" si="119"/>
        <v>-</v>
      </c>
      <c r="AI592" s="219"/>
      <c r="AJ592" s="219"/>
      <c r="AK592" s="219">
        <f t="shared" si="120"/>
        <v>0</v>
      </c>
      <c r="AL592" s="244" t="str">
        <f t="shared" si="121"/>
        <v>-</v>
      </c>
      <c r="AN592" s="219" t="str">
        <f t="shared" si="122"/>
        <v>-</v>
      </c>
    </row>
    <row r="593" spans="1:40" ht="15" customHeight="1" x14ac:dyDescent="0.3">
      <c r="A593" s="48">
        <v>0</v>
      </c>
      <c r="B593" s="49" t="s">
        <v>908</v>
      </c>
      <c r="C593" s="50" t="s">
        <v>909</v>
      </c>
      <c r="D593" s="46" t="s">
        <v>1459</v>
      </c>
      <c r="E593" s="46" t="s">
        <v>891</v>
      </c>
      <c r="F593" s="46">
        <v>3514</v>
      </c>
      <c r="G593" s="46" t="s">
        <v>326</v>
      </c>
      <c r="H593" s="46"/>
      <c r="I593" s="51">
        <v>0</v>
      </c>
      <c r="J593" s="51">
        <v>0</v>
      </c>
      <c r="K593" s="51">
        <f t="shared" si="123"/>
        <v>0</v>
      </c>
      <c r="L593" s="51">
        <v>0</v>
      </c>
      <c r="M593" s="51">
        <v>0</v>
      </c>
      <c r="N593" s="51">
        <f t="shared" ref="N593:N624" si="124">+L593+M593</f>
        <v>0</v>
      </c>
      <c r="O593" s="51">
        <v>0</v>
      </c>
      <c r="P593" s="179" t="s">
        <v>1489</v>
      </c>
      <c r="Q593" s="179" t="s">
        <v>1489</v>
      </c>
      <c r="R593" s="179" t="s">
        <v>1489</v>
      </c>
      <c r="S593" s="47" t="s">
        <v>1489</v>
      </c>
      <c r="T593" s="54"/>
      <c r="U593" s="54"/>
      <c r="AA593">
        <f t="shared" si="115"/>
        <v>3514</v>
      </c>
      <c r="AD593" t="str">
        <f t="shared" si="116"/>
        <v>423</v>
      </c>
      <c r="AE593">
        <f t="shared" si="117"/>
        <v>0</v>
      </c>
      <c r="AG593" s="50" t="str">
        <f t="shared" si="118"/>
        <v>Gare 5 Loyers Rytz</v>
      </c>
      <c r="AH593" s="244" t="str">
        <f t="shared" si="119"/>
        <v>-</v>
      </c>
      <c r="AI593" s="219"/>
      <c r="AJ593" s="219"/>
      <c r="AK593" s="219" t="str">
        <f t="shared" si="120"/>
        <v>-</v>
      </c>
      <c r="AL593" s="244" t="str">
        <f t="shared" si="121"/>
        <v>-</v>
      </c>
      <c r="AN593" s="219" t="str">
        <f t="shared" si="122"/>
        <v>-</v>
      </c>
    </row>
    <row r="594" spans="1:40" ht="15" customHeight="1" x14ac:dyDescent="0.3">
      <c r="A594" s="48">
        <v>0</v>
      </c>
      <c r="B594" s="49" t="s">
        <v>910</v>
      </c>
      <c r="C594" s="50" t="s">
        <v>911</v>
      </c>
      <c r="D594" s="46" t="s">
        <v>1459</v>
      </c>
      <c r="E594" s="46" t="s">
        <v>891</v>
      </c>
      <c r="F594" s="46">
        <v>3514</v>
      </c>
      <c r="G594" s="46" t="s">
        <v>335</v>
      </c>
      <c r="H594" s="46">
        <v>2</v>
      </c>
      <c r="I594" s="51">
        <v>0</v>
      </c>
      <c r="J594" s="51">
        <v>-28510</v>
      </c>
      <c r="K594" s="51">
        <f t="shared" si="123"/>
        <v>-28510</v>
      </c>
      <c r="L594" s="51">
        <v>0</v>
      </c>
      <c r="M594" s="51">
        <v>0</v>
      </c>
      <c r="N594" s="51">
        <f t="shared" si="124"/>
        <v>0</v>
      </c>
      <c r="O594" s="51">
        <v>0</v>
      </c>
      <c r="P594" s="179" t="s">
        <v>1811</v>
      </c>
      <c r="Q594" s="179" t="s">
        <v>1813</v>
      </c>
      <c r="R594" s="179" t="s">
        <v>2131</v>
      </c>
      <c r="S594" s="49" t="s">
        <v>2247</v>
      </c>
      <c r="T594" s="54">
        <f>+J594</f>
        <v>-28510</v>
      </c>
      <c r="U594" s="54"/>
      <c r="AA594">
        <f t="shared" si="115"/>
        <v>3514</v>
      </c>
      <c r="AD594" t="str">
        <f t="shared" si="116"/>
        <v>427</v>
      </c>
      <c r="AE594">
        <f t="shared" si="117"/>
        <v>2</v>
      </c>
      <c r="AG594" s="50" t="str">
        <f t="shared" si="118"/>
        <v>Gare 5 décompte loyer, SPG - VALAUR SA</v>
      </c>
      <c r="AH594" s="244" t="str">
        <f t="shared" si="119"/>
        <v>96308</v>
      </c>
      <c r="AI594" s="219"/>
      <c r="AJ594" s="219"/>
      <c r="AK594" s="219" t="str">
        <f t="shared" si="120"/>
        <v>4430</v>
      </c>
      <c r="AL594" s="244" t="str">
        <f t="shared" si="121"/>
        <v>00</v>
      </c>
      <c r="AN594" s="219" t="str">
        <f t="shared" si="122"/>
        <v xml:space="preserve">Loyers et fermages, immeubles du PF | Bât Pharmacie / Gare 5 | </v>
      </c>
    </row>
    <row r="595" spans="1:40" ht="15" customHeight="1" x14ac:dyDescent="0.3">
      <c r="A595" s="48">
        <v>0</v>
      </c>
      <c r="B595" s="49" t="s">
        <v>912</v>
      </c>
      <c r="C595" s="50" t="s">
        <v>913</v>
      </c>
      <c r="D595" s="46" t="s">
        <v>1459</v>
      </c>
      <c r="E595" s="46" t="s">
        <v>891</v>
      </c>
      <c r="F595" s="46">
        <v>3514</v>
      </c>
      <c r="G595" s="46" t="s">
        <v>64</v>
      </c>
      <c r="H595" s="46"/>
      <c r="I595" s="51">
        <v>0</v>
      </c>
      <c r="J595" s="51">
        <v>-94641.85</v>
      </c>
      <c r="K595" s="51">
        <f t="shared" si="123"/>
        <v>-94641.85</v>
      </c>
      <c r="L595" s="51">
        <v>0</v>
      </c>
      <c r="M595" s="51">
        <v>0</v>
      </c>
      <c r="N595" s="51">
        <f t="shared" si="124"/>
        <v>0</v>
      </c>
      <c r="O595" s="51">
        <v>0</v>
      </c>
      <c r="P595" s="185" t="s">
        <v>1710</v>
      </c>
      <c r="Q595" s="179" t="s">
        <v>1711</v>
      </c>
      <c r="R595" s="179" t="s">
        <v>2131</v>
      </c>
      <c r="S595" s="58" t="s">
        <v>1712</v>
      </c>
      <c r="T595" s="54">
        <f>+J595</f>
        <v>-94641.85</v>
      </c>
      <c r="U595" s="54"/>
      <c r="AA595">
        <f t="shared" si="115"/>
        <v>3514</v>
      </c>
      <c r="AD595" t="str">
        <f t="shared" si="116"/>
        <v>480</v>
      </c>
      <c r="AE595">
        <f t="shared" si="117"/>
        <v>0</v>
      </c>
      <c r="AG595" s="50" t="str">
        <f t="shared" si="118"/>
        <v>PRELEVEMENT FONDS RESERVE</v>
      </c>
      <c r="AH595" s="244" t="str">
        <f t="shared" si="119"/>
        <v>99000</v>
      </c>
      <c r="AI595" s="219"/>
      <c r="AJ595" s="219"/>
      <c r="AK595" s="219" t="str">
        <f t="shared" si="120"/>
        <v>4894</v>
      </c>
      <c r="AL595" s="244" t="str">
        <f t="shared" si="121"/>
        <v>00</v>
      </c>
      <c r="AN595" s="219" t="str">
        <f t="shared" si="122"/>
        <v>Prélèvement sur la réserve de politique budgétaire</v>
      </c>
    </row>
    <row r="596" spans="1:40" ht="15" customHeight="1" x14ac:dyDescent="0.3">
      <c r="A596" s="48">
        <v>0</v>
      </c>
      <c r="B596" s="49" t="s">
        <v>915</v>
      </c>
      <c r="C596" s="50" t="s">
        <v>916</v>
      </c>
      <c r="D596" s="46" t="s">
        <v>1459</v>
      </c>
      <c r="E596" s="46" t="s">
        <v>914</v>
      </c>
      <c r="F596" s="46">
        <v>410</v>
      </c>
      <c r="G596" s="46" t="s">
        <v>84</v>
      </c>
      <c r="H596" s="46"/>
      <c r="I596" s="51">
        <v>85.55</v>
      </c>
      <c r="J596" s="51">
        <v>0</v>
      </c>
      <c r="K596" s="51">
        <f t="shared" si="123"/>
        <v>85.55</v>
      </c>
      <c r="L596" s="51">
        <v>0</v>
      </c>
      <c r="M596" s="51">
        <v>0</v>
      </c>
      <c r="N596" s="51">
        <f t="shared" si="124"/>
        <v>0</v>
      </c>
      <c r="O596" s="51">
        <v>0</v>
      </c>
      <c r="P596" s="179" t="s">
        <v>1581</v>
      </c>
      <c r="Q596" s="179" t="s">
        <v>1398</v>
      </c>
      <c r="R596" s="179" t="s">
        <v>2131</v>
      </c>
      <c r="S596" s="47" t="s">
        <v>2035</v>
      </c>
      <c r="T596" s="54">
        <f>+I596</f>
        <v>85.55</v>
      </c>
      <c r="U596" s="54"/>
      <c r="AA596">
        <f t="shared" si="115"/>
        <v>410</v>
      </c>
      <c r="AD596" t="str">
        <f t="shared" si="116"/>
        <v>310</v>
      </c>
      <c r="AE596">
        <f t="shared" si="117"/>
        <v>0</v>
      </c>
      <c r="AG596" s="50" t="str">
        <f t="shared" si="118"/>
        <v>SERVICE TECHNIQUE  PARUTIONS ENQUÊTES (140.310)</v>
      </c>
      <c r="AH596" s="244" t="str">
        <f t="shared" si="119"/>
        <v>79010</v>
      </c>
      <c r="AI596" s="219"/>
      <c r="AJ596" s="219"/>
      <c r="AK596" s="219" t="str">
        <f t="shared" si="120"/>
        <v>3612</v>
      </c>
      <c r="AL596" s="244" t="str">
        <f t="shared" si="121"/>
        <v>00</v>
      </c>
      <c r="AN596" s="219" t="str">
        <f t="shared" si="122"/>
        <v>Parts aux communes et assoc intercomm - Parutions &amp; autres</v>
      </c>
    </row>
    <row r="597" spans="1:40" ht="15" customHeight="1" x14ac:dyDescent="0.3">
      <c r="A597" s="48">
        <v>0</v>
      </c>
      <c r="B597" s="49" t="s">
        <v>917</v>
      </c>
      <c r="C597" s="50" t="s">
        <v>918</v>
      </c>
      <c r="D597" s="46" t="s">
        <v>1459</v>
      </c>
      <c r="E597" s="46" t="s">
        <v>914</v>
      </c>
      <c r="F597" s="46">
        <v>410</v>
      </c>
      <c r="G597" s="46" t="s">
        <v>48</v>
      </c>
      <c r="H597" s="46"/>
      <c r="I597" s="51">
        <v>156099.65</v>
      </c>
      <c r="J597" s="51">
        <v>0</v>
      </c>
      <c r="K597" s="51">
        <f t="shared" si="123"/>
        <v>156099.65</v>
      </c>
      <c r="L597" s="51">
        <v>30000</v>
      </c>
      <c r="M597" s="51">
        <v>0</v>
      </c>
      <c r="N597" s="51">
        <f t="shared" si="124"/>
        <v>30000</v>
      </c>
      <c r="O597" s="51">
        <v>9062.65</v>
      </c>
      <c r="P597" s="179" t="s">
        <v>1581</v>
      </c>
      <c r="Q597" s="179" t="s">
        <v>1397</v>
      </c>
      <c r="R597" s="179" t="s">
        <v>2131</v>
      </c>
      <c r="S597" s="47" t="s">
        <v>1582</v>
      </c>
      <c r="T597" s="54">
        <f>+I597</f>
        <v>156099.65</v>
      </c>
      <c r="U597" s="54"/>
      <c r="W597" t="s">
        <v>1583</v>
      </c>
      <c r="AA597">
        <f t="shared" si="115"/>
        <v>410</v>
      </c>
      <c r="AD597" t="str">
        <f t="shared" si="116"/>
        <v>318</v>
      </c>
      <c r="AE597">
        <f t="shared" si="117"/>
        <v>0</v>
      </c>
      <c r="AG597" s="50" t="str">
        <f t="shared" si="118"/>
        <v>SERVICE TECHNIQUE  FRAIS ENQUÊTE STI (140.318.2)</v>
      </c>
      <c r="AH597" s="244" t="str">
        <f t="shared" si="119"/>
        <v>79010</v>
      </c>
      <c r="AI597" s="219"/>
      <c r="AJ597" s="219"/>
      <c r="AK597" s="219" t="str">
        <f t="shared" si="120"/>
        <v>3132</v>
      </c>
      <c r="AL597" s="244" t="str">
        <f t="shared" si="121"/>
        <v>00</v>
      </c>
      <c r="AN597" s="219" t="str">
        <f t="shared" si="122"/>
        <v>Honoraires conseils externes, spécialistes (STI - PAC)</v>
      </c>
    </row>
    <row r="598" spans="1:40" ht="15" customHeight="1" x14ac:dyDescent="0.3">
      <c r="A598" s="48">
        <v>0</v>
      </c>
      <c r="B598" s="49" t="s">
        <v>919</v>
      </c>
      <c r="C598" s="50" t="s">
        <v>920</v>
      </c>
      <c r="D598" s="46" t="s">
        <v>1459</v>
      </c>
      <c r="E598" s="46" t="s">
        <v>914</v>
      </c>
      <c r="F598" s="46">
        <v>410</v>
      </c>
      <c r="G598" s="46" t="s">
        <v>108</v>
      </c>
      <c r="H598" s="46"/>
      <c r="I598" s="51">
        <v>0</v>
      </c>
      <c r="J598" s="51">
        <v>-44846.45</v>
      </c>
      <c r="K598" s="51">
        <f t="shared" si="123"/>
        <v>-44846.45</v>
      </c>
      <c r="L598" s="51">
        <v>0</v>
      </c>
      <c r="M598" s="51">
        <v>-35000</v>
      </c>
      <c r="N598" s="51">
        <f t="shared" si="124"/>
        <v>-35000</v>
      </c>
      <c r="O598" s="51">
        <v>-2998.35</v>
      </c>
      <c r="P598" s="179" t="s">
        <v>1581</v>
      </c>
      <c r="Q598" s="179" t="s">
        <v>1423</v>
      </c>
      <c r="R598" s="179" t="s">
        <v>2131</v>
      </c>
      <c r="S598" s="47" t="s">
        <v>1547</v>
      </c>
      <c r="T598" s="54">
        <f>+J598</f>
        <v>-44846.45</v>
      </c>
      <c r="U598" s="54"/>
      <c r="AA598">
        <f t="shared" si="115"/>
        <v>410</v>
      </c>
      <c r="AD598" t="str">
        <f t="shared" si="116"/>
        <v>431</v>
      </c>
      <c r="AE598">
        <f t="shared" si="117"/>
        <v>0</v>
      </c>
      <c r="AG598" s="50" t="str">
        <f t="shared" si="118"/>
        <v>SERVICE TECHNIQUE  PERMIS CONSTRUIRE HABITER</v>
      </c>
      <c r="AH598" s="244" t="str">
        <f t="shared" si="119"/>
        <v>79010</v>
      </c>
      <c r="AI598" s="219"/>
      <c r="AJ598" s="219"/>
      <c r="AK598" s="219" t="str">
        <f t="shared" si="120"/>
        <v>4210</v>
      </c>
      <c r="AL598" s="244" t="str">
        <f t="shared" si="121"/>
        <v>00</v>
      </c>
      <c r="AN598" s="219" t="str">
        <f t="shared" si="122"/>
        <v>Emoluments pour actes administratifs - permis et autres attestations CDH</v>
      </c>
    </row>
    <row r="599" spans="1:40" ht="15" customHeight="1" x14ac:dyDescent="0.3">
      <c r="A599" s="48">
        <v>0</v>
      </c>
      <c r="B599" s="74" t="s">
        <v>922</v>
      </c>
      <c r="C599" s="67" t="s">
        <v>923</v>
      </c>
      <c r="D599" s="188" t="s">
        <v>1459</v>
      </c>
      <c r="E599" s="188" t="s">
        <v>921</v>
      </c>
      <c r="F599" s="188">
        <v>420</v>
      </c>
      <c r="G599" s="188" t="s">
        <v>48</v>
      </c>
      <c r="H599" s="188"/>
      <c r="I599" s="51">
        <v>157316.25</v>
      </c>
      <c r="J599" s="51">
        <v>0</v>
      </c>
      <c r="K599" s="51">
        <f t="shared" si="123"/>
        <v>157316.25</v>
      </c>
      <c r="L599" s="51">
        <v>132000</v>
      </c>
      <c r="M599" s="51">
        <v>0</v>
      </c>
      <c r="N599" s="51">
        <f t="shared" si="124"/>
        <v>132000</v>
      </c>
      <c r="O599" s="51">
        <v>18234</v>
      </c>
      <c r="P599" s="179" t="s">
        <v>1444</v>
      </c>
      <c r="Q599" s="179" t="s">
        <v>1398</v>
      </c>
      <c r="R599" s="179" t="s">
        <v>2131</v>
      </c>
      <c r="S599" s="47" t="s">
        <v>2036</v>
      </c>
      <c r="T599" s="54">
        <f>+I599</f>
        <v>157316.25</v>
      </c>
      <c r="U599" s="54">
        <v>80000</v>
      </c>
      <c r="W599" t="s">
        <v>1445</v>
      </c>
      <c r="AA599">
        <f t="shared" si="115"/>
        <v>420</v>
      </c>
      <c r="AD599" t="str">
        <f t="shared" si="116"/>
        <v>318</v>
      </c>
      <c r="AE599">
        <f t="shared" si="117"/>
        <v>0</v>
      </c>
      <c r="AG599" s="50" t="str">
        <f t="shared" si="118"/>
        <v>URBANISME  CONSEIL REGIONAL</v>
      </c>
      <c r="AH599" s="244" t="str">
        <f t="shared" si="119"/>
        <v>79070</v>
      </c>
      <c r="AI599" s="219"/>
      <c r="AJ599" s="219"/>
      <c r="AK599" s="219" t="str">
        <f t="shared" si="120"/>
        <v>3612</v>
      </c>
      <c r="AL599" s="244" t="str">
        <f t="shared" si="121"/>
        <v>00</v>
      </c>
      <c r="AN599" s="219" t="str">
        <f t="shared" si="122"/>
        <v>Parts aux communes et assoc intercomm - DISREN</v>
      </c>
    </row>
    <row r="600" spans="1:40" ht="15" customHeight="1" x14ac:dyDescent="0.3">
      <c r="A600" s="48"/>
      <c r="B600" s="74" t="s">
        <v>922</v>
      </c>
      <c r="C600" s="67" t="s">
        <v>923</v>
      </c>
      <c r="D600" s="188" t="s">
        <v>1459</v>
      </c>
      <c r="E600" s="188" t="s">
        <v>921</v>
      </c>
      <c r="F600" s="188">
        <v>420</v>
      </c>
      <c r="G600" s="188" t="s">
        <v>48</v>
      </c>
      <c r="H600" s="188"/>
      <c r="I600" s="51"/>
      <c r="J600" s="51"/>
      <c r="K600" s="51">
        <f t="shared" si="123"/>
        <v>0</v>
      </c>
      <c r="L600" s="51"/>
      <c r="M600" s="51"/>
      <c r="N600" s="51">
        <f t="shared" si="124"/>
        <v>0</v>
      </c>
      <c r="O600" s="51"/>
      <c r="P600" s="179" t="s">
        <v>1444</v>
      </c>
      <c r="Q600" s="179" t="s">
        <v>1398</v>
      </c>
      <c r="R600" s="179" t="s">
        <v>2132</v>
      </c>
      <c r="S600" s="47" t="s">
        <v>2062</v>
      </c>
      <c r="T600" s="54"/>
      <c r="U600" s="54">
        <v>50000</v>
      </c>
      <c r="W600" t="s">
        <v>1446</v>
      </c>
      <c r="AA600">
        <f t="shared" si="115"/>
        <v>420</v>
      </c>
      <c r="AD600" t="str">
        <f t="shared" si="116"/>
        <v>318</v>
      </c>
      <c r="AE600">
        <f t="shared" si="117"/>
        <v>0</v>
      </c>
      <c r="AG600" s="50" t="str">
        <f t="shared" si="118"/>
        <v>URBANISME  CONSEIL REGIONAL</v>
      </c>
      <c r="AH600" s="244" t="str">
        <f t="shared" si="119"/>
        <v>79070</v>
      </c>
      <c r="AI600" s="219"/>
      <c r="AJ600" s="219"/>
      <c r="AK600" s="219" t="str">
        <f t="shared" si="120"/>
        <v>3612</v>
      </c>
      <c r="AL600" s="244" t="str">
        <f t="shared" si="121"/>
        <v>01</v>
      </c>
      <c r="AN600" s="219" t="str">
        <f t="shared" si="122"/>
        <v>Parts aux communes et assoc intercomm - Region Nyon</v>
      </c>
    </row>
    <row r="601" spans="1:40" ht="15" customHeight="1" x14ac:dyDescent="0.3">
      <c r="A601" s="48"/>
      <c r="B601" s="74" t="s">
        <v>922</v>
      </c>
      <c r="C601" s="67" t="s">
        <v>923</v>
      </c>
      <c r="D601" s="188" t="s">
        <v>1459</v>
      </c>
      <c r="E601" s="188" t="s">
        <v>921</v>
      </c>
      <c r="F601" s="188">
        <v>420</v>
      </c>
      <c r="G601" s="188" t="s">
        <v>48</v>
      </c>
      <c r="H601" s="188"/>
      <c r="I601" s="51"/>
      <c r="J601" s="51"/>
      <c r="K601" s="51">
        <f t="shared" si="123"/>
        <v>0</v>
      </c>
      <c r="L601" s="51"/>
      <c r="M601" s="51"/>
      <c r="N601" s="51">
        <f t="shared" si="124"/>
        <v>0</v>
      </c>
      <c r="O601" s="51"/>
      <c r="P601" s="179" t="s">
        <v>1444</v>
      </c>
      <c r="Q601" s="179" t="s">
        <v>1398</v>
      </c>
      <c r="R601" s="179" t="s">
        <v>2133</v>
      </c>
      <c r="S601" s="47" t="s">
        <v>2046</v>
      </c>
      <c r="T601" s="54"/>
      <c r="U601" s="54">
        <v>18000</v>
      </c>
      <c r="AA601">
        <f t="shared" si="115"/>
        <v>420</v>
      </c>
      <c r="AD601" t="str">
        <f t="shared" si="116"/>
        <v>318</v>
      </c>
      <c r="AE601">
        <f t="shared" si="117"/>
        <v>0</v>
      </c>
      <c r="AG601" s="50" t="str">
        <f t="shared" si="118"/>
        <v>URBANISME  CONSEIL REGIONAL</v>
      </c>
      <c r="AH601" s="244" t="str">
        <f t="shared" si="119"/>
        <v>79070</v>
      </c>
      <c r="AI601" s="219"/>
      <c r="AJ601" s="219"/>
      <c r="AK601" s="219" t="str">
        <f t="shared" si="120"/>
        <v>3612</v>
      </c>
      <c r="AL601" s="244" t="str">
        <f t="shared" si="121"/>
        <v>02</v>
      </c>
      <c r="AN601" s="219" t="str">
        <f t="shared" si="122"/>
        <v>Parts aux communes et assoc intercomm - Aménagement du territoire - mobilité régionale</v>
      </c>
    </row>
    <row r="602" spans="1:40" ht="15" customHeight="1" x14ac:dyDescent="0.3">
      <c r="A602" s="48">
        <v>0</v>
      </c>
      <c r="B602" s="49" t="s">
        <v>924</v>
      </c>
      <c r="C602" s="50" t="s">
        <v>925</v>
      </c>
      <c r="D602" s="46" t="s">
        <v>1459</v>
      </c>
      <c r="E602" s="46" t="s">
        <v>921</v>
      </c>
      <c r="F602" s="188">
        <v>420</v>
      </c>
      <c r="G602" s="46" t="s">
        <v>164</v>
      </c>
      <c r="H602" s="46"/>
      <c r="I602" s="51">
        <v>0</v>
      </c>
      <c r="J602" s="51">
        <v>0</v>
      </c>
      <c r="K602" s="51">
        <f t="shared" si="123"/>
        <v>0</v>
      </c>
      <c r="L602" s="51">
        <v>0</v>
      </c>
      <c r="M602" s="51">
        <v>0</v>
      </c>
      <c r="N602" s="51">
        <f t="shared" si="124"/>
        <v>0</v>
      </c>
      <c r="O602" s="51">
        <v>0</v>
      </c>
      <c r="P602" s="179" t="s">
        <v>1489</v>
      </c>
      <c r="Q602" s="179" t="s">
        <v>1489</v>
      </c>
      <c r="R602" s="179" t="s">
        <v>1489</v>
      </c>
      <c r="S602" s="47" t="s">
        <v>1489</v>
      </c>
      <c r="T602" s="54"/>
      <c r="U602" s="54"/>
      <c r="AA602">
        <f t="shared" si="115"/>
        <v>420</v>
      </c>
      <c r="AD602" t="str">
        <f t="shared" si="116"/>
        <v>331</v>
      </c>
      <c r="AE602">
        <f t="shared" si="117"/>
        <v>0</v>
      </c>
      <c r="AG602" s="50" t="str">
        <f t="shared" si="118"/>
        <v>URBANISME   AMORT PATR ADMINISTRATIF</v>
      </c>
      <c r="AH602" s="244" t="str">
        <f t="shared" si="119"/>
        <v>-</v>
      </c>
      <c r="AI602" s="219"/>
      <c r="AJ602" s="219"/>
      <c r="AK602" s="219" t="str">
        <f t="shared" si="120"/>
        <v>-</v>
      </c>
      <c r="AL602" s="244" t="str">
        <f t="shared" si="121"/>
        <v>-</v>
      </c>
      <c r="AN602" s="219" t="str">
        <f t="shared" si="122"/>
        <v>-</v>
      </c>
    </row>
    <row r="603" spans="1:40" ht="15" customHeight="1" x14ac:dyDescent="0.3">
      <c r="A603" s="48">
        <v>0</v>
      </c>
      <c r="B603" s="49" t="s">
        <v>926</v>
      </c>
      <c r="C603" s="50" t="s">
        <v>927</v>
      </c>
      <c r="D603" s="46" t="s">
        <v>1459</v>
      </c>
      <c r="E603" s="46" t="s">
        <v>921</v>
      </c>
      <c r="F603" s="188">
        <v>420</v>
      </c>
      <c r="G603" s="46" t="s">
        <v>96</v>
      </c>
      <c r="H603" s="46"/>
      <c r="I603" s="51">
        <v>170014.85</v>
      </c>
      <c r="J603" s="51">
        <v>0</v>
      </c>
      <c r="K603" s="51">
        <f t="shared" si="123"/>
        <v>170014.85</v>
      </c>
      <c r="L603" s="51">
        <v>0</v>
      </c>
      <c r="M603" s="51">
        <v>0</v>
      </c>
      <c r="N603" s="51">
        <f t="shared" si="124"/>
        <v>0</v>
      </c>
      <c r="O603" s="51">
        <v>0</v>
      </c>
      <c r="P603" s="8" t="s">
        <v>1795</v>
      </c>
      <c r="Q603" s="179" t="s">
        <v>1607</v>
      </c>
      <c r="R603" s="179" t="s">
        <v>2139</v>
      </c>
      <c r="S603" s="47" t="s">
        <v>1608</v>
      </c>
      <c r="T603" s="54">
        <f>+I603</f>
        <v>170014.85</v>
      </c>
      <c r="U603" s="54"/>
      <c r="W603" t="s">
        <v>2165</v>
      </c>
      <c r="AA603">
        <f t="shared" si="115"/>
        <v>420</v>
      </c>
      <c r="AD603" t="str">
        <f t="shared" si="116"/>
        <v>332</v>
      </c>
      <c r="AE603">
        <f t="shared" si="117"/>
        <v>0</v>
      </c>
      <c r="AG603" s="50" t="str">
        <f t="shared" si="118"/>
        <v>Amortissement suppl Service Urbanisme</v>
      </c>
      <c r="AH603" s="244" t="str">
        <f t="shared" si="119"/>
        <v>02901</v>
      </c>
      <c r="AI603" s="219"/>
      <c r="AJ603" s="219"/>
      <c r="AK603" s="219" t="str">
        <f t="shared" si="120"/>
        <v>3301</v>
      </c>
      <c r="AL603" s="244" t="str">
        <f t="shared" si="121"/>
        <v>09</v>
      </c>
      <c r="AN603" s="219" t="str">
        <f t="shared" si="122"/>
        <v>Amortissements non planifiés des immobilisations corporelles PA</v>
      </c>
    </row>
    <row r="604" spans="1:40" ht="15" customHeight="1" x14ac:dyDescent="0.3">
      <c r="A604" s="48">
        <v>0</v>
      </c>
      <c r="B604" s="49" t="s">
        <v>928</v>
      </c>
      <c r="C604" s="50" t="s">
        <v>929</v>
      </c>
      <c r="D604" s="46" t="s">
        <v>1459</v>
      </c>
      <c r="E604" s="46" t="s">
        <v>921</v>
      </c>
      <c r="F604" s="188">
        <v>420</v>
      </c>
      <c r="G604" s="46" t="s">
        <v>6</v>
      </c>
      <c r="H604" s="46"/>
      <c r="I604" s="51">
        <v>0</v>
      </c>
      <c r="J604" s="51">
        <v>0</v>
      </c>
      <c r="K604" s="51">
        <f t="shared" si="123"/>
        <v>0</v>
      </c>
      <c r="L604" s="51">
        <v>0</v>
      </c>
      <c r="M604" s="51">
        <v>0</v>
      </c>
      <c r="N604" s="51">
        <f t="shared" si="124"/>
        <v>0</v>
      </c>
      <c r="O604" s="51">
        <v>0</v>
      </c>
      <c r="P604" s="179" t="s">
        <v>1489</v>
      </c>
      <c r="Q604" s="179" t="s">
        <v>1489</v>
      </c>
      <c r="R604" s="179" t="s">
        <v>1489</v>
      </c>
      <c r="S604" s="47" t="s">
        <v>1489</v>
      </c>
      <c r="T604" s="54"/>
      <c r="U604" s="54"/>
      <c r="AA604">
        <f t="shared" si="115"/>
        <v>420</v>
      </c>
      <c r="AD604" t="str">
        <f t="shared" si="116"/>
        <v>380</v>
      </c>
      <c r="AE604">
        <f t="shared" si="117"/>
        <v>0</v>
      </c>
      <c r="AG604" s="50" t="str">
        <f t="shared" si="118"/>
        <v>URBANISME   ATTRIB FONDS RENOUV.</v>
      </c>
      <c r="AH604" s="244" t="str">
        <f t="shared" si="119"/>
        <v>-</v>
      </c>
      <c r="AI604" s="219"/>
      <c r="AJ604" s="219"/>
      <c r="AK604" s="219" t="str">
        <f t="shared" si="120"/>
        <v>-</v>
      </c>
      <c r="AL604" s="244" t="str">
        <f t="shared" si="121"/>
        <v>-</v>
      </c>
      <c r="AN604" s="219" t="str">
        <f t="shared" si="122"/>
        <v>-</v>
      </c>
    </row>
    <row r="605" spans="1:40" ht="15" customHeight="1" x14ac:dyDescent="0.3">
      <c r="A605" s="48">
        <v>0</v>
      </c>
      <c r="B605" s="49" t="s">
        <v>930</v>
      </c>
      <c r="C605" s="50" t="s">
        <v>931</v>
      </c>
      <c r="D605" s="46" t="s">
        <v>1459</v>
      </c>
      <c r="E605" s="46" t="s">
        <v>921</v>
      </c>
      <c r="F605" s="188">
        <v>420</v>
      </c>
      <c r="G605" s="46" t="s">
        <v>61</v>
      </c>
      <c r="H605" s="46"/>
      <c r="I605" s="51">
        <v>0</v>
      </c>
      <c r="J605" s="51">
        <v>-66120.25</v>
      </c>
      <c r="K605" s="51">
        <f t="shared" si="123"/>
        <v>-66120.25</v>
      </c>
      <c r="L605" s="51">
        <v>0</v>
      </c>
      <c r="M605" s="51">
        <v>0</v>
      </c>
      <c r="N605" s="51">
        <f t="shared" si="124"/>
        <v>0</v>
      </c>
      <c r="O605" s="51">
        <v>0</v>
      </c>
      <c r="P605" s="179" t="s">
        <v>1444</v>
      </c>
      <c r="Q605" s="179" t="s">
        <v>1443</v>
      </c>
      <c r="R605" s="179" t="s">
        <v>2131</v>
      </c>
      <c r="S605" s="47" t="s">
        <v>2033</v>
      </c>
      <c r="T605" s="54">
        <f>+J605</f>
        <v>-66120.25</v>
      </c>
      <c r="U605" s="54">
        <v>0</v>
      </c>
      <c r="W605" t="s">
        <v>1785</v>
      </c>
      <c r="AA605">
        <f t="shared" si="115"/>
        <v>420</v>
      </c>
      <c r="AD605" t="str">
        <f t="shared" si="116"/>
        <v>436</v>
      </c>
      <c r="AE605">
        <f t="shared" si="117"/>
        <v>0</v>
      </c>
      <c r="AG605" s="50" t="str">
        <f t="shared" si="118"/>
        <v>REMBOURSEMENT DE TIERS</v>
      </c>
      <c r="AH605" s="244" t="str">
        <f t="shared" si="119"/>
        <v>79070</v>
      </c>
      <c r="AI605" s="219"/>
      <c r="AJ605" s="219"/>
      <c r="AK605" s="219" t="str">
        <f t="shared" si="120"/>
        <v>4612</v>
      </c>
      <c r="AL605" s="244" t="str">
        <f t="shared" si="121"/>
        <v>00</v>
      </c>
      <c r="AN605" s="219" t="str">
        <f t="shared" si="122"/>
        <v xml:space="preserve">Dédommagement des communes et associations intercommunales </v>
      </c>
    </row>
    <row r="606" spans="1:40" ht="15" customHeight="1" x14ac:dyDescent="0.3">
      <c r="A606" s="48">
        <v>0</v>
      </c>
      <c r="B606" s="49" t="s">
        <v>932</v>
      </c>
      <c r="C606" s="50" t="s">
        <v>933</v>
      </c>
      <c r="D606" s="46" t="s">
        <v>1459</v>
      </c>
      <c r="E606" s="46" t="s">
        <v>921</v>
      </c>
      <c r="F606" s="188">
        <v>420</v>
      </c>
      <c r="G606" s="46" t="s">
        <v>64</v>
      </c>
      <c r="H606" s="46"/>
      <c r="I606" s="51">
        <v>0</v>
      </c>
      <c r="J606" s="51">
        <v>-170014.85</v>
      </c>
      <c r="K606" s="51">
        <f t="shared" si="123"/>
        <v>-170014.85</v>
      </c>
      <c r="L606" s="51">
        <v>0</v>
      </c>
      <c r="M606" s="51">
        <v>0</v>
      </c>
      <c r="N606" s="51">
        <f t="shared" si="124"/>
        <v>0</v>
      </c>
      <c r="O606" s="51">
        <v>0</v>
      </c>
      <c r="P606" s="185" t="s">
        <v>1710</v>
      </c>
      <c r="Q606" s="179" t="s">
        <v>1711</v>
      </c>
      <c r="R606" s="179" t="s">
        <v>2131</v>
      </c>
      <c r="S606" s="58" t="s">
        <v>1712</v>
      </c>
      <c r="T606" s="54">
        <f>+J606</f>
        <v>-170014.85</v>
      </c>
      <c r="U606" s="54"/>
      <c r="AA606">
        <f t="shared" si="115"/>
        <v>420</v>
      </c>
      <c r="AD606" t="str">
        <f t="shared" si="116"/>
        <v>480</v>
      </c>
      <c r="AE606">
        <f t="shared" si="117"/>
        <v>0</v>
      </c>
      <c r="AG606" s="50" t="str">
        <f t="shared" si="118"/>
        <v>URBANISME  PRELEVEMENT FONDS DE RESERVE</v>
      </c>
      <c r="AH606" s="244" t="str">
        <f t="shared" si="119"/>
        <v>99000</v>
      </c>
      <c r="AI606" s="219"/>
      <c r="AJ606" s="219"/>
      <c r="AK606" s="219" t="str">
        <f t="shared" si="120"/>
        <v>4894</v>
      </c>
      <c r="AL606" s="244" t="str">
        <f t="shared" si="121"/>
        <v>00</v>
      </c>
      <c r="AN606" s="219" t="str">
        <f t="shared" si="122"/>
        <v>Prélèvement sur la réserve de politique budgétaire</v>
      </c>
    </row>
    <row r="607" spans="1:40" ht="15" customHeight="1" x14ac:dyDescent="0.3">
      <c r="A607" s="48">
        <v>0</v>
      </c>
      <c r="B607" s="77" t="s">
        <v>935</v>
      </c>
      <c r="C607" s="78" t="s">
        <v>936</v>
      </c>
      <c r="D607" s="182" t="s">
        <v>1458</v>
      </c>
      <c r="E607" s="182" t="s">
        <v>934</v>
      </c>
      <c r="F607" s="182">
        <v>430</v>
      </c>
      <c r="G607" s="182" t="s">
        <v>3</v>
      </c>
      <c r="H607" s="182"/>
      <c r="I607" s="51">
        <v>225166.25</v>
      </c>
      <c r="J607" s="51">
        <v>0</v>
      </c>
      <c r="K607" s="51">
        <f t="shared" si="123"/>
        <v>225166.25</v>
      </c>
      <c r="L607" s="51">
        <v>206000</v>
      </c>
      <c r="M607" s="51">
        <v>0</v>
      </c>
      <c r="N607" s="51">
        <f t="shared" si="124"/>
        <v>206000</v>
      </c>
      <c r="O607" s="51">
        <v>116946.9</v>
      </c>
      <c r="P607" s="179" t="s">
        <v>1587</v>
      </c>
      <c r="Q607" s="179" t="s">
        <v>1410</v>
      </c>
      <c r="R607" s="179" t="s">
        <v>2131</v>
      </c>
      <c r="S607" s="47" t="s">
        <v>1411</v>
      </c>
      <c r="T607" s="54">
        <f>+I607</f>
        <v>225166.25</v>
      </c>
      <c r="U607" s="54"/>
      <c r="W607" t="s">
        <v>2020</v>
      </c>
      <c r="AA607">
        <f t="shared" si="115"/>
        <v>430</v>
      </c>
      <c r="AD607" t="str">
        <f t="shared" si="116"/>
        <v>301</v>
      </c>
      <c r="AE607">
        <f t="shared" si="117"/>
        <v>0</v>
      </c>
      <c r="AG607" s="50" t="str">
        <f t="shared" si="118"/>
        <v>ROUTES  VOIRIE SALAIRES</v>
      </c>
      <c r="AH607" s="244" t="str">
        <f t="shared" si="119"/>
        <v>61500</v>
      </c>
      <c r="AI607" s="219"/>
      <c r="AJ607" s="219"/>
      <c r="AK607" s="219" t="str">
        <f t="shared" si="120"/>
        <v>3010</v>
      </c>
      <c r="AL607" s="244" t="str">
        <f t="shared" si="121"/>
        <v>00</v>
      </c>
      <c r="AN607" s="219" t="str">
        <f t="shared" si="122"/>
        <v>Salaire du personnel administratif</v>
      </c>
    </row>
    <row r="608" spans="1:40" ht="15" customHeight="1" x14ac:dyDescent="0.3">
      <c r="A608" s="48"/>
      <c r="B608" s="77" t="s">
        <v>935</v>
      </c>
      <c r="C608" s="78" t="s">
        <v>936</v>
      </c>
      <c r="D608" s="182" t="s">
        <v>1458</v>
      </c>
      <c r="E608" s="182" t="s">
        <v>934</v>
      </c>
      <c r="F608" s="182">
        <v>430</v>
      </c>
      <c r="G608" s="182" t="s">
        <v>3</v>
      </c>
      <c r="H608" s="182"/>
      <c r="I608" s="51"/>
      <c r="J608" s="51"/>
      <c r="K608" s="51">
        <f t="shared" si="123"/>
        <v>0</v>
      </c>
      <c r="L608" s="51"/>
      <c r="M608" s="51"/>
      <c r="N608" s="51">
        <f t="shared" si="124"/>
        <v>0</v>
      </c>
      <c r="O608" s="51"/>
      <c r="P608" s="179" t="s">
        <v>1587</v>
      </c>
      <c r="Q608" s="179" t="s">
        <v>1410</v>
      </c>
      <c r="R608" s="179" t="s">
        <v>2138</v>
      </c>
      <c r="S608" s="47" t="s">
        <v>1424</v>
      </c>
      <c r="T608" s="54"/>
      <c r="U608" s="54"/>
      <c r="AA608">
        <f t="shared" si="115"/>
        <v>430</v>
      </c>
      <c r="AD608" t="str">
        <f t="shared" si="116"/>
        <v>301</v>
      </c>
      <c r="AE608">
        <f t="shared" si="117"/>
        <v>0</v>
      </c>
      <c r="AG608" s="50" t="str">
        <f t="shared" si="118"/>
        <v>ROUTES  VOIRIE SALAIRES</v>
      </c>
      <c r="AH608" s="244" t="str">
        <f t="shared" si="119"/>
        <v>61500</v>
      </c>
      <c r="AI608" s="219"/>
      <c r="AJ608" s="219"/>
      <c r="AK608" s="219" t="str">
        <f t="shared" si="120"/>
        <v>3010</v>
      </c>
      <c r="AL608" s="244" t="str">
        <f t="shared" si="121"/>
        <v>99</v>
      </c>
      <c r="AN608" s="219" t="str">
        <f t="shared" si="122"/>
        <v>Remboursements IJM</v>
      </c>
    </row>
    <row r="609" spans="1:40" ht="15" customHeight="1" x14ac:dyDescent="0.3">
      <c r="A609" s="48">
        <v>0</v>
      </c>
      <c r="B609" s="74" t="s">
        <v>937</v>
      </c>
      <c r="C609" s="67" t="s">
        <v>938</v>
      </c>
      <c r="D609" s="188" t="s">
        <v>1458</v>
      </c>
      <c r="E609" s="188" t="s">
        <v>934</v>
      </c>
      <c r="F609" s="182">
        <v>430</v>
      </c>
      <c r="G609" s="188" t="s">
        <v>16</v>
      </c>
      <c r="H609" s="188"/>
      <c r="I609" s="51">
        <v>20885.2</v>
      </c>
      <c r="J609" s="51">
        <v>0</v>
      </c>
      <c r="K609" s="51">
        <f t="shared" si="123"/>
        <v>20885.2</v>
      </c>
      <c r="L609" s="51">
        <v>19500</v>
      </c>
      <c r="M609" s="51">
        <v>0</v>
      </c>
      <c r="N609" s="51">
        <f t="shared" si="124"/>
        <v>19500</v>
      </c>
      <c r="O609" s="51">
        <v>10928.15</v>
      </c>
      <c r="P609" s="179" t="s">
        <v>1587</v>
      </c>
      <c r="Q609" s="179" t="s">
        <v>1367</v>
      </c>
      <c r="R609" s="179" t="s">
        <v>2131</v>
      </c>
      <c r="S609" s="47" t="s">
        <v>1378</v>
      </c>
      <c r="T609" s="54">
        <f>+I609</f>
        <v>20885.2</v>
      </c>
      <c r="U609" s="54"/>
      <c r="AA609">
        <f t="shared" si="115"/>
        <v>430</v>
      </c>
      <c r="AD609" t="str">
        <f t="shared" si="116"/>
        <v>303</v>
      </c>
      <c r="AE609">
        <f t="shared" si="117"/>
        <v>0</v>
      </c>
      <c r="AG609" s="50" t="str">
        <f t="shared" si="118"/>
        <v>ROUTES  VOIRIE COTISATIONS AVS AC AF</v>
      </c>
      <c r="AH609" s="244" t="str">
        <f t="shared" si="119"/>
        <v>61500</v>
      </c>
      <c r="AI609" s="219"/>
      <c r="AJ609" s="219"/>
      <c r="AK609" s="219" t="str">
        <f t="shared" si="120"/>
        <v>3050</v>
      </c>
      <c r="AL609" s="244" t="str">
        <f t="shared" si="121"/>
        <v>00</v>
      </c>
      <c r="AN609" s="219" t="str">
        <f t="shared" si="122"/>
        <v>Cotisations AVS, AI, APG, AC, frais adm</v>
      </c>
    </row>
    <row r="610" spans="1:40" ht="15" customHeight="1" x14ac:dyDescent="0.3">
      <c r="A610" s="48"/>
      <c r="B610" s="74" t="s">
        <v>937</v>
      </c>
      <c r="C610" s="67" t="s">
        <v>938</v>
      </c>
      <c r="D610" s="188" t="s">
        <v>1458</v>
      </c>
      <c r="E610" s="188" t="s">
        <v>934</v>
      </c>
      <c r="F610" s="182">
        <v>430</v>
      </c>
      <c r="G610" s="188" t="s">
        <v>16</v>
      </c>
      <c r="H610" s="188"/>
      <c r="I610" s="51">
        <v>0</v>
      </c>
      <c r="J610" s="51">
        <v>0</v>
      </c>
      <c r="K610" s="51">
        <f t="shared" si="123"/>
        <v>0</v>
      </c>
      <c r="L610" s="51">
        <v>0</v>
      </c>
      <c r="M610" s="51">
        <v>0</v>
      </c>
      <c r="N610" s="51">
        <f t="shared" si="124"/>
        <v>0</v>
      </c>
      <c r="O610" s="51"/>
      <c r="P610" s="179" t="s">
        <v>1587</v>
      </c>
      <c r="Q610" s="179" t="s">
        <v>1413</v>
      </c>
      <c r="R610" s="179" t="s">
        <v>2131</v>
      </c>
      <c r="S610" s="47" t="s">
        <v>1414</v>
      </c>
      <c r="T610" s="54">
        <f>+I610</f>
        <v>0</v>
      </c>
      <c r="U610" s="54"/>
      <c r="AA610">
        <f t="shared" si="115"/>
        <v>430</v>
      </c>
      <c r="AD610" t="str">
        <f t="shared" si="116"/>
        <v>303</v>
      </c>
      <c r="AE610">
        <f t="shared" si="117"/>
        <v>0</v>
      </c>
      <c r="AG610" s="50" t="str">
        <f t="shared" si="118"/>
        <v>ROUTES  VOIRIE COTISATIONS AVS AC AF</v>
      </c>
      <c r="AH610" s="244" t="str">
        <f t="shared" si="119"/>
        <v>61500</v>
      </c>
      <c r="AI610" s="219"/>
      <c r="AJ610" s="219"/>
      <c r="AK610" s="219" t="str">
        <f t="shared" si="120"/>
        <v>3054</v>
      </c>
      <c r="AL610" s="244" t="str">
        <f t="shared" si="121"/>
        <v>00</v>
      </c>
      <c r="AN610" s="219" t="str">
        <f t="shared" si="122"/>
        <v>Cotisations CAF</v>
      </c>
    </row>
    <row r="611" spans="1:40" ht="15" customHeight="1" x14ac:dyDescent="0.3">
      <c r="A611" s="48">
        <v>0</v>
      </c>
      <c r="B611" s="49" t="s">
        <v>939</v>
      </c>
      <c r="C611" s="50" t="s">
        <v>940</v>
      </c>
      <c r="D611" s="46" t="s">
        <v>1458</v>
      </c>
      <c r="E611" s="46" t="s">
        <v>934</v>
      </c>
      <c r="F611" s="182">
        <v>430</v>
      </c>
      <c r="G611" s="46" t="s">
        <v>38</v>
      </c>
      <c r="H611" s="46"/>
      <c r="I611" s="51">
        <v>9956.9500000000007</v>
      </c>
      <c r="J611" s="51">
        <v>0</v>
      </c>
      <c r="K611" s="51">
        <f t="shared" si="123"/>
        <v>9956.9500000000007</v>
      </c>
      <c r="L611" s="51">
        <v>11500</v>
      </c>
      <c r="M611" s="51">
        <v>0</v>
      </c>
      <c r="N611" s="51">
        <f t="shared" si="124"/>
        <v>11500</v>
      </c>
      <c r="O611" s="51">
        <v>8591.15</v>
      </c>
      <c r="P611" s="179" t="s">
        <v>1587</v>
      </c>
      <c r="Q611" s="179" t="s">
        <v>1386</v>
      </c>
      <c r="R611" s="179" t="s">
        <v>2131</v>
      </c>
      <c r="S611" s="47" t="s">
        <v>1387</v>
      </c>
      <c r="T611" s="54">
        <f>+I611</f>
        <v>9956.9500000000007</v>
      </c>
      <c r="U611" s="54"/>
      <c r="AA611">
        <f t="shared" si="115"/>
        <v>430</v>
      </c>
      <c r="AD611" t="str">
        <f t="shared" si="116"/>
        <v>304</v>
      </c>
      <c r="AE611">
        <f t="shared" si="117"/>
        <v>0</v>
      </c>
      <c r="AG611" s="50" t="str">
        <f t="shared" si="118"/>
        <v>ROUTES  VOIRIE CAISSE PREVOYANCE LPP</v>
      </c>
      <c r="AH611" s="244" t="str">
        <f t="shared" si="119"/>
        <v>61500</v>
      </c>
      <c r="AI611" s="219"/>
      <c r="AJ611" s="219"/>
      <c r="AK611" s="219" t="str">
        <f t="shared" si="120"/>
        <v>3052</v>
      </c>
      <c r="AL611" s="244" t="str">
        <f t="shared" si="121"/>
        <v>00</v>
      </c>
      <c r="AN611" s="219" t="str">
        <f t="shared" si="122"/>
        <v>Cotisations patronales aux caisses de pensions</v>
      </c>
    </row>
    <row r="612" spans="1:40" ht="15" customHeight="1" x14ac:dyDescent="0.3">
      <c r="A612" s="48">
        <v>0</v>
      </c>
      <c r="B612" s="49" t="s">
        <v>941</v>
      </c>
      <c r="C612" s="50" t="s">
        <v>942</v>
      </c>
      <c r="D612" s="46" t="s">
        <v>1458</v>
      </c>
      <c r="E612" s="46" t="s">
        <v>934</v>
      </c>
      <c r="F612" s="182">
        <v>430</v>
      </c>
      <c r="G612" s="46" t="s">
        <v>19</v>
      </c>
      <c r="H612" s="46"/>
      <c r="I612" s="51">
        <v>7150.8</v>
      </c>
      <c r="J612" s="51">
        <v>0</v>
      </c>
      <c r="K612" s="51">
        <f t="shared" si="123"/>
        <v>7150.8</v>
      </c>
      <c r="L612" s="51">
        <v>6600</v>
      </c>
      <c r="M612" s="51">
        <v>0</v>
      </c>
      <c r="N612" s="51">
        <f t="shared" si="124"/>
        <v>6600</v>
      </c>
      <c r="O612" s="51">
        <v>3769.65</v>
      </c>
      <c r="P612" s="179" t="s">
        <v>1587</v>
      </c>
      <c r="Q612" s="179" t="s">
        <v>1375</v>
      </c>
      <c r="R612" s="179" t="s">
        <v>2131</v>
      </c>
      <c r="S612" s="47" t="s">
        <v>1379</v>
      </c>
      <c r="T612" s="54">
        <f>+I612</f>
        <v>7150.8</v>
      </c>
      <c r="U612" s="54"/>
      <c r="AA612">
        <f t="shared" si="115"/>
        <v>430</v>
      </c>
      <c r="AD612" t="str">
        <f t="shared" si="116"/>
        <v>305</v>
      </c>
      <c r="AE612">
        <f t="shared" si="117"/>
        <v>0</v>
      </c>
      <c r="AG612" s="50" t="str">
        <f t="shared" si="118"/>
        <v>ROUTES  VOIRIE ASS ACCIDENTS et MALADIE</v>
      </c>
      <c r="AH612" s="244" t="str">
        <f t="shared" si="119"/>
        <v>61500</v>
      </c>
      <c r="AI612" s="219"/>
      <c r="AJ612" s="219"/>
      <c r="AK612" s="219" t="str">
        <f t="shared" si="120"/>
        <v>3053</v>
      </c>
      <c r="AL612" s="244" t="str">
        <f t="shared" si="121"/>
        <v>00</v>
      </c>
      <c r="AN612" s="219" t="str">
        <f t="shared" si="122"/>
        <v>Cotisations patronales aux assurance-accidents</v>
      </c>
    </row>
    <row r="613" spans="1:40" ht="15.6" customHeight="1" x14ac:dyDescent="0.3">
      <c r="A613" s="48">
        <v>0</v>
      </c>
      <c r="B613" s="74" t="s">
        <v>943</v>
      </c>
      <c r="C613" s="67" t="s">
        <v>944</v>
      </c>
      <c r="D613" s="188" t="s">
        <v>1458</v>
      </c>
      <c r="E613" s="188" t="s">
        <v>934</v>
      </c>
      <c r="F613" s="182">
        <v>430</v>
      </c>
      <c r="G613" s="188" t="s">
        <v>22</v>
      </c>
      <c r="H613" s="188"/>
      <c r="I613" s="51">
        <v>997.9</v>
      </c>
      <c r="J613" s="51">
        <v>0</v>
      </c>
      <c r="K613" s="51">
        <f t="shared" si="123"/>
        <v>997.9</v>
      </c>
      <c r="L613" s="51">
        <v>2500</v>
      </c>
      <c r="M613" s="51">
        <v>0</v>
      </c>
      <c r="N613" s="51">
        <f t="shared" si="124"/>
        <v>2500</v>
      </c>
      <c r="O613" s="51">
        <v>630.9</v>
      </c>
      <c r="P613" s="179" t="s">
        <v>1587</v>
      </c>
      <c r="Q613" s="179" t="s">
        <v>1393</v>
      </c>
      <c r="R613" s="179" t="s">
        <v>2131</v>
      </c>
      <c r="S613" s="47" t="s">
        <v>2073</v>
      </c>
      <c r="T613" s="54">
        <f>+I613</f>
        <v>997.9</v>
      </c>
      <c r="U613" s="54"/>
      <c r="AA613">
        <f t="shared" si="115"/>
        <v>430</v>
      </c>
      <c r="AD613" t="str">
        <f t="shared" si="116"/>
        <v>306</v>
      </c>
      <c r="AE613">
        <f t="shared" si="117"/>
        <v>0</v>
      </c>
      <c r="AG613" s="50" t="str">
        <f t="shared" si="118"/>
        <v>ROUTES  VOIRIE INDEMNISATION et REMBOURSEMENT DE  FRAIS</v>
      </c>
      <c r="AH613" s="244" t="str">
        <f t="shared" si="119"/>
        <v>61500</v>
      </c>
      <c r="AI613" s="219"/>
      <c r="AJ613" s="219"/>
      <c r="AK613" s="219" t="str">
        <f t="shared" si="120"/>
        <v>3170</v>
      </c>
      <c r="AL613" s="244" t="str">
        <f t="shared" si="121"/>
        <v>00</v>
      </c>
      <c r="AN613" s="219" t="str">
        <f t="shared" si="122"/>
        <v>Remboursements de frais effectifs km</v>
      </c>
    </row>
    <row r="614" spans="1:40" ht="15.6" customHeight="1" x14ac:dyDescent="0.3">
      <c r="A614" s="48"/>
      <c r="B614" s="74" t="s">
        <v>943</v>
      </c>
      <c r="C614" s="67" t="s">
        <v>944</v>
      </c>
      <c r="D614" s="188" t="s">
        <v>1458</v>
      </c>
      <c r="E614" s="188" t="s">
        <v>934</v>
      </c>
      <c r="F614" s="182">
        <v>430</v>
      </c>
      <c r="G614" s="188" t="s">
        <v>22</v>
      </c>
      <c r="H614" s="188"/>
      <c r="I614" s="51">
        <v>0</v>
      </c>
      <c r="J614" s="51">
        <v>0</v>
      </c>
      <c r="K614" s="51">
        <f t="shared" ref="K614:K645" si="125">+I614+J614</f>
        <v>0</v>
      </c>
      <c r="L614" s="51">
        <v>0</v>
      </c>
      <c r="M614" s="51">
        <v>0</v>
      </c>
      <c r="N614" s="51">
        <f t="shared" si="124"/>
        <v>0</v>
      </c>
      <c r="O614" s="51"/>
      <c r="P614" s="179" t="s">
        <v>1587</v>
      </c>
      <c r="Q614" s="179" t="s">
        <v>1380</v>
      </c>
      <c r="R614" s="179" t="s">
        <v>2131</v>
      </c>
      <c r="S614" s="47" t="s">
        <v>1381</v>
      </c>
      <c r="T614" s="54"/>
      <c r="U614" s="54"/>
      <c r="AA614">
        <f t="shared" si="115"/>
        <v>430</v>
      </c>
      <c r="AD614" t="str">
        <f t="shared" si="116"/>
        <v>306</v>
      </c>
      <c r="AE614">
        <f t="shared" si="117"/>
        <v>0</v>
      </c>
      <c r="AG614" s="50" t="str">
        <f t="shared" si="118"/>
        <v>ROUTES  VOIRIE INDEMNISATION et REMBOURSEMENT DE  FRAIS</v>
      </c>
      <c r="AH614" s="244" t="str">
        <f t="shared" si="119"/>
        <v>61500</v>
      </c>
      <c r="AI614" s="219"/>
      <c r="AJ614" s="219"/>
      <c r="AK614" s="219" t="str">
        <f t="shared" si="120"/>
        <v>3099</v>
      </c>
      <c r="AL614" s="244" t="str">
        <f t="shared" si="121"/>
        <v>00</v>
      </c>
      <c r="AN614" s="219" t="str">
        <f t="shared" si="122"/>
        <v>Autres charges du personnel</v>
      </c>
    </row>
    <row r="615" spans="1:40" ht="15" customHeight="1" x14ac:dyDescent="0.3">
      <c r="A615" s="48" t="s">
        <v>1588</v>
      </c>
      <c r="B615" s="77" t="s">
        <v>945</v>
      </c>
      <c r="C615" s="78" t="s">
        <v>946</v>
      </c>
      <c r="D615" s="182" t="s">
        <v>1458</v>
      </c>
      <c r="E615" s="182" t="s">
        <v>934</v>
      </c>
      <c r="F615" s="182">
        <v>430</v>
      </c>
      <c r="G615" s="182" t="s">
        <v>81</v>
      </c>
      <c r="H615" s="182"/>
      <c r="I615" s="51">
        <v>1215</v>
      </c>
      <c r="J615" s="51">
        <v>0</v>
      </c>
      <c r="K615" s="51">
        <f t="shared" si="125"/>
        <v>1215</v>
      </c>
      <c r="L615" s="51">
        <v>1500</v>
      </c>
      <c r="M615" s="51">
        <v>0</v>
      </c>
      <c r="N615" s="51">
        <f t="shared" si="124"/>
        <v>1500</v>
      </c>
      <c r="O615" s="51">
        <v>0</v>
      </c>
      <c r="P615" s="179" t="s">
        <v>1587</v>
      </c>
      <c r="Q615" s="179" t="s">
        <v>1368</v>
      </c>
      <c r="R615" s="179" t="s">
        <v>2131</v>
      </c>
      <c r="S615" s="47" t="s">
        <v>1392</v>
      </c>
      <c r="T615" s="54">
        <f>+I615</f>
        <v>1215</v>
      </c>
      <c r="U615" s="54"/>
      <c r="AA615">
        <f t="shared" si="115"/>
        <v>430</v>
      </c>
      <c r="AD615" t="str">
        <f t="shared" si="116"/>
        <v>309</v>
      </c>
      <c r="AE615">
        <f t="shared" si="117"/>
        <v>0</v>
      </c>
      <c r="AG615" s="50" t="str">
        <f t="shared" si="118"/>
        <v>ROUTES  VOIRIE COURS DE FORMATION</v>
      </c>
      <c r="AH615" s="244" t="str">
        <f t="shared" si="119"/>
        <v>61500</v>
      </c>
      <c r="AI615" s="219"/>
      <c r="AJ615" s="219"/>
      <c r="AK615" s="219" t="str">
        <f t="shared" si="120"/>
        <v>3090</v>
      </c>
      <c r="AL615" s="244" t="str">
        <f t="shared" si="121"/>
        <v>00</v>
      </c>
      <c r="AN615" s="219" t="str">
        <f t="shared" si="122"/>
        <v>Formation et perfectionnement</v>
      </c>
    </row>
    <row r="616" spans="1:40" ht="15" customHeight="1" x14ac:dyDescent="0.3">
      <c r="A616" s="48"/>
      <c r="B616" s="77" t="s">
        <v>945</v>
      </c>
      <c r="C616" s="78" t="s">
        <v>946</v>
      </c>
      <c r="D616" s="182" t="s">
        <v>1458</v>
      </c>
      <c r="E616" s="182" t="s">
        <v>934</v>
      </c>
      <c r="F616" s="182">
        <v>430</v>
      </c>
      <c r="G616" s="182" t="s">
        <v>81</v>
      </c>
      <c r="H616" s="182"/>
      <c r="I616" s="51">
        <v>0</v>
      </c>
      <c r="J616" s="51">
        <v>0</v>
      </c>
      <c r="K616" s="51">
        <f t="shared" si="125"/>
        <v>0</v>
      </c>
      <c r="L616" s="51">
        <v>0</v>
      </c>
      <c r="M616" s="51">
        <v>0</v>
      </c>
      <c r="N616" s="51">
        <f t="shared" si="124"/>
        <v>0</v>
      </c>
      <c r="O616" s="51"/>
      <c r="P616" s="179" t="s">
        <v>1587</v>
      </c>
      <c r="Q616" s="179" t="s">
        <v>1540</v>
      </c>
      <c r="R616" s="179" t="s">
        <v>2131</v>
      </c>
      <c r="S616" s="47" t="s">
        <v>1543</v>
      </c>
      <c r="T616" s="54"/>
      <c r="U616" s="54"/>
      <c r="AA616">
        <f t="shared" si="115"/>
        <v>430</v>
      </c>
      <c r="AD616" t="str">
        <f t="shared" si="116"/>
        <v>309</v>
      </c>
      <c r="AE616">
        <f t="shared" si="117"/>
        <v>0</v>
      </c>
      <c r="AG616" s="50" t="str">
        <f t="shared" si="118"/>
        <v>ROUTES  VOIRIE COURS DE FORMATION</v>
      </c>
      <c r="AH616" s="244" t="str">
        <f t="shared" si="119"/>
        <v>61500</v>
      </c>
      <c r="AI616" s="219"/>
      <c r="AJ616" s="219"/>
      <c r="AK616" s="219" t="str">
        <f t="shared" si="120"/>
        <v>3091</v>
      </c>
      <c r="AL616" s="244" t="str">
        <f t="shared" si="121"/>
        <v>00</v>
      </c>
      <c r="AN616" s="219" t="str">
        <f t="shared" si="122"/>
        <v>Recrutement</v>
      </c>
    </row>
    <row r="617" spans="1:40" ht="15" customHeight="1" x14ac:dyDescent="0.3">
      <c r="A617" s="48">
        <v>0</v>
      </c>
      <c r="B617" s="49" t="s">
        <v>947</v>
      </c>
      <c r="C617" s="67" t="s">
        <v>948</v>
      </c>
      <c r="D617" s="46" t="s">
        <v>1458</v>
      </c>
      <c r="E617" s="46" t="s">
        <v>934</v>
      </c>
      <c r="F617" s="182">
        <v>430</v>
      </c>
      <c r="G617" s="46" t="s">
        <v>25</v>
      </c>
      <c r="H617" s="46"/>
      <c r="I617" s="65">
        <v>47309.65</v>
      </c>
      <c r="J617" s="51">
        <v>0</v>
      </c>
      <c r="K617" s="51">
        <f t="shared" si="125"/>
        <v>47309.65</v>
      </c>
      <c r="L617" s="51">
        <v>45000</v>
      </c>
      <c r="M617" s="51">
        <v>0</v>
      </c>
      <c r="N617" s="51">
        <f t="shared" si="124"/>
        <v>45000</v>
      </c>
      <c r="O617" s="51">
        <v>22006.400000000001</v>
      </c>
      <c r="P617" s="179" t="s">
        <v>1587</v>
      </c>
      <c r="Q617" s="179" t="s">
        <v>1426</v>
      </c>
      <c r="R617" s="179" t="s">
        <v>2131</v>
      </c>
      <c r="S617" s="55" t="s">
        <v>1830</v>
      </c>
      <c r="T617" s="53">
        <f>+I617</f>
        <v>47309.65</v>
      </c>
      <c r="U617" s="54"/>
      <c r="V617" s="7" t="s">
        <v>2038</v>
      </c>
      <c r="W617" t="s">
        <v>1599</v>
      </c>
      <c r="AA617">
        <f t="shared" si="115"/>
        <v>430</v>
      </c>
      <c r="AD617" t="str">
        <f t="shared" si="116"/>
        <v>311</v>
      </c>
      <c r="AE617">
        <f t="shared" si="117"/>
        <v>0</v>
      </c>
      <c r="AG617" s="50" t="str">
        <f t="shared" si="118"/>
        <v>ROUTES  VOIRIE ACHATS MACHINE MATERIEL HABITS</v>
      </c>
      <c r="AH617" s="244" t="str">
        <f t="shared" si="119"/>
        <v>61500</v>
      </c>
      <c r="AI617" s="219"/>
      <c r="AJ617" s="219"/>
      <c r="AK617" s="219" t="str">
        <f t="shared" si="120"/>
        <v>3101</v>
      </c>
      <c r="AL617" s="244" t="str">
        <f t="shared" si="121"/>
        <v>00</v>
      </c>
      <c r="AN617" s="219" t="str">
        <f t="shared" si="122"/>
        <v>Matériel d'exploitation, petites fournitures</v>
      </c>
    </row>
    <row r="618" spans="1:40" ht="15" customHeight="1" x14ac:dyDescent="0.3">
      <c r="A618" s="48">
        <v>0</v>
      </c>
      <c r="B618" s="77" t="s">
        <v>953</v>
      </c>
      <c r="C618" s="78" t="s">
        <v>954</v>
      </c>
      <c r="D618" s="182" t="s">
        <v>1458</v>
      </c>
      <c r="E618" s="182" t="s">
        <v>934</v>
      </c>
      <c r="F618" s="182">
        <v>430</v>
      </c>
      <c r="G618" s="182" t="s">
        <v>439</v>
      </c>
      <c r="H618" s="182"/>
      <c r="I618" s="65">
        <v>31146.35</v>
      </c>
      <c r="J618" s="51">
        <v>0</v>
      </c>
      <c r="K618" s="51">
        <f t="shared" si="125"/>
        <v>31146.35</v>
      </c>
      <c r="L618" s="51">
        <v>17500</v>
      </c>
      <c r="M618" s="51">
        <v>0</v>
      </c>
      <c r="N618" s="51">
        <f t="shared" si="124"/>
        <v>17500</v>
      </c>
      <c r="O618" s="51">
        <v>5002.05</v>
      </c>
      <c r="P618" s="179" t="s">
        <v>1587</v>
      </c>
      <c r="Q618" s="179" t="s">
        <v>1426</v>
      </c>
      <c r="R618" s="179" t="s">
        <v>2131</v>
      </c>
      <c r="S618" s="55" t="s">
        <v>1830</v>
      </c>
      <c r="T618" s="53">
        <f>+I618</f>
        <v>31146.35</v>
      </c>
      <c r="U618" s="54"/>
      <c r="V618" s="7" t="s">
        <v>2038</v>
      </c>
      <c r="AA618">
        <f t="shared" si="115"/>
        <v>430</v>
      </c>
      <c r="AD618" t="str">
        <f t="shared" si="116"/>
        <v>313</v>
      </c>
      <c r="AE618">
        <f t="shared" si="117"/>
        <v>0</v>
      </c>
      <c r="AG618" s="50" t="str">
        <f t="shared" si="118"/>
        <v>ROUTES  VOIRIE ACHATS MARCHANDISES PROD ENTRETIEN Consommables</v>
      </c>
      <c r="AH618" s="244" t="str">
        <f t="shared" si="119"/>
        <v>61500</v>
      </c>
      <c r="AI618" s="219"/>
      <c r="AJ618" s="219"/>
      <c r="AK618" s="219" t="str">
        <f t="shared" si="120"/>
        <v>3101</v>
      </c>
      <c r="AL618" s="244" t="str">
        <f t="shared" si="121"/>
        <v>00</v>
      </c>
      <c r="AN618" s="219" t="str">
        <f t="shared" si="122"/>
        <v>Matériel d'exploitation, petites fournitures</v>
      </c>
    </row>
    <row r="619" spans="1:40" ht="15" customHeight="1" x14ac:dyDescent="0.3">
      <c r="A619" s="48"/>
      <c r="B619" s="77" t="s">
        <v>953</v>
      </c>
      <c r="C619" s="78" t="s">
        <v>954</v>
      </c>
      <c r="D619" s="182" t="s">
        <v>1458</v>
      </c>
      <c r="E619" s="182" t="s">
        <v>934</v>
      </c>
      <c r="F619" s="182">
        <v>430</v>
      </c>
      <c r="G619" s="182" t="s">
        <v>439</v>
      </c>
      <c r="H619" s="182"/>
      <c r="I619" s="51">
        <v>0</v>
      </c>
      <c r="J619" s="51">
        <v>0</v>
      </c>
      <c r="K619" s="51">
        <f t="shared" si="125"/>
        <v>0</v>
      </c>
      <c r="L619" s="51">
        <v>0</v>
      </c>
      <c r="M619" s="51">
        <v>0</v>
      </c>
      <c r="N619" s="51">
        <f t="shared" si="124"/>
        <v>0</v>
      </c>
      <c r="O619" s="51"/>
      <c r="P619" s="179" t="s">
        <v>1587</v>
      </c>
      <c r="Q619" s="179" t="s">
        <v>1493</v>
      </c>
      <c r="R619" s="179" t="s">
        <v>2131</v>
      </c>
      <c r="S619" s="47" t="s">
        <v>1494</v>
      </c>
      <c r="T619" s="54"/>
      <c r="U619" s="54"/>
      <c r="W619" t="s">
        <v>1589</v>
      </c>
      <c r="AA619">
        <f t="shared" si="115"/>
        <v>430</v>
      </c>
      <c r="AD619" t="str">
        <f t="shared" si="116"/>
        <v>313</v>
      </c>
      <c r="AE619">
        <f t="shared" si="117"/>
        <v>0</v>
      </c>
      <c r="AG619" s="50" t="str">
        <f t="shared" si="118"/>
        <v>ROUTES  VOIRIE ACHATS MARCHANDISES PROD ENTRETIEN Consommables</v>
      </c>
      <c r="AH619" s="244" t="str">
        <f t="shared" si="119"/>
        <v>61500</v>
      </c>
      <c r="AI619" s="219"/>
      <c r="AJ619" s="219"/>
      <c r="AK619" s="219" t="str">
        <f t="shared" si="120"/>
        <v>3111</v>
      </c>
      <c r="AL619" s="244" t="str">
        <f t="shared" si="121"/>
        <v>00</v>
      </c>
      <c r="AN619" s="219" t="str">
        <f t="shared" si="122"/>
        <v>Machines, appareils et véhicules</v>
      </c>
    </row>
    <row r="620" spans="1:40" ht="15" customHeight="1" x14ac:dyDescent="0.3">
      <c r="A620" s="48">
        <v>0</v>
      </c>
      <c r="B620" s="74" t="s">
        <v>949</v>
      </c>
      <c r="C620" s="67" t="s">
        <v>950</v>
      </c>
      <c r="D620" s="188" t="s">
        <v>1458</v>
      </c>
      <c r="E620" s="188" t="s">
        <v>934</v>
      </c>
      <c r="F620" s="182">
        <v>430</v>
      </c>
      <c r="G620" s="188" t="s">
        <v>25</v>
      </c>
      <c r="H620" s="188">
        <v>1</v>
      </c>
      <c r="I620" s="51">
        <v>7239.15</v>
      </c>
      <c r="J620" s="51">
        <v>0</v>
      </c>
      <c r="K620" s="51">
        <f t="shared" si="125"/>
        <v>7239.15</v>
      </c>
      <c r="L620" s="51">
        <v>15000</v>
      </c>
      <c r="M620" s="51">
        <v>0</v>
      </c>
      <c r="N620" s="51">
        <f t="shared" si="124"/>
        <v>15000</v>
      </c>
      <c r="O620" s="51">
        <v>2449.9</v>
      </c>
      <c r="P620" s="179" t="s">
        <v>1587</v>
      </c>
      <c r="Q620" s="179" t="s">
        <v>1590</v>
      </c>
      <c r="R620" s="179" t="s">
        <v>2133</v>
      </c>
      <c r="S620" s="68" t="s">
        <v>2068</v>
      </c>
      <c r="T620" s="54">
        <f>+I620</f>
        <v>7239.15</v>
      </c>
      <c r="U620" s="54"/>
      <c r="AA620">
        <f t="shared" si="115"/>
        <v>430</v>
      </c>
      <c r="AD620" t="str">
        <f t="shared" si="116"/>
        <v>311</v>
      </c>
      <c r="AE620">
        <f t="shared" si="117"/>
        <v>1</v>
      </c>
      <c r="AG620" s="50" t="str">
        <f t="shared" si="118"/>
        <v>ROUTES  VOIRIE ACHATS SIGNALISATION</v>
      </c>
      <c r="AH620" s="244" t="str">
        <f t="shared" si="119"/>
        <v>61500</v>
      </c>
      <c r="AI620" s="219"/>
      <c r="AJ620" s="219"/>
      <c r="AK620" s="219" t="str">
        <f t="shared" si="120"/>
        <v>3141</v>
      </c>
      <c r="AL620" s="244" t="str">
        <f t="shared" si="121"/>
        <v>02</v>
      </c>
      <c r="AN620" s="219" t="str">
        <f t="shared" si="122"/>
        <v>Signalisation routière</v>
      </c>
    </row>
    <row r="621" spans="1:40" ht="15" customHeight="1" x14ac:dyDescent="0.3">
      <c r="A621" s="48"/>
      <c r="B621" s="74" t="s">
        <v>949</v>
      </c>
      <c r="C621" s="67" t="s">
        <v>950</v>
      </c>
      <c r="D621" s="188" t="s">
        <v>1458</v>
      </c>
      <c r="E621" s="188" t="s">
        <v>934</v>
      </c>
      <c r="F621" s="182">
        <v>430</v>
      </c>
      <c r="G621" s="188" t="s">
        <v>25</v>
      </c>
      <c r="H621" s="188">
        <v>1</v>
      </c>
      <c r="I621" s="51">
        <v>0</v>
      </c>
      <c r="J621" s="51">
        <v>0</v>
      </c>
      <c r="K621" s="51">
        <f t="shared" si="125"/>
        <v>0</v>
      </c>
      <c r="L621" s="51">
        <v>0</v>
      </c>
      <c r="M621" s="51">
        <v>0</v>
      </c>
      <c r="N621" s="51">
        <f t="shared" si="124"/>
        <v>0</v>
      </c>
      <c r="O621" s="51"/>
      <c r="P621" s="179" t="s">
        <v>1587</v>
      </c>
      <c r="Q621" s="179" t="s">
        <v>1590</v>
      </c>
      <c r="R621" s="179" t="s">
        <v>2134</v>
      </c>
      <c r="S621" s="68" t="s">
        <v>1591</v>
      </c>
      <c r="T621" s="54"/>
      <c r="U621" s="54"/>
      <c r="W621" t="s">
        <v>1592</v>
      </c>
      <c r="AA621">
        <f t="shared" si="115"/>
        <v>430</v>
      </c>
      <c r="AD621" t="str">
        <f t="shared" si="116"/>
        <v>311</v>
      </c>
      <c r="AE621">
        <f t="shared" si="117"/>
        <v>1</v>
      </c>
      <c r="AG621" s="50" t="str">
        <f t="shared" si="118"/>
        <v>ROUTES  VOIRIE ACHATS SIGNALISATION</v>
      </c>
      <c r="AH621" s="244" t="str">
        <f t="shared" si="119"/>
        <v>61500</v>
      </c>
      <c r="AI621" s="219"/>
      <c r="AJ621" s="219"/>
      <c r="AK621" s="219" t="str">
        <f t="shared" si="120"/>
        <v>3141</v>
      </c>
      <c r="AL621" s="244" t="str">
        <f t="shared" si="121"/>
        <v>03</v>
      </c>
      <c r="AN621" s="219" t="str">
        <f t="shared" si="122"/>
        <v>Entretien des routes et éclairages publics - travaux EP</v>
      </c>
    </row>
    <row r="622" spans="1:40" ht="15" customHeight="1" x14ac:dyDescent="0.3">
      <c r="A622" s="48">
        <v>0</v>
      </c>
      <c r="B622" s="49" t="s">
        <v>951</v>
      </c>
      <c r="C622" s="50" t="s">
        <v>952</v>
      </c>
      <c r="D622" s="46" t="s">
        <v>1458</v>
      </c>
      <c r="E622" s="46" t="s">
        <v>934</v>
      </c>
      <c r="F622" s="182">
        <v>430</v>
      </c>
      <c r="G622" s="46" t="s">
        <v>159</v>
      </c>
      <c r="H622" s="46"/>
      <c r="I622" s="51">
        <v>10146.200000000001</v>
      </c>
      <c r="J622" s="51">
        <v>0</v>
      </c>
      <c r="K622" s="51">
        <f t="shared" si="125"/>
        <v>10146.200000000001</v>
      </c>
      <c r="L622" s="51">
        <v>19000</v>
      </c>
      <c r="M622" s="51">
        <v>0</v>
      </c>
      <c r="N622" s="51">
        <f t="shared" si="124"/>
        <v>19000</v>
      </c>
      <c r="O622" s="51">
        <v>2494.1999999999998</v>
      </c>
      <c r="P622" s="179" t="s">
        <v>1587</v>
      </c>
      <c r="Q622" s="179" t="s">
        <v>1500</v>
      </c>
      <c r="R622" s="179" t="s">
        <v>2132</v>
      </c>
      <c r="S622" s="68" t="s">
        <v>1593</v>
      </c>
      <c r="T622" s="54">
        <f>+I622</f>
        <v>10146.200000000001</v>
      </c>
      <c r="U622" s="54"/>
      <c r="W622" t="s">
        <v>1594</v>
      </c>
      <c r="AA622">
        <f t="shared" si="115"/>
        <v>430</v>
      </c>
      <c r="AD622" t="str">
        <f t="shared" si="116"/>
        <v>312</v>
      </c>
      <c r="AE622">
        <f t="shared" si="117"/>
        <v>0</v>
      </c>
      <c r="AG622" s="50" t="str">
        <f t="shared" si="118"/>
        <v>ROUTES  VOIRIE ACHATS ELECTRICITE</v>
      </c>
      <c r="AH622" s="244" t="str">
        <f t="shared" si="119"/>
        <v>61500</v>
      </c>
      <c r="AI622" s="219"/>
      <c r="AJ622" s="219"/>
      <c r="AK622" s="219" t="str">
        <f t="shared" si="120"/>
        <v>3120</v>
      </c>
      <c r="AL622" s="244" t="str">
        <f t="shared" si="121"/>
        <v>01</v>
      </c>
      <c r="AN622" s="219" t="str">
        <f t="shared" si="122"/>
        <v>Frais électricité, routes EP (Romande Energie)</v>
      </c>
    </row>
    <row r="623" spans="1:40" ht="15" customHeight="1" x14ac:dyDescent="0.3">
      <c r="A623" s="48">
        <v>0</v>
      </c>
      <c r="B623" s="49" t="s">
        <v>955</v>
      </c>
      <c r="C623" s="50" t="s">
        <v>956</v>
      </c>
      <c r="D623" s="46" t="s">
        <v>1458</v>
      </c>
      <c r="E623" s="46" t="s">
        <v>934</v>
      </c>
      <c r="F623" s="182">
        <v>430</v>
      </c>
      <c r="G623" s="46" t="s">
        <v>131</v>
      </c>
      <c r="H623" s="46"/>
      <c r="I623" s="51">
        <v>69279.03</v>
      </c>
      <c r="J623" s="51">
        <v>0</v>
      </c>
      <c r="K623" s="51">
        <f t="shared" si="125"/>
        <v>69279.03</v>
      </c>
      <c r="L623" s="51">
        <v>50000</v>
      </c>
      <c r="M623" s="51">
        <v>0</v>
      </c>
      <c r="N623" s="51">
        <f t="shared" si="124"/>
        <v>50000</v>
      </c>
      <c r="O623" s="51">
        <v>7186.49</v>
      </c>
      <c r="P623" s="179" t="s">
        <v>1587</v>
      </c>
      <c r="Q623" s="179" t="s">
        <v>1590</v>
      </c>
      <c r="R623" s="179" t="s">
        <v>2131</v>
      </c>
      <c r="S623" s="68" t="s">
        <v>1604</v>
      </c>
      <c r="T623" s="54">
        <f>+I623</f>
        <v>69279.03</v>
      </c>
      <c r="U623" s="54"/>
      <c r="AA623">
        <f t="shared" si="115"/>
        <v>430</v>
      </c>
      <c r="AD623" t="str">
        <f t="shared" si="116"/>
        <v>314</v>
      </c>
      <c r="AE623">
        <f t="shared" si="117"/>
        <v>0</v>
      </c>
      <c r="AG623" s="50" t="str">
        <f t="shared" si="118"/>
        <v>ROUTES  ENTRETIEN</v>
      </c>
      <c r="AH623" s="244" t="str">
        <f t="shared" si="119"/>
        <v>61500</v>
      </c>
      <c r="AI623" s="219"/>
      <c r="AJ623" s="219"/>
      <c r="AK623" s="219" t="str">
        <f t="shared" si="120"/>
        <v>3141</v>
      </c>
      <c r="AL623" s="244" t="str">
        <f t="shared" si="121"/>
        <v>00</v>
      </c>
      <c r="AN623" s="219" t="str">
        <f t="shared" si="122"/>
        <v>Entretien des routes - divers</v>
      </c>
    </row>
    <row r="624" spans="1:40" ht="15" customHeight="1" x14ac:dyDescent="0.3">
      <c r="A624" s="48">
        <v>0</v>
      </c>
      <c r="B624" s="74" t="s">
        <v>957</v>
      </c>
      <c r="C624" s="67" t="s">
        <v>958</v>
      </c>
      <c r="D624" s="188" t="s">
        <v>1458</v>
      </c>
      <c r="E624" s="188" t="s">
        <v>934</v>
      </c>
      <c r="F624" s="182">
        <v>430</v>
      </c>
      <c r="G624" s="188" t="s">
        <v>131</v>
      </c>
      <c r="H624" s="188">
        <v>0</v>
      </c>
      <c r="I624" s="51">
        <v>7350.3</v>
      </c>
      <c r="J624" s="51">
        <v>0</v>
      </c>
      <c r="K624" s="51">
        <f t="shared" si="125"/>
        <v>7350.3</v>
      </c>
      <c r="L624" s="51">
        <v>8000</v>
      </c>
      <c r="M624" s="51">
        <v>0</v>
      </c>
      <c r="N624" s="51">
        <f t="shared" si="124"/>
        <v>8000</v>
      </c>
      <c r="O624" s="51">
        <v>12559.06</v>
      </c>
      <c r="P624" s="179" t="s">
        <v>1595</v>
      </c>
      <c r="Q624" s="179" t="s">
        <v>1426</v>
      </c>
      <c r="R624" s="179" t="s">
        <v>2131</v>
      </c>
      <c r="S624" s="57" t="s">
        <v>2087</v>
      </c>
      <c r="T624" s="54">
        <f>+I624</f>
        <v>7350.3</v>
      </c>
      <c r="U624" s="54"/>
      <c r="V624" s="7" t="s">
        <v>2038</v>
      </c>
      <c r="W624" t="s">
        <v>1596</v>
      </c>
      <c r="AA624">
        <f t="shared" si="115"/>
        <v>430</v>
      </c>
      <c r="AD624" t="str">
        <f t="shared" si="116"/>
        <v>314</v>
      </c>
      <c r="AE624">
        <f t="shared" si="117"/>
        <v>0</v>
      </c>
      <c r="AG624" s="50" t="str">
        <f t="shared" si="118"/>
        <v>ROUTES  Espaces verts, fleurs (hors dép.thématiques)</v>
      </c>
      <c r="AH624" s="244" t="str">
        <f t="shared" si="119"/>
        <v>34200</v>
      </c>
      <c r="AI624" s="219"/>
      <c r="AJ624" s="219"/>
      <c r="AK624" s="219" t="str">
        <f t="shared" si="120"/>
        <v>3101</v>
      </c>
      <c r="AL624" s="244" t="str">
        <f t="shared" si="121"/>
        <v>00</v>
      </c>
      <c r="AN624" s="219" t="str">
        <f t="shared" si="122"/>
        <v>Matériel d'exploitation, petites fournitures - fleurs</v>
      </c>
    </row>
    <row r="625" spans="1:40" ht="15" customHeight="1" x14ac:dyDescent="0.3">
      <c r="A625" s="48"/>
      <c r="B625" s="74" t="s">
        <v>957</v>
      </c>
      <c r="C625" s="67" t="s">
        <v>958</v>
      </c>
      <c r="D625" s="188" t="s">
        <v>1458</v>
      </c>
      <c r="E625" s="188" t="s">
        <v>934</v>
      </c>
      <c r="F625" s="182">
        <v>430</v>
      </c>
      <c r="G625" s="188" t="s">
        <v>131</v>
      </c>
      <c r="H625" s="188">
        <v>0</v>
      </c>
      <c r="I625" s="51">
        <v>0</v>
      </c>
      <c r="J625" s="51">
        <v>0</v>
      </c>
      <c r="K625" s="51">
        <f t="shared" si="125"/>
        <v>0</v>
      </c>
      <c r="L625" s="51">
        <v>0</v>
      </c>
      <c r="M625" s="51">
        <v>0</v>
      </c>
      <c r="N625" s="51">
        <f t="shared" ref="N625:N656" si="126">+L625+M625</f>
        <v>0</v>
      </c>
      <c r="O625" s="51"/>
      <c r="P625" s="179" t="s">
        <v>1595</v>
      </c>
      <c r="Q625" s="179" t="s">
        <v>1570</v>
      </c>
      <c r="R625" s="179" t="s">
        <v>2131</v>
      </c>
      <c r="S625" s="47" t="s">
        <v>1571</v>
      </c>
      <c r="T625" s="54"/>
      <c r="U625" s="54"/>
      <c r="W625" t="s">
        <v>1597</v>
      </c>
      <c r="AA625">
        <f t="shared" si="115"/>
        <v>430</v>
      </c>
      <c r="AD625" t="str">
        <f t="shared" si="116"/>
        <v>314</v>
      </c>
      <c r="AE625">
        <f t="shared" si="117"/>
        <v>0</v>
      </c>
      <c r="AG625" s="50" t="str">
        <f t="shared" si="118"/>
        <v>ROUTES  Espaces verts, fleurs (hors dép.thématiques)</v>
      </c>
      <c r="AH625" s="244" t="str">
        <f t="shared" si="119"/>
        <v>34200</v>
      </c>
      <c r="AI625" s="219"/>
      <c r="AJ625" s="219"/>
      <c r="AK625" s="219" t="str">
        <f t="shared" si="120"/>
        <v>3143</v>
      </c>
      <c r="AL625" s="244" t="str">
        <f t="shared" si="121"/>
        <v>00</v>
      </c>
      <c r="AN625" s="219" t="str">
        <f t="shared" si="122"/>
        <v>Entretien autres travaux de genie civil</v>
      </c>
    </row>
    <row r="626" spans="1:40" ht="15" customHeight="1" x14ac:dyDescent="0.3">
      <c r="A626" s="48">
        <v>0</v>
      </c>
      <c r="B626" s="49" t="s">
        <v>959</v>
      </c>
      <c r="C626" s="50" t="s">
        <v>960</v>
      </c>
      <c r="D626" s="46" t="s">
        <v>1458</v>
      </c>
      <c r="E626" s="46" t="s">
        <v>934</v>
      </c>
      <c r="F626" s="182">
        <v>430</v>
      </c>
      <c r="G626" s="46" t="s">
        <v>131</v>
      </c>
      <c r="H626" s="46">
        <v>1</v>
      </c>
      <c r="I626" s="51">
        <v>4577.3</v>
      </c>
      <c r="J626" s="51">
        <v>0</v>
      </c>
      <c r="K626" s="51">
        <f t="shared" si="125"/>
        <v>4577.3</v>
      </c>
      <c r="L626" s="51">
        <v>4000</v>
      </c>
      <c r="M626" s="51">
        <v>0</v>
      </c>
      <c r="N626" s="51">
        <f t="shared" si="126"/>
        <v>4000</v>
      </c>
      <c r="O626" s="51">
        <v>2889.5</v>
      </c>
      <c r="P626" s="179" t="s">
        <v>1598</v>
      </c>
      <c r="Q626" s="179" t="s">
        <v>1590</v>
      </c>
      <c r="R626" s="179" t="s">
        <v>2135</v>
      </c>
      <c r="S626" s="68" t="s">
        <v>2013</v>
      </c>
      <c r="T626" s="54">
        <f>+I626</f>
        <v>4577.3</v>
      </c>
      <c r="U626" s="54"/>
      <c r="AA626">
        <f t="shared" si="115"/>
        <v>430</v>
      </c>
      <c r="AD626" t="str">
        <f t="shared" si="116"/>
        <v>314</v>
      </c>
      <c r="AE626">
        <f t="shared" si="117"/>
        <v>1</v>
      </c>
      <c r="AG626" s="50" t="str">
        <f t="shared" si="118"/>
        <v>ROUTES  ENTRETIEN CHEMINS FORESTIERS</v>
      </c>
      <c r="AH626" s="244" t="str">
        <f t="shared" si="119"/>
        <v>82000</v>
      </c>
      <c r="AI626" s="219"/>
      <c r="AJ626" s="219"/>
      <c r="AK626" s="219" t="str">
        <f t="shared" si="120"/>
        <v>3141</v>
      </c>
      <c r="AL626" s="244" t="str">
        <f t="shared" si="121"/>
        <v>04</v>
      </c>
      <c r="AN626" s="219" t="str">
        <f t="shared" si="122"/>
        <v>Entretien des routes - chemins forestiers</v>
      </c>
    </row>
    <row r="627" spans="1:40" ht="15" customHeight="1" x14ac:dyDescent="0.3">
      <c r="A627" s="48">
        <v>0</v>
      </c>
      <c r="B627" s="49" t="s">
        <v>961</v>
      </c>
      <c r="C627" s="50" t="s">
        <v>962</v>
      </c>
      <c r="D627" s="46" t="s">
        <v>1458</v>
      </c>
      <c r="E627" s="46" t="s">
        <v>934</v>
      </c>
      <c r="F627" s="182">
        <v>430</v>
      </c>
      <c r="G627" s="46" t="s">
        <v>131</v>
      </c>
      <c r="H627" s="46">
        <v>2</v>
      </c>
      <c r="I627" s="51">
        <v>4006.21</v>
      </c>
      <c r="J627" s="51">
        <v>0</v>
      </c>
      <c r="K627" s="51">
        <f t="shared" si="125"/>
        <v>4006.21</v>
      </c>
      <c r="L627" s="51">
        <v>20000</v>
      </c>
      <c r="M627" s="51">
        <v>0</v>
      </c>
      <c r="N627" s="51">
        <f t="shared" si="126"/>
        <v>20000</v>
      </c>
      <c r="O627" s="51">
        <v>8604.75</v>
      </c>
      <c r="P627" s="179" t="s">
        <v>1587</v>
      </c>
      <c r="Q627" s="179" t="s">
        <v>1590</v>
      </c>
      <c r="R627" s="179" t="s">
        <v>2132</v>
      </c>
      <c r="S627" s="68" t="s">
        <v>2014</v>
      </c>
      <c r="T627" s="54">
        <f>+I627</f>
        <v>4006.21</v>
      </c>
      <c r="U627" s="54"/>
      <c r="AA627">
        <f t="shared" si="115"/>
        <v>430</v>
      </c>
      <c r="AD627" t="str">
        <f t="shared" si="116"/>
        <v>314</v>
      </c>
      <c r="AE627">
        <f t="shared" si="117"/>
        <v>2</v>
      </c>
      <c r="AG627" s="50" t="str">
        <f t="shared" si="118"/>
        <v>ROUTES  ENTRETIEN DENEIGEMENT COMMUNAL</v>
      </c>
      <c r="AH627" s="244" t="str">
        <f t="shared" si="119"/>
        <v>61500</v>
      </c>
      <c r="AI627" s="219"/>
      <c r="AJ627" s="219"/>
      <c r="AK627" s="219" t="str">
        <f t="shared" si="120"/>
        <v>3141</v>
      </c>
      <c r="AL627" s="244" t="str">
        <f t="shared" si="121"/>
        <v>01</v>
      </c>
      <c r="AN627" s="219" t="str">
        <f t="shared" si="122"/>
        <v>Entretien des routes - déneigement</v>
      </c>
    </row>
    <row r="628" spans="1:40" ht="15" customHeight="1" x14ac:dyDescent="0.3">
      <c r="A628" s="48">
        <v>0</v>
      </c>
      <c r="B628" s="74" t="s">
        <v>963</v>
      </c>
      <c r="C628" s="67" t="s">
        <v>964</v>
      </c>
      <c r="D628" s="188" t="s">
        <v>1458</v>
      </c>
      <c r="E628" s="188" t="s">
        <v>934</v>
      </c>
      <c r="F628" s="182">
        <v>430</v>
      </c>
      <c r="G628" s="188" t="s">
        <v>123</v>
      </c>
      <c r="H628" s="188"/>
      <c r="I628" s="51">
        <v>47774.45</v>
      </c>
      <c r="J628" s="51">
        <v>0</v>
      </c>
      <c r="K628" s="51">
        <f t="shared" si="125"/>
        <v>47774.45</v>
      </c>
      <c r="L628" s="51">
        <v>32500</v>
      </c>
      <c r="M628" s="51">
        <v>0</v>
      </c>
      <c r="N628" s="51">
        <f t="shared" si="126"/>
        <v>32500</v>
      </c>
      <c r="O628" s="51">
        <v>24614.3</v>
      </c>
      <c r="P628" s="179" t="s">
        <v>1587</v>
      </c>
      <c r="Q628" s="179" t="s">
        <v>1426</v>
      </c>
      <c r="R628" s="179" t="s">
        <v>2132</v>
      </c>
      <c r="S628" s="47" t="s">
        <v>2042</v>
      </c>
      <c r="T628" s="54">
        <f>+I628</f>
        <v>47774.45</v>
      </c>
      <c r="U628" s="54"/>
      <c r="V628" s="7" t="s">
        <v>2038</v>
      </c>
      <c r="W628" t="s">
        <v>1600</v>
      </c>
      <c r="AA628">
        <f t="shared" si="115"/>
        <v>430</v>
      </c>
      <c r="AD628" t="str">
        <f t="shared" si="116"/>
        <v>315</v>
      </c>
      <c r="AE628">
        <f t="shared" si="117"/>
        <v>0</v>
      </c>
      <c r="AG628" s="50" t="str">
        <f t="shared" si="118"/>
        <v>ROUTES  VOIRIE ENTRETIEN MACH VHC INST TECH</v>
      </c>
      <c r="AH628" s="244" t="str">
        <f t="shared" si="119"/>
        <v>61500</v>
      </c>
      <c r="AI628" s="219"/>
      <c r="AJ628" s="219"/>
      <c r="AK628" s="219" t="str">
        <f t="shared" si="120"/>
        <v>3101</v>
      </c>
      <c r="AL628" s="244" t="str">
        <f t="shared" si="121"/>
        <v>01</v>
      </c>
      <c r="AN628" s="219" t="str">
        <f t="shared" si="122"/>
        <v>Matériel d'exploitation, essence</v>
      </c>
    </row>
    <row r="629" spans="1:40" ht="15" customHeight="1" x14ac:dyDescent="0.3">
      <c r="A629" s="48"/>
      <c r="B629" s="74" t="s">
        <v>963</v>
      </c>
      <c r="C629" s="67" t="s">
        <v>964</v>
      </c>
      <c r="D629" s="188" t="s">
        <v>1458</v>
      </c>
      <c r="E629" s="188" t="s">
        <v>934</v>
      </c>
      <c r="F629" s="182">
        <v>430</v>
      </c>
      <c r="G629" s="188" t="s">
        <v>123</v>
      </c>
      <c r="H629" s="188"/>
      <c r="I629" s="51">
        <v>0</v>
      </c>
      <c r="J629" s="51">
        <v>0</v>
      </c>
      <c r="K629" s="51">
        <f t="shared" si="125"/>
        <v>0</v>
      </c>
      <c r="L629" s="51">
        <v>0</v>
      </c>
      <c r="M629" s="51">
        <v>0</v>
      </c>
      <c r="N629" s="51">
        <f t="shared" si="126"/>
        <v>0</v>
      </c>
      <c r="O629" s="51"/>
      <c r="P629" s="179" t="s">
        <v>1587</v>
      </c>
      <c r="Q629" s="179" t="s">
        <v>1601</v>
      </c>
      <c r="R629" s="179" t="s">
        <v>2131</v>
      </c>
      <c r="S629" s="47" t="s">
        <v>1602</v>
      </c>
      <c r="T629" s="54"/>
      <c r="U629" s="54"/>
      <c r="AA629">
        <f t="shared" si="115"/>
        <v>430</v>
      </c>
      <c r="AD629" t="str">
        <f t="shared" si="116"/>
        <v>315</v>
      </c>
      <c r="AE629">
        <f t="shared" si="117"/>
        <v>0</v>
      </c>
      <c r="AG629" s="50" t="str">
        <f t="shared" si="118"/>
        <v>ROUTES  VOIRIE ENTRETIEN MACH VHC INST TECH</v>
      </c>
      <c r="AH629" s="244" t="str">
        <f t="shared" si="119"/>
        <v>61500</v>
      </c>
      <c r="AI629" s="219"/>
      <c r="AJ629" s="219"/>
      <c r="AK629" s="219" t="str">
        <f t="shared" si="120"/>
        <v>3151</v>
      </c>
      <c r="AL629" s="244" t="str">
        <f t="shared" si="121"/>
        <v>00</v>
      </c>
      <c r="AN629" s="219" t="str">
        <f t="shared" si="122"/>
        <v>Entretien de machines, hors véhicules</v>
      </c>
    </row>
    <row r="630" spans="1:40" ht="15" customHeight="1" x14ac:dyDescent="0.3">
      <c r="A630" s="48"/>
      <c r="B630" s="74" t="s">
        <v>963</v>
      </c>
      <c r="C630" s="67" t="s">
        <v>964</v>
      </c>
      <c r="D630" s="188" t="s">
        <v>1458</v>
      </c>
      <c r="E630" s="188" t="s">
        <v>934</v>
      </c>
      <c r="F630" s="182">
        <v>430</v>
      </c>
      <c r="G630" s="188" t="s">
        <v>123</v>
      </c>
      <c r="H630" s="188"/>
      <c r="I630" s="51">
        <v>0</v>
      </c>
      <c r="J630" s="51">
        <v>0</v>
      </c>
      <c r="K630" s="51">
        <f t="shared" si="125"/>
        <v>0</v>
      </c>
      <c r="L630" s="51">
        <v>0</v>
      </c>
      <c r="M630" s="51">
        <v>0</v>
      </c>
      <c r="N630" s="51">
        <f t="shared" si="126"/>
        <v>0</v>
      </c>
      <c r="O630" s="51"/>
      <c r="P630" s="179" t="s">
        <v>1587</v>
      </c>
      <c r="Q630" s="179" t="s">
        <v>1601</v>
      </c>
      <c r="R630" s="179" t="s">
        <v>2132</v>
      </c>
      <c r="S630" s="47" t="s">
        <v>1603</v>
      </c>
      <c r="T630" s="54"/>
      <c r="U630" s="54"/>
      <c r="AA630">
        <f t="shared" si="115"/>
        <v>430</v>
      </c>
      <c r="AD630" t="str">
        <f t="shared" si="116"/>
        <v>315</v>
      </c>
      <c r="AE630">
        <f t="shared" si="117"/>
        <v>0</v>
      </c>
      <c r="AG630" s="50" t="str">
        <f t="shared" si="118"/>
        <v>ROUTES  VOIRIE ENTRETIEN MACH VHC INST TECH</v>
      </c>
      <c r="AH630" s="244" t="str">
        <f t="shared" si="119"/>
        <v>61500</v>
      </c>
      <c r="AI630" s="219"/>
      <c r="AJ630" s="219"/>
      <c r="AK630" s="219" t="str">
        <f t="shared" si="120"/>
        <v>3151</v>
      </c>
      <c r="AL630" s="244" t="str">
        <f t="shared" si="121"/>
        <v>01</v>
      </c>
      <c r="AN630" s="219" t="str">
        <f t="shared" si="122"/>
        <v>Entretien de machines, véhicules</v>
      </c>
    </row>
    <row r="631" spans="1:40" ht="15" customHeight="1" x14ac:dyDescent="0.3">
      <c r="A631" s="48">
        <v>0</v>
      </c>
      <c r="B631" s="77" t="s">
        <v>965</v>
      </c>
      <c r="C631" s="78" t="s">
        <v>966</v>
      </c>
      <c r="D631" s="182" t="s">
        <v>1458</v>
      </c>
      <c r="E631" s="182" t="s">
        <v>934</v>
      </c>
      <c r="F631" s="182">
        <v>430</v>
      </c>
      <c r="G631" s="182" t="s">
        <v>48</v>
      </c>
      <c r="H631" s="182"/>
      <c r="I631" s="51">
        <v>9771.2000000000007</v>
      </c>
      <c r="J631" s="51">
        <v>0</v>
      </c>
      <c r="K631" s="51">
        <f t="shared" si="125"/>
        <v>9771.2000000000007</v>
      </c>
      <c r="L631" s="51">
        <v>9500</v>
      </c>
      <c r="M631" s="51">
        <v>0</v>
      </c>
      <c r="N631" s="51">
        <f t="shared" si="126"/>
        <v>9500</v>
      </c>
      <c r="O631" s="51">
        <v>7487.9</v>
      </c>
      <c r="P631" s="179" t="s">
        <v>1587</v>
      </c>
      <c r="Q631" s="179" t="s">
        <v>1418</v>
      </c>
      <c r="R631" s="179" t="s">
        <v>2131</v>
      </c>
      <c r="S631" s="47" t="s">
        <v>2091</v>
      </c>
      <c r="T631" s="54">
        <f>+I631</f>
        <v>9771.2000000000007</v>
      </c>
      <c r="U631" s="54"/>
      <c r="AA631">
        <f t="shared" si="115"/>
        <v>430</v>
      </c>
      <c r="AD631" t="str">
        <f t="shared" si="116"/>
        <v>318</v>
      </c>
      <c r="AE631">
        <f t="shared" si="117"/>
        <v>0</v>
      </c>
      <c r="AG631" s="50" t="str">
        <f t="shared" si="118"/>
        <v>ROUTES  VOIRIE HONORAIRES, ASS. VHC, PREST. SERVICES</v>
      </c>
      <c r="AH631" s="244" t="str">
        <f t="shared" si="119"/>
        <v>61500</v>
      </c>
      <c r="AI631" s="219"/>
      <c r="AJ631" s="219"/>
      <c r="AK631" s="219" t="str">
        <f t="shared" si="120"/>
        <v>3134</v>
      </c>
      <c r="AL631" s="244" t="str">
        <f t="shared" si="121"/>
        <v>00</v>
      </c>
      <c r="AN631" s="219" t="str">
        <f t="shared" si="122"/>
        <v>Frais assurances</v>
      </c>
    </row>
    <row r="632" spans="1:40" ht="15" customHeight="1" x14ac:dyDescent="0.3">
      <c r="A632" s="48"/>
      <c r="B632" s="77" t="s">
        <v>965</v>
      </c>
      <c r="C632" s="78" t="s">
        <v>966</v>
      </c>
      <c r="D632" s="182" t="s">
        <v>1458</v>
      </c>
      <c r="E632" s="182" t="s">
        <v>934</v>
      </c>
      <c r="F632" s="182">
        <v>430</v>
      </c>
      <c r="G632" s="182" t="s">
        <v>48</v>
      </c>
      <c r="H632" s="182"/>
      <c r="I632" s="51">
        <v>0</v>
      </c>
      <c r="J632" s="51">
        <v>0</v>
      </c>
      <c r="K632" s="51">
        <f t="shared" si="125"/>
        <v>0</v>
      </c>
      <c r="L632" s="51">
        <v>0</v>
      </c>
      <c r="M632" s="51">
        <v>0</v>
      </c>
      <c r="N632" s="51">
        <f t="shared" si="126"/>
        <v>0</v>
      </c>
      <c r="O632" s="51"/>
      <c r="P632" s="179" t="s">
        <v>1587</v>
      </c>
      <c r="Q632" s="179" t="s">
        <v>1535</v>
      </c>
      <c r="R632" s="179" t="s">
        <v>2131</v>
      </c>
      <c r="S632" s="47" t="s">
        <v>1606</v>
      </c>
      <c r="T632" s="54"/>
      <c r="U632" s="54"/>
      <c r="W632" t="s">
        <v>1605</v>
      </c>
      <c r="AA632">
        <f t="shared" si="115"/>
        <v>430</v>
      </c>
      <c r="AD632" t="str">
        <f t="shared" si="116"/>
        <v>318</v>
      </c>
      <c r="AE632">
        <f t="shared" si="117"/>
        <v>0</v>
      </c>
      <c r="AG632" s="50" t="str">
        <f t="shared" si="118"/>
        <v>ROUTES  VOIRIE HONORAIRES, ASS. VHC, PREST. SERVICES</v>
      </c>
      <c r="AH632" s="244" t="str">
        <f t="shared" si="119"/>
        <v>61500</v>
      </c>
      <c r="AI632" s="219"/>
      <c r="AJ632" s="219"/>
      <c r="AK632" s="219" t="str">
        <f t="shared" si="120"/>
        <v>3611</v>
      </c>
      <c r="AL632" s="244" t="str">
        <f t="shared" si="121"/>
        <v>00</v>
      </c>
      <c r="AN632" s="219" t="str">
        <f t="shared" si="122"/>
        <v>Parts aux cantons et concordats - DGMR</v>
      </c>
    </row>
    <row r="633" spans="1:40" ht="15" customHeight="1" x14ac:dyDescent="0.3">
      <c r="A633" s="48">
        <v>0</v>
      </c>
      <c r="B633" s="49" t="s">
        <v>967</v>
      </c>
      <c r="C633" s="50" t="s">
        <v>968</v>
      </c>
      <c r="D633" s="46" t="s">
        <v>1458</v>
      </c>
      <c r="E633" s="46" t="s">
        <v>934</v>
      </c>
      <c r="F633" s="182">
        <v>430</v>
      </c>
      <c r="G633" s="46" t="s">
        <v>164</v>
      </c>
      <c r="H633" s="46"/>
      <c r="I633" s="51">
        <v>0</v>
      </c>
      <c r="J633" s="51">
        <v>0</v>
      </c>
      <c r="K633" s="51">
        <f t="shared" si="125"/>
        <v>0</v>
      </c>
      <c r="L633" s="51">
        <v>0</v>
      </c>
      <c r="M633" s="51">
        <v>0</v>
      </c>
      <c r="N633" s="51">
        <f t="shared" si="126"/>
        <v>0</v>
      </c>
      <c r="O633" s="51">
        <v>0</v>
      </c>
      <c r="P633" s="179" t="s">
        <v>1489</v>
      </c>
      <c r="Q633" s="179" t="s">
        <v>1489</v>
      </c>
      <c r="R633" s="179" t="s">
        <v>1489</v>
      </c>
      <c r="S633" s="47" t="s">
        <v>1489</v>
      </c>
      <c r="T633" s="54"/>
      <c r="U633" s="54"/>
      <c r="AA633">
        <f t="shared" si="115"/>
        <v>430</v>
      </c>
      <c r="AD633" t="str">
        <f t="shared" si="116"/>
        <v>331</v>
      </c>
      <c r="AE633">
        <f t="shared" si="117"/>
        <v>0</v>
      </c>
      <c r="AG633" s="50" t="str">
        <f t="shared" si="118"/>
        <v>ROUTES  VOIRIE AMORTISSEMENT ROUTES VEHICULES</v>
      </c>
      <c r="AH633" s="244" t="str">
        <f t="shared" si="119"/>
        <v>-</v>
      </c>
      <c r="AI633" s="219"/>
      <c r="AJ633" s="219"/>
      <c r="AK633" s="219" t="str">
        <f t="shared" si="120"/>
        <v>-</v>
      </c>
      <c r="AL633" s="244" t="str">
        <f t="shared" si="121"/>
        <v>-</v>
      </c>
      <c r="AN633" s="219" t="str">
        <f t="shared" si="122"/>
        <v>-</v>
      </c>
    </row>
    <row r="634" spans="1:40" ht="15" customHeight="1" x14ac:dyDescent="0.3">
      <c r="A634" s="48">
        <v>0</v>
      </c>
      <c r="B634" s="49" t="s">
        <v>969</v>
      </c>
      <c r="C634" s="50" t="s">
        <v>970</v>
      </c>
      <c r="D634" s="46" t="s">
        <v>1458</v>
      </c>
      <c r="E634" s="46" t="s">
        <v>934</v>
      </c>
      <c r="F634" s="182">
        <v>430</v>
      </c>
      <c r="G634" s="46" t="s">
        <v>164</v>
      </c>
      <c r="H634" s="46">
        <v>0</v>
      </c>
      <c r="I634" s="51">
        <v>80000</v>
      </c>
      <c r="J634" s="51">
        <v>0</v>
      </c>
      <c r="K634" s="51">
        <f t="shared" si="125"/>
        <v>80000</v>
      </c>
      <c r="L634" s="51">
        <v>80000</v>
      </c>
      <c r="M634" s="51">
        <v>0</v>
      </c>
      <c r="N634" s="51">
        <f t="shared" si="126"/>
        <v>80000</v>
      </c>
      <c r="O634" s="51">
        <v>0</v>
      </c>
      <c r="P634" s="179" t="s">
        <v>1587</v>
      </c>
      <c r="Q634" s="179" t="s">
        <v>1508</v>
      </c>
      <c r="R634" s="179" t="s">
        <v>2139</v>
      </c>
      <c r="S634" s="47" t="s">
        <v>1509</v>
      </c>
      <c r="T634" s="233">
        <f>+I634</f>
        <v>80000</v>
      </c>
      <c r="U634" s="54"/>
      <c r="AA634">
        <f t="shared" si="115"/>
        <v>430</v>
      </c>
      <c r="AD634" t="str">
        <f t="shared" si="116"/>
        <v>331</v>
      </c>
      <c r="AE634">
        <f t="shared" si="117"/>
        <v>0</v>
      </c>
      <c r="AG634" s="50" t="str">
        <f t="shared" si="118"/>
        <v>ROUTES  AMORTISSEMENT REFECTION GENERALE 2019</v>
      </c>
      <c r="AH634" s="244" t="str">
        <f t="shared" si="119"/>
        <v>61500</v>
      </c>
      <c r="AI634" s="219"/>
      <c r="AJ634" s="219"/>
      <c r="AK634" s="219" t="str">
        <f t="shared" si="120"/>
        <v>3300</v>
      </c>
      <c r="AL634" s="244" t="str">
        <f t="shared" si="121"/>
        <v>09</v>
      </c>
      <c r="AN634" s="219" t="str">
        <f t="shared" si="122"/>
        <v>Amortissements planifiés des immobilisations corporelles PA</v>
      </c>
    </row>
    <row r="635" spans="1:40" ht="15" customHeight="1" x14ac:dyDescent="0.3">
      <c r="A635" s="48">
        <v>0</v>
      </c>
      <c r="B635" s="49" t="s">
        <v>979</v>
      </c>
      <c r="C635" s="50" t="s">
        <v>980</v>
      </c>
      <c r="D635" s="46" t="s">
        <v>1458</v>
      </c>
      <c r="E635" s="46" t="s">
        <v>934</v>
      </c>
      <c r="F635" s="182">
        <v>430</v>
      </c>
      <c r="G635" s="46" t="s">
        <v>164</v>
      </c>
      <c r="H635" s="46">
        <v>5</v>
      </c>
      <c r="I635" s="51">
        <v>11900</v>
      </c>
      <c r="J635" s="51">
        <v>0</v>
      </c>
      <c r="K635" s="51">
        <f t="shared" si="125"/>
        <v>11900</v>
      </c>
      <c r="L635" s="51">
        <v>11900</v>
      </c>
      <c r="M635" s="51">
        <v>0</v>
      </c>
      <c r="N635" s="51">
        <f t="shared" si="126"/>
        <v>11900</v>
      </c>
      <c r="O635" s="51">
        <v>0</v>
      </c>
      <c r="P635" s="179" t="s">
        <v>1587</v>
      </c>
      <c r="Q635" s="179" t="s">
        <v>1508</v>
      </c>
      <c r="R635" s="179" t="s">
        <v>2139</v>
      </c>
      <c r="S635" s="58" t="s">
        <v>1509</v>
      </c>
      <c r="T635" s="233">
        <f>+I635</f>
        <v>11900</v>
      </c>
      <c r="U635" s="54"/>
      <c r="AA635">
        <f t="shared" si="115"/>
        <v>430</v>
      </c>
      <c r="AD635" t="str">
        <f t="shared" si="116"/>
        <v>331</v>
      </c>
      <c r="AE635">
        <f t="shared" si="117"/>
        <v>5</v>
      </c>
      <c r="AG635" s="50" t="str">
        <f t="shared" si="118"/>
        <v>ROUTES  VOIRIE AMORTISSEMENT PISTE PIETONNIERE RTE DE DUILLIER</v>
      </c>
      <c r="AH635" s="244" t="str">
        <f t="shared" si="119"/>
        <v>61500</v>
      </c>
      <c r="AI635" s="219"/>
      <c r="AJ635" s="219"/>
      <c r="AK635" s="219" t="str">
        <f t="shared" si="120"/>
        <v>3300</v>
      </c>
      <c r="AL635" s="244" t="str">
        <f t="shared" si="121"/>
        <v>09</v>
      </c>
      <c r="AN635" s="219" t="str">
        <f t="shared" si="122"/>
        <v>Amortissements planifiés des immobilisations corporelles PA</v>
      </c>
    </row>
    <row r="636" spans="1:40" ht="15" customHeight="1" x14ac:dyDescent="0.3">
      <c r="A636" s="48">
        <v>0</v>
      </c>
      <c r="B636" s="49" t="s">
        <v>971</v>
      </c>
      <c r="C636" s="50" t="s">
        <v>972</v>
      </c>
      <c r="D636" s="46" t="s">
        <v>1458</v>
      </c>
      <c r="E636" s="46" t="s">
        <v>934</v>
      </c>
      <c r="F636" s="182">
        <v>430</v>
      </c>
      <c r="G636" s="46" t="s">
        <v>164</v>
      </c>
      <c r="H636" s="46">
        <v>1</v>
      </c>
      <c r="I636" s="51">
        <v>0</v>
      </c>
      <c r="J636" s="51">
        <v>0</v>
      </c>
      <c r="K636" s="51">
        <f t="shared" si="125"/>
        <v>0</v>
      </c>
      <c r="L636" s="51">
        <v>0</v>
      </c>
      <c r="M636" s="51">
        <v>0</v>
      </c>
      <c r="N636" s="51">
        <f t="shared" si="126"/>
        <v>0</v>
      </c>
      <c r="O636" s="51">
        <v>0</v>
      </c>
      <c r="P636" s="179" t="s">
        <v>1489</v>
      </c>
      <c r="Q636" s="179" t="s">
        <v>1489</v>
      </c>
      <c r="R636" s="179" t="s">
        <v>1489</v>
      </c>
      <c r="S636" s="47" t="s">
        <v>1489</v>
      </c>
      <c r="T636" s="54"/>
      <c r="U636" s="54"/>
      <c r="AA636">
        <f t="shared" si="115"/>
        <v>430</v>
      </c>
      <c r="AD636" t="str">
        <f t="shared" si="116"/>
        <v>331</v>
      </c>
      <c r="AE636">
        <f t="shared" si="117"/>
        <v>1</v>
      </c>
      <c r="AG636" s="50" t="str">
        <f t="shared" si="118"/>
        <v>ROUTES  VOIRIE AMORTISSEMENT ROUTE DE LA GARE</v>
      </c>
      <c r="AH636" s="244" t="str">
        <f t="shared" si="119"/>
        <v>-</v>
      </c>
      <c r="AI636" s="219"/>
      <c r="AJ636" s="219"/>
      <c r="AK636" s="219" t="str">
        <f t="shared" si="120"/>
        <v>-</v>
      </c>
      <c r="AL636" s="244" t="str">
        <f t="shared" si="121"/>
        <v>-</v>
      </c>
      <c r="AN636" s="219" t="str">
        <f t="shared" si="122"/>
        <v>-</v>
      </c>
    </row>
    <row r="637" spans="1:40" ht="15" customHeight="1" x14ac:dyDescent="0.3">
      <c r="A637" s="48">
        <v>0</v>
      </c>
      <c r="B637" s="49" t="s">
        <v>973</v>
      </c>
      <c r="C637" s="50" t="s">
        <v>974</v>
      </c>
      <c r="D637" s="46" t="s">
        <v>1458</v>
      </c>
      <c r="E637" s="46" t="s">
        <v>934</v>
      </c>
      <c r="F637" s="182">
        <v>430</v>
      </c>
      <c r="G637" s="46" t="s">
        <v>164</v>
      </c>
      <c r="H637" s="46">
        <v>2</v>
      </c>
      <c r="I637" s="51">
        <v>0</v>
      </c>
      <c r="J637" s="51">
        <v>0</v>
      </c>
      <c r="K637" s="51">
        <f t="shared" si="125"/>
        <v>0</v>
      </c>
      <c r="L637" s="51">
        <v>0</v>
      </c>
      <c r="M637" s="51">
        <v>0</v>
      </c>
      <c r="N637" s="51">
        <f t="shared" si="126"/>
        <v>0</v>
      </c>
      <c r="O637" s="51">
        <v>0</v>
      </c>
      <c r="P637" s="179" t="s">
        <v>1489</v>
      </c>
      <c r="Q637" s="179" t="s">
        <v>1489</v>
      </c>
      <c r="R637" s="179" t="s">
        <v>1489</v>
      </c>
      <c r="S637" s="47" t="s">
        <v>1489</v>
      </c>
      <c r="T637" s="54"/>
      <c r="U637" s="54"/>
      <c r="AA637">
        <f t="shared" si="115"/>
        <v>430</v>
      </c>
      <c r="AD637" t="str">
        <f t="shared" si="116"/>
        <v>331</v>
      </c>
      <c r="AE637">
        <f t="shared" si="117"/>
        <v>2</v>
      </c>
      <c r="AG637" s="50" t="str">
        <f t="shared" si="118"/>
        <v>ROUTES  VOIRIE AMORTISSEMENT ROUTE DE TRELEX</v>
      </c>
      <c r="AH637" s="244" t="str">
        <f t="shared" si="119"/>
        <v>-</v>
      </c>
      <c r="AI637" s="219"/>
      <c r="AJ637" s="219"/>
      <c r="AK637" s="219" t="str">
        <f t="shared" si="120"/>
        <v>-</v>
      </c>
      <c r="AL637" s="244" t="str">
        <f t="shared" si="121"/>
        <v>-</v>
      </c>
      <c r="AN637" s="219" t="str">
        <f t="shared" si="122"/>
        <v>-</v>
      </c>
    </row>
    <row r="638" spans="1:40" ht="15" customHeight="1" x14ac:dyDescent="0.3">
      <c r="A638" s="48">
        <v>0</v>
      </c>
      <c r="B638" s="49" t="s">
        <v>975</v>
      </c>
      <c r="C638" s="50" t="s">
        <v>976</v>
      </c>
      <c r="D638" s="46" t="s">
        <v>1458</v>
      </c>
      <c r="E638" s="46" t="s">
        <v>934</v>
      </c>
      <c r="F638" s="182">
        <v>430</v>
      </c>
      <c r="G638" s="46" t="s">
        <v>164</v>
      </c>
      <c r="H638" s="46">
        <v>3</v>
      </c>
      <c r="I638" s="51">
        <v>0</v>
      </c>
      <c r="J638" s="51">
        <v>0</v>
      </c>
      <c r="K638" s="51">
        <f t="shared" si="125"/>
        <v>0</v>
      </c>
      <c r="L638" s="51">
        <v>0</v>
      </c>
      <c r="M638" s="51">
        <v>0</v>
      </c>
      <c r="N638" s="51">
        <f t="shared" si="126"/>
        <v>0</v>
      </c>
      <c r="O638" s="51">
        <v>0</v>
      </c>
      <c r="P638" s="179" t="s">
        <v>1489</v>
      </c>
      <c r="Q638" s="179" t="s">
        <v>1489</v>
      </c>
      <c r="R638" s="179" t="s">
        <v>1489</v>
      </c>
      <c r="S638" s="47" t="s">
        <v>1489</v>
      </c>
      <c r="T638" s="54"/>
      <c r="U638" s="54"/>
      <c r="AA638">
        <f t="shared" si="115"/>
        <v>430</v>
      </c>
      <c r="AD638" t="str">
        <f t="shared" si="116"/>
        <v>331</v>
      </c>
      <c r="AE638">
        <f t="shared" si="117"/>
        <v>3</v>
      </c>
      <c r="AG638" s="50" t="str">
        <f t="shared" si="118"/>
        <v>ROUTES  VOIRIE AMORTISSEMENT ROUTE DE LA CEZILLE</v>
      </c>
      <c r="AH638" s="244" t="str">
        <f t="shared" si="119"/>
        <v>-</v>
      </c>
      <c r="AI638" s="219"/>
      <c r="AJ638" s="219"/>
      <c r="AK638" s="219" t="str">
        <f t="shared" si="120"/>
        <v>-</v>
      </c>
      <c r="AL638" s="244" t="str">
        <f t="shared" si="121"/>
        <v>-</v>
      </c>
      <c r="AN638" s="219" t="str">
        <f t="shared" si="122"/>
        <v>-</v>
      </c>
    </row>
    <row r="639" spans="1:40" ht="15" customHeight="1" x14ac:dyDescent="0.3">
      <c r="A639" s="48">
        <v>0</v>
      </c>
      <c r="B639" s="49" t="s">
        <v>977</v>
      </c>
      <c r="C639" s="50" t="s">
        <v>978</v>
      </c>
      <c r="D639" s="46" t="s">
        <v>1458</v>
      </c>
      <c r="E639" s="46" t="s">
        <v>934</v>
      </c>
      <c r="F639" s="182">
        <v>430</v>
      </c>
      <c r="G639" s="46" t="s">
        <v>164</v>
      </c>
      <c r="H639" s="46">
        <v>4</v>
      </c>
      <c r="I639" s="51">
        <v>0</v>
      </c>
      <c r="J639" s="51">
        <v>0</v>
      </c>
      <c r="K639" s="51">
        <f t="shared" si="125"/>
        <v>0</v>
      </c>
      <c r="L639" s="51">
        <v>0</v>
      </c>
      <c r="M639" s="51">
        <v>0</v>
      </c>
      <c r="N639" s="51">
        <f t="shared" si="126"/>
        <v>0</v>
      </c>
      <c r="O639" s="51">
        <v>0</v>
      </c>
      <c r="P639" s="179" t="s">
        <v>1489</v>
      </c>
      <c r="Q639" s="179" t="s">
        <v>1489</v>
      </c>
      <c r="R639" s="179" t="s">
        <v>1489</v>
      </c>
      <c r="S639" s="47" t="s">
        <v>1489</v>
      </c>
      <c r="T639" s="54"/>
      <c r="U639" s="54"/>
      <c r="AA639">
        <f t="shared" si="115"/>
        <v>430</v>
      </c>
      <c r="AD639" t="str">
        <f t="shared" si="116"/>
        <v>331</v>
      </c>
      <c r="AE639">
        <f t="shared" si="117"/>
        <v>4</v>
      </c>
      <c r="AG639" s="50" t="str">
        <f t="shared" si="118"/>
        <v>ROUTES  VOIRIE AMORTISSEMENT ROUTE DE DUILLIER</v>
      </c>
      <c r="AH639" s="244" t="str">
        <f t="shared" si="119"/>
        <v>-</v>
      </c>
      <c r="AI639" s="219"/>
      <c r="AJ639" s="219"/>
      <c r="AK639" s="219" t="str">
        <f t="shared" si="120"/>
        <v>-</v>
      </c>
      <c r="AL639" s="244" t="str">
        <f t="shared" si="121"/>
        <v>-</v>
      </c>
      <c r="AN639" s="219" t="str">
        <f t="shared" si="122"/>
        <v>-</v>
      </c>
    </row>
    <row r="640" spans="1:40" ht="15" customHeight="1" x14ac:dyDescent="0.3">
      <c r="A640" s="48">
        <v>0</v>
      </c>
      <c r="B640" s="49" t="s">
        <v>981</v>
      </c>
      <c r="C640" s="50" t="s">
        <v>982</v>
      </c>
      <c r="D640" s="46" t="s">
        <v>1458</v>
      </c>
      <c r="E640" s="46" t="s">
        <v>934</v>
      </c>
      <c r="F640" s="182">
        <v>430</v>
      </c>
      <c r="G640" s="46" t="s">
        <v>96</v>
      </c>
      <c r="H640" s="46"/>
      <c r="I640" s="51">
        <v>241549.31</v>
      </c>
      <c r="J640" s="51">
        <v>0</v>
      </c>
      <c r="K640" s="51">
        <f t="shared" si="125"/>
        <v>241549.31</v>
      </c>
      <c r="L640" s="51">
        <v>0</v>
      </c>
      <c r="M640" s="51">
        <v>0</v>
      </c>
      <c r="N640" s="51">
        <f t="shared" si="126"/>
        <v>0</v>
      </c>
      <c r="O640" s="51">
        <v>0</v>
      </c>
      <c r="P640" s="179" t="s">
        <v>1587</v>
      </c>
      <c r="Q640" s="179" t="s">
        <v>1607</v>
      </c>
      <c r="R640" s="179" t="s">
        <v>2139</v>
      </c>
      <c r="S640" s="47" t="s">
        <v>1608</v>
      </c>
      <c r="T640" s="54">
        <f>+I640</f>
        <v>241549.31</v>
      </c>
      <c r="U640" s="54"/>
      <c r="W640" t="s">
        <v>2168</v>
      </c>
      <c r="AA640">
        <f t="shared" si="115"/>
        <v>430</v>
      </c>
      <c r="AD640" t="str">
        <f t="shared" si="116"/>
        <v>332</v>
      </c>
      <c r="AE640">
        <f t="shared" si="117"/>
        <v>0</v>
      </c>
      <c r="AG640" s="50" t="str">
        <f t="shared" si="118"/>
        <v>ROUTES  VOIRIE AMORTISSEMENT SUPPL P ADM</v>
      </c>
      <c r="AH640" s="244" t="str">
        <f t="shared" si="119"/>
        <v>61500</v>
      </c>
      <c r="AI640" s="219"/>
      <c r="AJ640" s="219"/>
      <c r="AK640" s="219" t="str">
        <f t="shared" si="120"/>
        <v>3301</v>
      </c>
      <c r="AL640" s="244" t="str">
        <f t="shared" si="121"/>
        <v>09</v>
      </c>
      <c r="AN640" s="219" t="str">
        <f t="shared" si="122"/>
        <v>Amortissements non planifiés des immobilisations corporelles PA</v>
      </c>
    </row>
    <row r="641" spans="1:40" ht="15" customHeight="1" x14ac:dyDescent="0.3">
      <c r="A641" s="48">
        <v>0</v>
      </c>
      <c r="B641" s="49" t="s">
        <v>983</v>
      </c>
      <c r="C641" s="50" t="s">
        <v>984</v>
      </c>
      <c r="D641" s="46" t="s">
        <v>1458</v>
      </c>
      <c r="E641" s="46" t="s">
        <v>934</v>
      </c>
      <c r="F641" s="182">
        <v>430</v>
      </c>
      <c r="G641" s="46" t="s">
        <v>183</v>
      </c>
      <c r="H641" s="46"/>
      <c r="I641" s="51">
        <v>15250.1</v>
      </c>
      <c r="J641" s="51">
        <v>0</v>
      </c>
      <c r="K641" s="51">
        <f t="shared" si="125"/>
        <v>15250.1</v>
      </c>
      <c r="L641" s="51">
        <v>10000</v>
      </c>
      <c r="M641" s="51">
        <v>0</v>
      </c>
      <c r="N641" s="51">
        <f t="shared" si="126"/>
        <v>10000</v>
      </c>
      <c r="O641" s="51">
        <v>0</v>
      </c>
      <c r="P641" s="179" t="s">
        <v>1587</v>
      </c>
      <c r="Q641" s="179" t="s">
        <v>1535</v>
      </c>
      <c r="R641" s="179" t="s">
        <v>2132</v>
      </c>
      <c r="S641" s="47" t="s">
        <v>2077</v>
      </c>
      <c r="T641" s="54">
        <f>+I641</f>
        <v>15250.1</v>
      </c>
      <c r="U641" s="54"/>
      <c r="W641" s="5" t="s">
        <v>1609</v>
      </c>
      <c r="AA641">
        <f t="shared" si="115"/>
        <v>430</v>
      </c>
      <c r="AD641" t="str">
        <f t="shared" si="116"/>
        <v>351</v>
      </c>
      <c r="AE641">
        <f t="shared" si="117"/>
        <v>0</v>
      </c>
      <c r="AG641" s="50" t="str">
        <f t="shared" si="118"/>
        <v>ROUTES  VOIRIE CHARGES CANTONALES S. HIVERNAL</v>
      </c>
      <c r="AH641" s="244" t="str">
        <f t="shared" si="119"/>
        <v>61500</v>
      </c>
      <c r="AI641" s="219"/>
      <c r="AJ641" s="219"/>
      <c r="AK641" s="219" t="str">
        <f t="shared" si="120"/>
        <v>3611</v>
      </c>
      <c r="AL641" s="244" t="str">
        <f t="shared" si="121"/>
        <v>01</v>
      </c>
      <c r="AN641" s="219" t="str">
        <f t="shared" si="122"/>
        <v>Parts aux cantons - SAGEFI service hivernal</v>
      </c>
    </row>
    <row r="642" spans="1:40" ht="15" customHeight="1" x14ac:dyDescent="0.3">
      <c r="A642" s="48">
        <v>0</v>
      </c>
      <c r="B642" s="49" t="s">
        <v>985</v>
      </c>
      <c r="C642" s="50" t="s">
        <v>986</v>
      </c>
      <c r="D642" s="46" t="s">
        <v>1458</v>
      </c>
      <c r="E642" s="46" t="s">
        <v>934</v>
      </c>
      <c r="F642" s="182">
        <v>430</v>
      </c>
      <c r="G642" s="46" t="s">
        <v>6</v>
      </c>
      <c r="H642" s="46"/>
      <c r="I642" s="51">
        <v>0</v>
      </c>
      <c r="J642" s="51">
        <v>0</v>
      </c>
      <c r="K642" s="51">
        <f t="shared" si="125"/>
        <v>0</v>
      </c>
      <c r="L642" s="51">
        <v>0</v>
      </c>
      <c r="M642" s="51">
        <v>0</v>
      </c>
      <c r="N642" s="51">
        <f t="shared" si="126"/>
        <v>0</v>
      </c>
      <c r="O642" s="51">
        <v>0</v>
      </c>
      <c r="P642" s="179" t="s">
        <v>1489</v>
      </c>
      <c r="Q642" s="179" t="s">
        <v>1489</v>
      </c>
      <c r="R642" s="179" t="s">
        <v>1489</v>
      </c>
      <c r="S642" s="47" t="s">
        <v>1489</v>
      </c>
      <c r="T642" s="54"/>
      <c r="U642" s="54"/>
      <c r="AA642">
        <f t="shared" si="115"/>
        <v>430</v>
      </c>
      <c r="AD642" t="str">
        <f t="shared" si="116"/>
        <v>380</v>
      </c>
      <c r="AE642">
        <f t="shared" si="117"/>
        <v>0</v>
      </c>
      <c r="AG642" s="50" t="str">
        <f t="shared" si="118"/>
        <v>ROUTES  ATTRIB FONDS RENOUV. MAT et VHC (9281.3)</v>
      </c>
      <c r="AH642" s="244" t="str">
        <f t="shared" si="119"/>
        <v>-</v>
      </c>
      <c r="AI642" s="219"/>
      <c r="AJ642" s="219"/>
      <c r="AK642" s="219" t="str">
        <f t="shared" si="120"/>
        <v>-</v>
      </c>
      <c r="AL642" s="244" t="str">
        <f t="shared" si="121"/>
        <v>-</v>
      </c>
      <c r="AN642" s="219" t="str">
        <f t="shared" si="122"/>
        <v>-</v>
      </c>
    </row>
    <row r="643" spans="1:40" ht="15" customHeight="1" x14ac:dyDescent="0.3">
      <c r="A643" s="48">
        <v>0</v>
      </c>
      <c r="B643" s="49" t="s">
        <v>987</v>
      </c>
      <c r="C643" s="50" t="s">
        <v>988</v>
      </c>
      <c r="D643" s="46" t="s">
        <v>1458</v>
      </c>
      <c r="E643" s="46" t="s">
        <v>934</v>
      </c>
      <c r="F643" s="182">
        <v>430</v>
      </c>
      <c r="G643" s="46" t="s">
        <v>6</v>
      </c>
      <c r="H643" s="46">
        <v>1</v>
      </c>
      <c r="I643" s="51">
        <v>0</v>
      </c>
      <c r="J643" s="51">
        <v>0</v>
      </c>
      <c r="K643" s="51">
        <f t="shared" si="125"/>
        <v>0</v>
      </c>
      <c r="L643" s="51">
        <v>0</v>
      </c>
      <c r="M643" s="51">
        <v>0</v>
      </c>
      <c r="N643" s="51">
        <f t="shared" si="126"/>
        <v>0</v>
      </c>
      <c r="O643" s="51">
        <v>0</v>
      </c>
      <c r="P643" s="179" t="s">
        <v>1489</v>
      </c>
      <c r="Q643" s="179" t="s">
        <v>1489</v>
      </c>
      <c r="R643" s="179" t="s">
        <v>1489</v>
      </c>
      <c r="S643" s="47" t="s">
        <v>1489</v>
      </c>
      <c r="T643" s="54"/>
      <c r="U643" s="54"/>
      <c r="AA643">
        <f t="shared" si="115"/>
        <v>430</v>
      </c>
      <c r="AD643" t="str">
        <f t="shared" si="116"/>
        <v>380</v>
      </c>
      <c r="AE643">
        <f t="shared" si="117"/>
        <v>1</v>
      </c>
      <c r="AG643" s="50" t="str">
        <f t="shared" si="118"/>
        <v>ROUTES  ATTRIB FONDS RENOVATION (9282.1)</v>
      </c>
      <c r="AH643" s="244" t="str">
        <f t="shared" si="119"/>
        <v>-</v>
      </c>
      <c r="AI643" s="219"/>
      <c r="AJ643" s="219"/>
      <c r="AK643" s="219" t="str">
        <f t="shared" si="120"/>
        <v>-</v>
      </c>
      <c r="AL643" s="244" t="str">
        <f t="shared" si="121"/>
        <v>-</v>
      </c>
      <c r="AN643" s="219" t="str">
        <f t="shared" si="122"/>
        <v>-</v>
      </c>
    </row>
    <row r="644" spans="1:40" ht="15" customHeight="1" x14ac:dyDescent="0.3">
      <c r="A644" s="48">
        <v>0</v>
      </c>
      <c r="B644" s="49" t="s">
        <v>989</v>
      </c>
      <c r="C644" s="50" t="s">
        <v>990</v>
      </c>
      <c r="D644" s="46" t="s">
        <v>1458</v>
      </c>
      <c r="E644" s="46" t="s">
        <v>934</v>
      </c>
      <c r="F644" s="182">
        <v>430</v>
      </c>
      <c r="G644" s="46" t="s">
        <v>28</v>
      </c>
      <c r="H644" s="46">
        <v>1</v>
      </c>
      <c r="I644" s="51">
        <v>0</v>
      </c>
      <c r="J644" s="51">
        <v>0</v>
      </c>
      <c r="K644" s="51">
        <f t="shared" si="125"/>
        <v>0</v>
      </c>
      <c r="L644" s="51">
        <v>0</v>
      </c>
      <c r="M644" s="51">
        <v>0</v>
      </c>
      <c r="N644" s="51">
        <f t="shared" si="126"/>
        <v>0</v>
      </c>
      <c r="O644" s="51">
        <v>0</v>
      </c>
      <c r="P644" s="179" t="s">
        <v>1489</v>
      </c>
      <c r="Q644" s="179" t="s">
        <v>1489</v>
      </c>
      <c r="R644" s="179" t="s">
        <v>1489</v>
      </c>
      <c r="S644" s="47" t="s">
        <v>1489</v>
      </c>
      <c r="T644" s="54"/>
      <c r="U644" s="54"/>
      <c r="AA644">
        <f t="shared" ref="AA644:AA707" si="127">+F644</f>
        <v>430</v>
      </c>
      <c r="AD644" t="str">
        <f t="shared" ref="AD644:AD707" si="128">+G644</f>
        <v>390</v>
      </c>
      <c r="AE644">
        <f t="shared" ref="AE644:AE707" si="129">+H644</f>
        <v>1</v>
      </c>
      <c r="AG644" s="50" t="str">
        <f t="shared" ref="AG644:AG707" si="130">+C644</f>
        <v>ROUTES  IMPUTATIONS INT SALAIRES</v>
      </c>
      <c r="AH644" s="244" t="str">
        <f t="shared" ref="AH644:AH707" si="131">+P644</f>
        <v>-</v>
      </c>
      <c r="AI644" s="219"/>
      <c r="AJ644" s="219"/>
      <c r="AK644" s="219" t="str">
        <f t="shared" ref="AK644:AK707" si="132">+Q644</f>
        <v>-</v>
      </c>
      <c r="AL644" s="244" t="str">
        <f t="shared" ref="AL644:AL707" si="133">+R644</f>
        <v>-</v>
      </c>
      <c r="AN644" s="219" t="str">
        <f t="shared" ref="AN644:AN707" si="134">+S644</f>
        <v>-</v>
      </c>
    </row>
    <row r="645" spans="1:40" ht="15" customHeight="1" x14ac:dyDescent="0.3">
      <c r="A645" s="48">
        <v>0</v>
      </c>
      <c r="B645" s="49" t="s">
        <v>991</v>
      </c>
      <c r="C645" s="50" t="s">
        <v>992</v>
      </c>
      <c r="D645" s="46" t="s">
        <v>1458</v>
      </c>
      <c r="E645" s="46" t="s">
        <v>934</v>
      </c>
      <c r="F645" s="182">
        <v>430</v>
      </c>
      <c r="G645" s="46" t="s">
        <v>28</v>
      </c>
      <c r="H645" s="46">
        <v>2</v>
      </c>
      <c r="I645" s="51">
        <v>0</v>
      </c>
      <c r="J645" s="51">
        <v>0</v>
      </c>
      <c r="K645" s="51">
        <f t="shared" si="125"/>
        <v>0</v>
      </c>
      <c r="L645" s="51">
        <v>0</v>
      </c>
      <c r="M645" s="51">
        <v>0</v>
      </c>
      <c r="N645" s="51">
        <f t="shared" si="126"/>
        <v>0</v>
      </c>
      <c r="O645" s="51">
        <v>0</v>
      </c>
      <c r="P645" s="179" t="s">
        <v>1489</v>
      </c>
      <c r="Q645" s="179" t="s">
        <v>1489</v>
      </c>
      <c r="R645" s="179" t="s">
        <v>1489</v>
      </c>
      <c r="S645" s="47" t="s">
        <v>1489</v>
      </c>
      <c r="T645" s="54"/>
      <c r="U645" s="54"/>
      <c r="AA645">
        <f t="shared" si="127"/>
        <v>430</v>
      </c>
      <c r="AD645" t="str">
        <f t="shared" si="128"/>
        <v>390</v>
      </c>
      <c r="AE645">
        <f t="shared" si="129"/>
        <v>2</v>
      </c>
      <c r="AG645" s="50" t="str">
        <f t="shared" si="130"/>
        <v>ROUTES  IMPUTATIONS INTERNES INTERÊTS</v>
      </c>
      <c r="AH645" s="244" t="str">
        <f t="shared" si="131"/>
        <v>-</v>
      </c>
      <c r="AI645" s="219"/>
      <c r="AJ645" s="219"/>
      <c r="AK645" s="219" t="str">
        <f t="shared" si="132"/>
        <v>-</v>
      </c>
      <c r="AL645" s="244" t="str">
        <f t="shared" si="133"/>
        <v>-</v>
      </c>
      <c r="AN645" s="219" t="str">
        <f t="shared" si="134"/>
        <v>-</v>
      </c>
    </row>
    <row r="646" spans="1:40" ht="15" customHeight="1" x14ac:dyDescent="0.3">
      <c r="A646" s="48">
        <v>0</v>
      </c>
      <c r="B646" s="49" t="s">
        <v>993</v>
      </c>
      <c r="C646" s="50" t="s">
        <v>994</v>
      </c>
      <c r="D646" s="46" t="s">
        <v>1458</v>
      </c>
      <c r="E646" s="46" t="s">
        <v>934</v>
      </c>
      <c r="F646" s="182">
        <v>430</v>
      </c>
      <c r="G646" s="46" t="s">
        <v>329</v>
      </c>
      <c r="H646" s="46">
        <v>1</v>
      </c>
      <c r="I646" s="51">
        <v>0</v>
      </c>
      <c r="J646" s="51">
        <v>0</v>
      </c>
      <c r="K646" s="51">
        <f t="shared" ref="K646:K653" si="135">+I646+J646</f>
        <v>0</v>
      </c>
      <c r="L646" s="51">
        <v>0</v>
      </c>
      <c r="M646" s="51">
        <v>0</v>
      </c>
      <c r="N646" s="51">
        <f t="shared" si="126"/>
        <v>0</v>
      </c>
      <c r="O646" s="51">
        <v>0</v>
      </c>
      <c r="P646" s="179" t="s">
        <v>1489</v>
      </c>
      <c r="Q646" s="179" t="s">
        <v>1489</v>
      </c>
      <c r="R646" s="179" t="s">
        <v>1489</v>
      </c>
      <c r="S646" s="47" t="s">
        <v>1489</v>
      </c>
      <c r="T646" s="54"/>
      <c r="U646" s="54"/>
      <c r="AA646">
        <f t="shared" si="127"/>
        <v>430</v>
      </c>
      <c r="AD646" t="str">
        <f t="shared" si="128"/>
        <v>424</v>
      </c>
      <c r="AE646">
        <f t="shared" si="129"/>
        <v>1</v>
      </c>
      <c r="AG646" s="50" t="str">
        <f t="shared" si="130"/>
        <v>ROUTES  GAINS COMPTABLE PATR FIN</v>
      </c>
      <c r="AH646" s="244" t="str">
        <f t="shared" si="131"/>
        <v>-</v>
      </c>
      <c r="AI646" s="219"/>
      <c r="AJ646" s="219"/>
      <c r="AK646" s="219" t="str">
        <f t="shared" si="132"/>
        <v>-</v>
      </c>
      <c r="AL646" s="244" t="str">
        <f t="shared" si="133"/>
        <v>-</v>
      </c>
      <c r="AN646" s="219" t="str">
        <f t="shared" si="134"/>
        <v>-</v>
      </c>
    </row>
    <row r="647" spans="1:40" ht="15" customHeight="1" x14ac:dyDescent="0.3">
      <c r="A647" s="48">
        <v>0</v>
      </c>
      <c r="B647" s="49" t="s">
        <v>995</v>
      </c>
      <c r="C647" s="50" t="s">
        <v>996</v>
      </c>
      <c r="D647" s="46" t="s">
        <v>1458</v>
      </c>
      <c r="E647" s="46" t="s">
        <v>934</v>
      </c>
      <c r="F647" s="182">
        <v>430</v>
      </c>
      <c r="G647" s="46" t="s">
        <v>61</v>
      </c>
      <c r="H647" s="46"/>
      <c r="I647" s="51">
        <v>0</v>
      </c>
      <c r="J647" s="65">
        <v>-14269.05</v>
      </c>
      <c r="K647" s="51">
        <f t="shared" si="135"/>
        <v>-14269.05</v>
      </c>
      <c r="L647" s="51">
        <v>0</v>
      </c>
      <c r="M647" s="51">
        <v>0</v>
      </c>
      <c r="N647" s="51">
        <f t="shared" si="126"/>
        <v>0</v>
      </c>
      <c r="O647" s="51">
        <v>-1508.9</v>
      </c>
      <c r="P647" s="179" t="s">
        <v>1587</v>
      </c>
      <c r="Q647" s="179" t="s">
        <v>1580</v>
      </c>
      <c r="R647" s="179" t="s">
        <v>2131</v>
      </c>
      <c r="S647" s="47" t="s">
        <v>1610</v>
      </c>
      <c r="T647" s="53">
        <f>+J647</f>
        <v>-14269.05</v>
      </c>
      <c r="U647" s="54"/>
      <c r="W647" t="s">
        <v>1611</v>
      </c>
      <c r="AA647">
        <f t="shared" si="127"/>
        <v>430</v>
      </c>
      <c r="AD647" t="str">
        <f t="shared" si="128"/>
        <v>436</v>
      </c>
      <c r="AE647">
        <f t="shared" si="129"/>
        <v>0</v>
      </c>
      <c r="AG647" s="50" t="str">
        <f t="shared" si="130"/>
        <v>ROUTES  PART DE TIERS/ASS/CAD</v>
      </c>
      <c r="AH647" s="244" t="str">
        <f t="shared" si="131"/>
        <v>61500</v>
      </c>
      <c r="AI647" s="219"/>
      <c r="AJ647" s="219"/>
      <c r="AK647" s="219" t="str">
        <f t="shared" si="132"/>
        <v>4260</v>
      </c>
      <c r="AL647" s="244" t="str">
        <f t="shared" si="133"/>
        <v>00</v>
      </c>
      <c r="AN647" s="219" t="str">
        <f t="shared" si="134"/>
        <v>Remboursements et participations de tiers</v>
      </c>
    </row>
    <row r="648" spans="1:40" ht="15" customHeight="1" x14ac:dyDescent="0.3">
      <c r="A648" s="48">
        <v>0</v>
      </c>
      <c r="B648" s="49" t="s">
        <v>997</v>
      </c>
      <c r="C648" s="50" t="s">
        <v>998</v>
      </c>
      <c r="D648" s="46" t="s">
        <v>1458</v>
      </c>
      <c r="E648" s="46" t="s">
        <v>934</v>
      </c>
      <c r="F648" s="182">
        <v>430</v>
      </c>
      <c r="G648" s="46" t="s">
        <v>61</v>
      </c>
      <c r="H648" s="46">
        <v>1</v>
      </c>
      <c r="I648" s="51">
        <v>0</v>
      </c>
      <c r="J648" s="65">
        <v>-3424.55</v>
      </c>
      <c r="K648" s="51">
        <f t="shared" si="135"/>
        <v>-3424.55</v>
      </c>
      <c r="L648" s="51">
        <v>0</v>
      </c>
      <c r="M648" s="51">
        <v>0</v>
      </c>
      <c r="N648" s="51">
        <f t="shared" si="126"/>
        <v>0</v>
      </c>
      <c r="O648" s="51">
        <v>0</v>
      </c>
      <c r="P648" s="179" t="s">
        <v>1587</v>
      </c>
      <c r="Q648" s="179" t="s">
        <v>1580</v>
      </c>
      <c r="R648" s="179" t="s">
        <v>2131</v>
      </c>
      <c r="S648" s="47" t="s">
        <v>1610</v>
      </c>
      <c r="T648" s="53">
        <f>+J648</f>
        <v>-3424.55</v>
      </c>
      <c r="U648" s="54"/>
      <c r="W648" t="s">
        <v>1901</v>
      </c>
      <c r="AA648">
        <f t="shared" si="127"/>
        <v>430</v>
      </c>
      <c r="AD648" t="str">
        <f t="shared" si="128"/>
        <v>436</v>
      </c>
      <c r="AE648">
        <f t="shared" si="129"/>
        <v>1</v>
      </c>
      <c r="AG648" s="50" t="str">
        <f t="shared" si="130"/>
        <v>ROUTES Remboursement de Tiers</v>
      </c>
      <c r="AH648" s="244" t="str">
        <f t="shared" si="131"/>
        <v>61500</v>
      </c>
      <c r="AI648" s="219"/>
      <c r="AJ648" s="219"/>
      <c r="AK648" s="219" t="str">
        <f t="shared" si="132"/>
        <v>4260</v>
      </c>
      <c r="AL648" s="244" t="str">
        <f t="shared" si="133"/>
        <v>00</v>
      </c>
      <c r="AN648" s="219" t="str">
        <f t="shared" si="134"/>
        <v>Remboursements et participations de tiers</v>
      </c>
    </row>
    <row r="649" spans="1:40" ht="15" customHeight="1" x14ac:dyDescent="0.3">
      <c r="A649" s="48">
        <v>0</v>
      </c>
      <c r="B649" s="49" t="s">
        <v>999</v>
      </c>
      <c r="C649" s="50" t="s">
        <v>1000</v>
      </c>
      <c r="D649" s="46" t="s">
        <v>1458</v>
      </c>
      <c r="E649" s="46" t="s">
        <v>934</v>
      </c>
      <c r="F649" s="182">
        <v>430</v>
      </c>
      <c r="G649" s="46" t="s">
        <v>175</v>
      </c>
      <c r="H649" s="46">
        <v>7</v>
      </c>
      <c r="I649" s="51">
        <v>0</v>
      </c>
      <c r="J649" s="51">
        <v>0</v>
      </c>
      <c r="K649" s="51">
        <f t="shared" si="135"/>
        <v>0</v>
      </c>
      <c r="L649" s="51">
        <v>0</v>
      </c>
      <c r="M649" s="51">
        <v>0</v>
      </c>
      <c r="N649" s="51">
        <f t="shared" si="126"/>
        <v>0</v>
      </c>
      <c r="O649" s="51">
        <v>0</v>
      </c>
      <c r="P649" s="179" t="s">
        <v>1489</v>
      </c>
      <c r="Q649" s="179" t="s">
        <v>1489</v>
      </c>
      <c r="R649" s="179" t="s">
        <v>1489</v>
      </c>
      <c r="S649" s="47" t="s">
        <v>1489</v>
      </c>
      <c r="T649" s="54"/>
      <c r="U649" s="54"/>
      <c r="AA649">
        <f t="shared" si="127"/>
        <v>430</v>
      </c>
      <c r="AD649" t="str">
        <f t="shared" si="128"/>
        <v>451</v>
      </c>
      <c r="AE649">
        <f t="shared" si="129"/>
        <v>7</v>
      </c>
      <c r="AG649" s="50" t="str">
        <f t="shared" si="130"/>
        <v>ROUTES  PARTICIPATION, REMBOURSEMENT CANTONAL</v>
      </c>
      <c r="AH649" s="244" t="str">
        <f t="shared" si="131"/>
        <v>-</v>
      </c>
      <c r="AI649" s="219"/>
      <c r="AJ649" s="219"/>
      <c r="AK649" s="219" t="str">
        <f t="shared" si="132"/>
        <v>-</v>
      </c>
      <c r="AL649" s="244" t="str">
        <f t="shared" si="133"/>
        <v>-</v>
      </c>
      <c r="AN649" s="219" t="str">
        <f t="shared" si="134"/>
        <v>-</v>
      </c>
    </row>
    <row r="650" spans="1:40" ht="15" customHeight="1" x14ac:dyDescent="0.3">
      <c r="A650" s="48">
        <v>0</v>
      </c>
      <c r="B650" s="49" t="s">
        <v>1001</v>
      </c>
      <c r="C650" s="50" t="s">
        <v>1002</v>
      </c>
      <c r="D650" s="46" t="s">
        <v>1458</v>
      </c>
      <c r="E650" s="46" t="s">
        <v>934</v>
      </c>
      <c r="F650" s="182">
        <v>430</v>
      </c>
      <c r="G650" s="46" t="s">
        <v>351</v>
      </c>
      <c r="H650" s="46"/>
      <c r="I650" s="51">
        <v>0</v>
      </c>
      <c r="J650" s="51">
        <v>0</v>
      </c>
      <c r="K650" s="51">
        <f t="shared" si="135"/>
        <v>0</v>
      </c>
      <c r="L650" s="51">
        <v>0</v>
      </c>
      <c r="M650" s="51">
        <v>0</v>
      </c>
      <c r="N650" s="51">
        <f t="shared" si="126"/>
        <v>0</v>
      </c>
      <c r="O650" s="51">
        <v>0</v>
      </c>
      <c r="P650" s="179" t="s">
        <v>1489</v>
      </c>
      <c r="Q650" s="179" t="s">
        <v>1489</v>
      </c>
      <c r="R650" s="179" t="s">
        <v>1489</v>
      </c>
      <c r="S650" s="47" t="s">
        <v>1489</v>
      </c>
      <c r="T650" s="54"/>
      <c r="U650" s="54"/>
      <c r="AA650">
        <f t="shared" si="127"/>
        <v>430</v>
      </c>
      <c r="AD650" t="str">
        <f t="shared" si="128"/>
        <v>465</v>
      </c>
      <c r="AE650">
        <f t="shared" si="129"/>
        <v>0</v>
      </c>
      <c r="AG650" s="50" t="str">
        <f t="shared" si="130"/>
        <v>ROUTES  Subventions et participations de tiers</v>
      </c>
      <c r="AH650" s="244" t="str">
        <f t="shared" si="131"/>
        <v>-</v>
      </c>
      <c r="AI650" s="219"/>
      <c r="AJ650" s="219"/>
      <c r="AK650" s="219" t="str">
        <f t="shared" si="132"/>
        <v>-</v>
      </c>
      <c r="AL650" s="244" t="str">
        <f t="shared" si="133"/>
        <v>-</v>
      </c>
      <c r="AN650" s="219" t="str">
        <f t="shared" si="134"/>
        <v>-</v>
      </c>
    </row>
    <row r="651" spans="1:40" ht="15" customHeight="1" x14ac:dyDescent="0.3">
      <c r="A651" s="48">
        <v>0</v>
      </c>
      <c r="B651" s="49" t="s">
        <v>1003</v>
      </c>
      <c r="C651" s="50" t="s">
        <v>1004</v>
      </c>
      <c r="D651" s="46" t="s">
        <v>1458</v>
      </c>
      <c r="E651" s="46" t="s">
        <v>934</v>
      </c>
      <c r="F651" s="182">
        <v>430</v>
      </c>
      <c r="G651" s="46" t="s">
        <v>64</v>
      </c>
      <c r="H651" s="46"/>
      <c r="I651" s="51">
        <v>0</v>
      </c>
      <c r="J651" s="51">
        <v>-241549.31</v>
      </c>
      <c r="K651" s="51">
        <f t="shared" si="135"/>
        <v>-241549.31</v>
      </c>
      <c r="L651" s="51">
        <v>0</v>
      </c>
      <c r="M651" s="51">
        <v>0</v>
      </c>
      <c r="N651" s="51">
        <f t="shared" si="126"/>
        <v>0</v>
      </c>
      <c r="O651" s="51">
        <v>0</v>
      </c>
      <c r="P651" s="179" t="s">
        <v>1710</v>
      </c>
      <c r="Q651" s="179" t="s">
        <v>1711</v>
      </c>
      <c r="R651" s="179" t="s">
        <v>2131</v>
      </c>
      <c r="S651" s="47" t="s">
        <v>1712</v>
      </c>
      <c r="T651" s="54">
        <f>+J651</f>
        <v>-241549.31</v>
      </c>
      <c r="U651" s="54"/>
      <c r="AA651">
        <f t="shared" si="127"/>
        <v>430</v>
      </c>
      <c r="AD651" t="str">
        <f t="shared" si="128"/>
        <v>480</v>
      </c>
      <c r="AE651">
        <f t="shared" si="129"/>
        <v>0</v>
      </c>
      <c r="AG651" s="50" t="str">
        <f t="shared" si="130"/>
        <v>ROUTES  PREL FONDS RENOUV ROUTES et VHC (9281.3)</v>
      </c>
      <c r="AH651" s="244" t="str">
        <f t="shared" si="131"/>
        <v>99000</v>
      </c>
      <c r="AI651" s="219"/>
      <c r="AJ651" s="219"/>
      <c r="AK651" s="219" t="str">
        <f t="shared" si="132"/>
        <v>4894</v>
      </c>
      <c r="AL651" s="244" t="str">
        <f t="shared" si="133"/>
        <v>00</v>
      </c>
      <c r="AN651" s="219" t="str">
        <f t="shared" si="134"/>
        <v>Prélèvement sur la réserve de politique budgétaire</v>
      </c>
    </row>
    <row r="652" spans="1:40" ht="15" customHeight="1" x14ac:dyDescent="0.3">
      <c r="A652" s="48">
        <v>0</v>
      </c>
      <c r="B652" s="49" t="s">
        <v>1005</v>
      </c>
      <c r="C652" s="50" t="s">
        <v>1006</v>
      </c>
      <c r="D652" s="46" t="s">
        <v>1458</v>
      </c>
      <c r="E652" s="46" t="s">
        <v>934</v>
      </c>
      <c r="F652" s="182">
        <v>430</v>
      </c>
      <c r="G652" s="46" t="s">
        <v>67</v>
      </c>
      <c r="H652" s="46"/>
      <c r="I652" s="51">
        <v>0</v>
      </c>
      <c r="J652" s="51">
        <v>0</v>
      </c>
      <c r="K652" s="51">
        <f t="shared" si="135"/>
        <v>0</v>
      </c>
      <c r="L652" s="51">
        <v>0</v>
      </c>
      <c r="M652" s="51">
        <v>0</v>
      </c>
      <c r="N652" s="51">
        <f t="shared" si="126"/>
        <v>0</v>
      </c>
      <c r="O652" s="51">
        <v>0</v>
      </c>
      <c r="P652" s="179" t="s">
        <v>1489</v>
      </c>
      <c r="Q652" s="179" t="s">
        <v>1489</v>
      </c>
      <c r="R652" s="179" t="s">
        <v>1489</v>
      </c>
      <c r="S652" s="47" t="s">
        <v>1489</v>
      </c>
      <c r="T652" s="54"/>
      <c r="U652" s="54"/>
      <c r="AA652">
        <f t="shared" si="127"/>
        <v>430</v>
      </c>
      <c r="AD652" t="str">
        <f t="shared" si="128"/>
        <v>490</v>
      </c>
      <c r="AE652">
        <f t="shared" si="129"/>
        <v>0</v>
      </c>
      <c r="AG652" s="50" t="str">
        <f t="shared" si="130"/>
        <v>ROUTES  IMPUTATIONS INTERNES</v>
      </c>
      <c r="AH652" s="244" t="str">
        <f t="shared" si="131"/>
        <v>-</v>
      </c>
      <c r="AI652" s="219"/>
      <c r="AJ652" s="219"/>
      <c r="AK652" s="219" t="str">
        <f t="shared" si="132"/>
        <v>-</v>
      </c>
      <c r="AL652" s="244" t="str">
        <f t="shared" si="133"/>
        <v>-</v>
      </c>
      <c r="AN652" s="219" t="str">
        <f t="shared" si="134"/>
        <v>-</v>
      </c>
    </row>
    <row r="653" spans="1:40" ht="15" customHeight="1" x14ac:dyDescent="0.3">
      <c r="A653" s="48">
        <v>0</v>
      </c>
      <c r="B653" s="74" t="s">
        <v>1008</v>
      </c>
      <c r="C653" s="67" t="s">
        <v>1009</v>
      </c>
      <c r="D653" s="188" t="s">
        <v>1462</v>
      </c>
      <c r="E653" s="188" t="s">
        <v>1007</v>
      </c>
      <c r="F653" s="188">
        <v>440</v>
      </c>
      <c r="G653" s="188" t="s">
        <v>3</v>
      </c>
      <c r="H653" s="188"/>
      <c r="I653" s="51">
        <v>28572.3</v>
      </c>
      <c r="J653" s="51">
        <v>0</v>
      </c>
      <c r="K653" s="51">
        <f t="shared" si="135"/>
        <v>28572.3</v>
      </c>
      <c r="L653" s="51">
        <v>26000</v>
      </c>
      <c r="M653" s="51">
        <v>0</v>
      </c>
      <c r="N653" s="51">
        <f t="shared" si="126"/>
        <v>26000</v>
      </c>
      <c r="O653" s="51">
        <v>14053.55</v>
      </c>
      <c r="P653" s="185" t="s">
        <v>1587</v>
      </c>
      <c r="Q653" s="179" t="s">
        <v>1410</v>
      </c>
      <c r="R653" s="179" t="s">
        <v>2131</v>
      </c>
      <c r="S653" s="52" t="s">
        <v>1411</v>
      </c>
      <c r="T653" s="54">
        <f>+I653</f>
        <v>28572.3</v>
      </c>
      <c r="U653" s="54">
        <v>0</v>
      </c>
      <c r="V653" s="7" t="s">
        <v>2021</v>
      </c>
      <c r="AA653">
        <f t="shared" si="127"/>
        <v>440</v>
      </c>
      <c r="AD653" t="str">
        <f t="shared" si="128"/>
        <v>301</v>
      </c>
      <c r="AE653">
        <f t="shared" si="129"/>
        <v>0</v>
      </c>
      <c r="AG653" s="50" t="str">
        <f t="shared" si="130"/>
        <v>PARCS  CIMETIERE SALAIRES</v>
      </c>
      <c r="AH653" s="244" t="str">
        <f t="shared" si="131"/>
        <v>61500</v>
      </c>
      <c r="AI653" s="219"/>
      <c r="AJ653" s="219"/>
      <c r="AK653" s="219" t="str">
        <f t="shared" si="132"/>
        <v>3010</v>
      </c>
      <c r="AL653" s="244" t="str">
        <f t="shared" si="133"/>
        <v>00</v>
      </c>
      <c r="AN653" s="219" t="str">
        <f t="shared" si="134"/>
        <v>Salaire du personnel administratif</v>
      </c>
    </row>
    <row r="654" spans="1:40" ht="15" customHeight="1" x14ac:dyDescent="0.3">
      <c r="A654" s="48"/>
      <c r="B654" s="74" t="s">
        <v>1008</v>
      </c>
      <c r="C654" s="67" t="s">
        <v>1009</v>
      </c>
      <c r="D654" s="188" t="s">
        <v>1462</v>
      </c>
      <c r="E654" s="188" t="s">
        <v>1007</v>
      </c>
      <c r="F654" s="188">
        <v>440</v>
      </c>
      <c r="G654" s="188" t="s">
        <v>3</v>
      </c>
      <c r="H654" s="188"/>
      <c r="I654" s="51"/>
      <c r="J654" s="51"/>
      <c r="K654" s="51"/>
      <c r="L654" s="51"/>
      <c r="M654" s="51"/>
      <c r="N654" s="51">
        <f t="shared" si="126"/>
        <v>0</v>
      </c>
      <c r="O654" s="51"/>
      <c r="P654" s="185" t="s">
        <v>1587</v>
      </c>
      <c r="Q654" s="179" t="s">
        <v>1410</v>
      </c>
      <c r="R654" s="179" t="s">
        <v>2138</v>
      </c>
      <c r="S654" s="47" t="s">
        <v>1424</v>
      </c>
      <c r="T654" s="54"/>
      <c r="U654" s="54"/>
      <c r="AA654">
        <f t="shared" si="127"/>
        <v>440</v>
      </c>
      <c r="AD654" t="str">
        <f t="shared" si="128"/>
        <v>301</v>
      </c>
      <c r="AE654">
        <f t="shared" si="129"/>
        <v>0</v>
      </c>
      <c r="AG654" s="50" t="str">
        <f t="shared" si="130"/>
        <v>PARCS  CIMETIERE SALAIRES</v>
      </c>
      <c r="AH654" s="244" t="str">
        <f t="shared" si="131"/>
        <v>61500</v>
      </c>
      <c r="AI654" s="219"/>
      <c r="AJ654" s="219"/>
      <c r="AK654" s="219" t="str">
        <f t="shared" si="132"/>
        <v>3010</v>
      </c>
      <c r="AL654" s="244" t="str">
        <f t="shared" si="133"/>
        <v>99</v>
      </c>
      <c r="AN654" s="219" t="str">
        <f t="shared" si="134"/>
        <v>Remboursements IJM</v>
      </c>
    </row>
    <row r="655" spans="1:40" ht="15" customHeight="1" x14ac:dyDescent="0.3">
      <c r="A655" s="48">
        <v>0</v>
      </c>
      <c r="B655" s="77" t="s">
        <v>1010</v>
      </c>
      <c r="C655" s="78" t="s">
        <v>1011</v>
      </c>
      <c r="D655" s="182" t="s">
        <v>1462</v>
      </c>
      <c r="E655" s="182" t="s">
        <v>1007</v>
      </c>
      <c r="F655" s="188">
        <v>440</v>
      </c>
      <c r="G655" s="182" t="s">
        <v>16</v>
      </c>
      <c r="H655" s="182"/>
      <c r="I655" s="51">
        <v>2733.35</v>
      </c>
      <c r="J655" s="51">
        <v>0</v>
      </c>
      <c r="K655" s="51">
        <f>+I655+J655</f>
        <v>2733.35</v>
      </c>
      <c r="L655" s="51">
        <v>2500</v>
      </c>
      <c r="M655" s="51">
        <v>0</v>
      </c>
      <c r="N655" s="51">
        <f t="shared" si="126"/>
        <v>2500</v>
      </c>
      <c r="O655" s="51">
        <v>1351.95</v>
      </c>
      <c r="P655" s="185" t="s">
        <v>1587</v>
      </c>
      <c r="Q655" s="179" t="s">
        <v>1367</v>
      </c>
      <c r="R655" s="179" t="s">
        <v>2131</v>
      </c>
      <c r="S655" s="52" t="s">
        <v>1378</v>
      </c>
      <c r="T655" s="54">
        <f>+I655</f>
        <v>2733.35</v>
      </c>
      <c r="U655" s="54"/>
      <c r="AA655">
        <f t="shared" si="127"/>
        <v>440</v>
      </c>
      <c r="AD655" t="str">
        <f t="shared" si="128"/>
        <v>303</v>
      </c>
      <c r="AE655">
        <f t="shared" si="129"/>
        <v>0</v>
      </c>
      <c r="AG655" s="50" t="str">
        <f t="shared" si="130"/>
        <v>PARCS  CIMETIERE COTISATIONS AVS AC AF</v>
      </c>
      <c r="AH655" s="244" t="str">
        <f t="shared" si="131"/>
        <v>61500</v>
      </c>
      <c r="AI655" s="219"/>
      <c r="AJ655" s="219"/>
      <c r="AK655" s="219" t="str">
        <f t="shared" si="132"/>
        <v>3050</v>
      </c>
      <c r="AL655" s="244" t="str">
        <f t="shared" si="133"/>
        <v>00</v>
      </c>
      <c r="AN655" s="219" t="str">
        <f t="shared" si="134"/>
        <v>Cotisations AVS, AI, APG, AC, frais adm</v>
      </c>
    </row>
    <row r="656" spans="1:40" ht="15" customHeight="1" x14ac:dyDescent="0.3">
      <c r="A656" s="48"/>
      <c r="B656" s="77" t="s">
        <v>1010</v>
      </c>
      <c r="C656" s="78" t="s">
        <v>1011</v>
      </c>
      <c r="D656" s="182" t="s">
        <v>1462</v>
      </c>
      <c r="E656" s="182" t="s">
        <v>1007</v>
      </c>
      <c r="F656" s="188">
        <v>440</v>
      </c>
      <c r="G656" s="182" t="s">
        <v>16</v>
      </c>
      <c r="H656" s="182"/>
      <c r="I656" s="51"/>
      <c r="J656" s="51"/>
      <c r="K656" s="51"/>
      <c r="L656" s="51"/>
      <c r="M656" s="51"/>
      <c r="N656" s="51">
        <f t="shared" si="126"/>
        <v>0</v>
      </c>
      <c r="O656" s="51"/>
      <c r="P656" s="185" t="s">
        <v>1587</v>
      </c>
      <c r="Q656" s="179" t="s">
        <v>1413</v>
      </c>
      <c r="R656" s="179" t="s">
        <v>2131</v>
      </c>
      <c r="S656" s="52" t="s">
        <v>1414</v>
      </c>
      <c r="T656" s="54"/>
      <c r="U656" s="54"/>
      <c r="AA656">
        <f t="shared" si="127"/>
        <v>440</v>
      </c>
      <c r="AD656" t="str">
        <f t="shared" si="128"/>
        <v>303</v>
      </c>
      <c r="AE656">
        <f t="shared" si="129"/>
        <v>0</v>
      </c>
      <c r="AG656" s="50" t="str">
        <f t="shared" si="130"/>
        <v>PARCS  CIMETIERE COTISATIONS AVS AC AF</v>
      </c>
      <c r="AH656" s="244" t="str">
        <f t="shared" si="131"/>
        <v>61500</v>
      </c>
      <c r="AI656" s="219"/>
      <c r="AJ656" s="219"/>
      <c r="AK656" s="219" t="str">
        <f t="shared" si="132"/>
        <v>3054</v>
      </c>
      <c r="AL656" s="244" t="str">
        <f t="shared" si="133"/>
        <v>00</v>
      </c>
      <c r="AN656" s="219" t="str">
        <f t="shared" si="134"/>
        <v>Cotisations CAF</v>
      </c>
    </row>
    <row r="657" spans="1:40" ht="13.8" customHeight="1" x14ac:dyDescent="0.3">
      <c r="A657" s="48">
        <v>0</v>
      </c>
      <c r="B657" s="49" t="s">
        <v>1012</v>
      </c>
      <c r="C657" s="50" t="s">
        <v>1013</v>
      </c>
      <c r="D657" s="46" t="s">
        <v>1462</v>
      </c>
      <c r="E657" s="46" t="s">
        <v>1007</v>
      </c>
      <c r="F657" s="188">
        <v>440</v>
      </c>
      <c r="G657" s="46" t="s">
        <v>38</v>
      </c>
      <c r="H657" s="46"/>
      <c r="I657" s="51">
        <v>1431.6</v>
      </c>
      <c r="J657" s="51">
        <v>0</v>
      </c>
      <c r="K657" s="51">
        <f>+I657+J657</f>
        <v>1431.6</v>
      </c>
      <c r="L657" s="51">
        <v>1700</v>
      </c>
      <c r="M657" s="51">
        <v>0</v>
      </c>
      <c r="N657" s="51">
        <f t="shared" ref="N657:N677" si="136">+L657+M657</f>
        <v>1700</v>
      </c>
      <c r="O657" s="51">
        <v>1231.8</v>
      </c>
      <c r="P657" s="185" t="s">
        <v>1587</v>
      </c>
      <c r="Q657" s="179" t="s">
        <v>1386</v>
      </c>
      <c r="R657" s="179" t="s">
        <v>2131</v>
      </c>
      <c r="S657" s="52" t="s">
        <v>1387</v>
      </c>
      <c r="T657" s="54">
        <f>+I657</f>
        <v>1431.6</v>
      </c>
      <c r="U657" s="54"/>
      <c r="AA657">
        <f t="shared" si="127"/>
        <v>440</v>
      </c>
      <c r="AD657" t="str">
        <f t="shared" si="128"/>
        <v>304</v>
      </c>
      <c r="AE657">
        <f t="shared" si="129"/>
        <v>0</v>
      </c>
      <c r="AG657" s="50" t="str">
        <f t="shared" si="130"/>
        <v>PARCS  CIMETIERE CAISSE PREVOYANCE LPP</v>
      </c>
      <c r="AH657" s="244" t="str">
        <f t="shared" si="131"/>
        <v>61500</v>
      </c>
      <c r="AI657" s="219"/>
      <c r="AJ657" s="219"/>
      <c r="AK657" s="219" t="str">
        <f t="shared" si="132"/>
        <v>3052</v>
      </c>
      <c r="AL657" s="244" t="str">
        <f t="shared" si="133"/>
        <v>00</v>
      </c>
      <c r="AN657" s="219" t="str">
        <f t="shared" si="134"/>
        <v>Cotisations patronales aux caisses de pensions</v>
      </c>
    </row>
    <row r="658" spans="1:40" ht="15" customHeight="1" x14ac:dyDescent="0.3">
      <c r="A658" s="48">
        <v>0</v>
      </c>
      <c r="B658" s="49" t="s">
        <v>1014</v>
      </c>
      <c r="C658" s="50" t="s">
        <v>1015</v>
      </c>
      <c r="D658" s="46" t="s">
        <v>1462</v>
      </c>
      <c r="E658" s="46" t="s">
        <v>1007</v>
      </c>
      <c r="F658" s="188">
        <v>440</v>
      </c>
      <c r="G658" s="46" t="s">
        <v>19</v>
      </c>
      <c r="H658" s="46"/>
      <c r="I658" s="51">
        <v>906.9</v>
      </c>
      <c r="J658" s="51">
        <v>0</v>
      </c>
      <c r="K658" s="51">
        <f>+I658+J658</f>
        <v>906.9</v>
      </c>
      <c r="L658" s="51">
        <v>850</v>
      </c>
      <c r="M658" s="51">
        <v>0</v>
      </c>
      <c r="N658" s="51">
        <f t="shared" si="136"/>
        <v>850</v>
      </c>
      <c r="O658" s="51">
        <v>450.1</v>
      </c>
      <c r="P658" s="185" t="s">
        <v>1587</v>
      </c>
      <c r="Q658" s="179" t="s">
        <v>1375</v>
      </c>
      <c r="R658" s="179" t="s">
        <v>2131</v>
      </c>
      <c r="S658" s="52" t="s">
        <v>1379</v>
      </c>
      <c r="T658" s="54">
        <f>+I658</f>
        <v>906.9</v>
      </c>
      <c r="U658" s="54"/>
      <c r="AA658">
        <f t="shared" si="127"/>
        <v>440</v>
      </c>
      <c r="AD658" t="str">
        <f t="shared" si="128"/>
        <v>305</v>
      </c>
      <c r="AE658">
        <f t="shared" si="129"/>
        <v>0</v>
      </c>
      <c r="AG658" s="50" t="str">
        <f t="shared" si="130"/>
        <v>PARCS  CIMETIERE ASS ACCIDENTS et MALADIE</v>
      </c>
      <c r="AH658" s="244" t="str">
        <f t="shared" si="131"/>
        <v>61500</v>
      </c>
      <c r="AI658" s="219"/>
      <c r="AJ658" s="219"/>
      <c r="AK658" s="219" t="str">
        <f t="shared" si="132"/>
        <v>3053</v>
      </c>
      <c r="AL658" s="244" t="str">
        <f t="shared" si="133"/>
        <v>00</v>
      </c>
      <c r="AN658" s="219" t="str">
        <f t="shared" si="134"/>
        <v>Cotisations patronales aux assurance-accidents</v>
      </c>
    </row>
    <row r="659" spans="1:40" ht="15" customHeight="1" x14ac:dyDescent="0.3">
      <c r="A659" s="48">
        <v>0</v>
      </c>
      <c r="B659" s="77" t="s">
        <v>1016</v>
      </c>
      <c r="C659" s="78" t="s">
        <v>1017</v>
      </c>
      <c r="D659" s="182" t="s">
        <v>1462</v>
      </c>
      <c r="E659" s="46" t="s">
        <v>1007</v>
      </c>
      <c r="F659" s="188">
        <v>440</v>
      </c>
      <c r="G659" s="46" t="s">
        <v>22</v>
      </c>
      <c r="H659" s="46"/>
      <c r="I659" s="51">
        <v>0</v>
      </c>
      <c r="J659" s="51">
        <v>0</v>
      </c>
      <c r="K659" s="51">
        <f>+I659+J659</f>
        <v>0</v>
      </c>
      <c r="L659" s="51">
        <v>0</v>
      </c>
      <c r="M659" s="51">
        <v>0</v>
      </c>
      <c r="N659" s="51">
        <f t="shared" si="136"/>
        <v>0</v>
      </c>
      <c r="O659" s="51">
        <v>12.95</v>
      </c>
      <c r="P659" s="185" t="s">
        <v>1587</v>
      </c>
      <c r="Q659" s="179" t="s">
        <v>1393</v>
      </c>
      <c r="R659" s="179" t="s">
        <v>2131</v>
      </c>
      <c r="S659" s="52" t="s">
        <v>2073</v>
      </c>
      <c r="T659" s="54"/>
      <c r="U659" s="54"/>
      <c r="AA659">
        <f t="shared" si="127"/>
        <v>440</v>
      </c>
      <c r="AD659" t="str">
        <f t="shared" si="128"/>
        <v>306</v>
      </c>
      <c r="AE659">
        <f t="shared" si="129"/>
        <v>0</v>
      </c>
      <c r="AG659" s="50" t="str">
        <f t="shared" si="130"/>
        <v>Parcs cimetières, indemnisation remboursement frais</v>
      </c>
      <c r="AH659" s="244" t="str">
        <f t="shared" si="131"/>
        <v>61500</v>
      </c>
      <c r="AI659" s="219"/>
      <c r="AJ659" s="219"/>
      <c r="AK659" s="219" t="str">
        <f t="shared" si="132"/>
        <v>3170</v>
      </c>
      <c r="AL659" s="244" t="str">
        <f t="shared" si="133"/>
        <v>00</v>
      </c>
      <c r="AN659" s="219" t="str">
        <f t="shared" si="134"/>
        <v>Remboursements de frais effectifs km</v>
      </c>
    </row>
    <row r="660" spans="1:40" ht="15" customHeight="1" x14ac:dyDescent="0.3">
      <c r="A660" s="48"/>
      <c r="B660" s="77" t="s">
        <v>1016</v>
      </c>
      <c r="C660" s="78" t="s">
        <v>1017</v>
      </c>
      <c r="D660" s="182" t="s">
        <v>1462</v>
      </c>
      <c r="E660" s="46"/>
      <c r="F660" s="188">
        <v>440</v>
      </c>
      <c r="G660" s="46" t="s">
        <v>22</v>
      </c>
      <c r="H660" s="46"/>
      <c r="I660" s="51"/>
      <c r="J660" s="51"/>
      <c r="K660" s="51"/>
      <c r="L660" s="51"/>
      <c r="M660" s="51"/>
      <c r="N660" s="51">
        <f t="shared" si="136"/>
        <v>0</v>
      </c>
      <c r="O660" s="51"/>
      <c r="P660" s="185" t="s">
        <v>1587</v>
      </c>
      <c r="Q660" s="179" t="s">
        <v>1382</v>
      </c>
      <c r="R660" s="179" t="s">
        <v>2131</v>
      </c>
      <c r="S660" s="52" t="s">
        <v>1383</v>
      </c>
      <c r="T660" s="54"/>
      <c r="U660" s="54"/>
      <c r="AA660">
        <f t="shared" si="127"/>
        <v>440</v>
      </c>
      <c r="AD660" t="str">
        <f t="shared" si="128"/>
        <v>306</v>
      </c>
      <c r="AE660">
        <f t="shared" si="129"/>
        <v>0</v>
      </c>
      <c r="AG660" s="50" t="str">
        <f t="shared" si="130"/>
        <v>Parcs cimetières, indemnisation remboursement frais</v>
      </c>
      <c r="AH660" s="244" t="str">
        <f t="shared" si="131"/>
        <v>61500</v>
      </c>
      <c r="AI660" s="219"/>
      <c r="AJ660" s="219"/>
      <c r="AK660" s="219" t="str">
        <f t="shared" si="132"/>
        <v>3049</v>
      </c>
      <c r="AL660" s="244" t="str">
        <f t="shared" si="133"/>
        <v>00</v>
      </c>
      <c r="AN660" s="219" t="str">
        <f t="shared" si="134"/>
        <v>Autres indemnités forfaitaires - natels</v>
      </c>
    </row>
    <row r="661" spans="1:40" ht="15" customHeight="1" x14ac:dyDescent="0.3">
      <c r="A661" s="48"/>
      <c r="B661" s="77" t="s">
        <v>1016</v>
      </c>
      <c r="C661" s="78" t="s">
        <v>1017</v>
      </c>
      <c r="D661" s="182" t="s">
        <v>1462</v>
      </c>
      <c r="E661" s="46"/>
      <c r="F661" s="188">
        <v>440</v>
      </c>
      <c r="G661" s="46" t="s">
        <v>22</v>
      </c>
      <c r="H661" s="46"/>
      <c r="I661" s="51"/>
      <c r="J661" s="51"/>
      <c r="K661" s="51"/>
      <c r="L661" s="51"/>
      <c r="M661" s="51"/>
      <c r="N661" s="51">
        <f t="shared" si="136"/>
        <v>0</v>
      </c>
      <c r="O661" s="51"/>
      <c r="P661" s="185" t="s">
        <v>1587</v>
      </c>
      <c r="Q661" s="179" t="s">
        <v>1393</v>
      </c>
      <c r="R661" s="179" t="s">
        <v>2131</v>
      </c>
      <c r="S661" s="52" t="s">
        <v>2073</v>
      </c>
      <c r="T661" s="54"/>
      <c r="U661" s="54"/>
      <c r="AA661">
        <f t="shared" si="127"/>
        <v>440</v>
      </c>
      <c r="AD661" t="str">
        <f t="shared" si="128"/>
        <v>306</v>
      </c>
      <c r="AE661">
        <f t="shared" si="129"/>
        <v>0</v>
      </c>
      <c r="AG661" s="50" t="str">
        <f t="shared" si="130"/>
        <v>Parcs cimetières, indemnisation remboursement frais</v>
      </c>
      <c r="AH661" s="244" t="str">
        <f t="shared" si="131"/>
        <v>61500</v>
      </c>
      <c r="AI661" s="219"/>
      <c r="AJ661" s="219"/>
      <c r="AK661" s="219" t="str">
        <f t="shared" si="132"/>
        <v>3170</v>
      </c>
      <c r="AL661" s="244" t="str">
        <f t="shared" si="133"/>
        <v>00</v>
      </c>
      <c r="AN661" s="219" t="str">
        <f t="shared" si="134"/>
        <v>Remboursements de frais effectifs km</v>
      </c>
    </row>
    <row r="662" spans="1:40" ht="15" customHeight="1" x14ac:dyDescent="0.3">
      <c r="A662" s="48"/>
      <c r="B662" s="77" t="s">
        <v>1016</v>
      </c>
      <c r="C662" s="78" t="s">
        <v>1017</v>
      </c>
      <c r="D662" s="182" t="s">
        <v>1462</v>
      </c>
      <c r="E662" s="46"/>
      <c r="F662" s="188">
        <v>440</v>
      </c>
      <c r="G662" s="46" t="s">
        <v>22</v>
      </c>
      <c r="H662" s="46"/>
      <c r="I662" s="51"/>
      <c r="J662" s="51"/>
      <c r="K662" s="51"/>
      <c r="L662" s="51"/>
      <c r="M662" s="51"/>
      <c r="N662" s="51">
        <f t="shared" si="136"/>
        <v>0</v>
      </c>
      <c r="O662" s="51"/>
      <c r="P662" s="185" t="s">
        <v>1587</v>
      </c>
      <c r="Q662" s="179" t="s">
        <v>1368</v>
      </c>
      <c r="R662" s="179" t="s">
        <v>2131</v>
      </c>
      <c r="S662" s="47" t="s">
        <v>1392</v>
      </c>
      <c r="T662" s="54"/>
      <c r="U662" s="54"/>
      <c r="AA662">
        <f t="shared" si="127"/>
        <v>440</v>
      </c>
      <c r="AD662" t="str">
        <f t="shared" si="128"/>
        <v>306</v>
      </c>
      <c r="AE662">
        <f t="shared" si="129"/>
        <v>0</v>
      </c>
      <c r="AG662" s="50" t="str">
        <f t="shared" si="130"/>
        <v>Parcs cimetières, indemnisation remboursement frais</v>
      </c>
      <c r="AH662" s="244" t="str">
        <f t="shared" si="131"/>
        <v>61500</v>
      </c>
      <c r="AI662" s="219"/>
      <c r="AJ662" s="219"/>
      <c r="AK662" s="219" t="str">
        <f t="shared" si="132"/>
        <v>3090</v>
      </c>
      <c r="AL662" s="244" t="str">
        <f t="shared" si="133"/>
        <v>00</v>
      </c>
      <c r="AN662" s="219" t="str">
        <f t="shared" si="134"/>
        <v>Formation et perfectionnement</v>
      </c>
    </row>
    <row r="663" spans="1:40" ht="15" customHeight="1" x14ac:dyDescent="0.3">
      <c r="A663" s="48"/>
      <c r="B663" s="77" t="s">
        <v>1016</v>
      </c>
      <c r="C663" s="78" t="s">
        <v>1017</v>
      </c>
      <c r="D663" s="182" t="s">
        <v>1462</v>
      </c>
      <c r="E663" s="46"/>
      <c r="F663" s="188">
        <v>440</v>
      </c>
      <c r="G663" s="46" t="s">
        <v>22</v>
      </c>
      <c r="H663" s="46"/>
      <c r="I663" s="51"/>
      <c r="J663" s="51"/>
      <c r="K663" s="51"/>
      <c r="L663" s="51"/>
      <c r="M663" s="51"/>
      <c r="N663" s="51">
        <f t="shared" si="136"/>
        <v>0</v>
      </c>
      <c r="O663" s="51"/>
      <c r="P663" s="185" t="s">
        <v>1587</v>
      </c>
      <c r="Q663" s="179" t="s">
        <v>1540</v>
      </c>
      <c r="R663" s="179" t="s">
        <v>2131</v>
      </c>
      <c r="S663" s="52" t="s">
        <v>1543</v>
      </c>
      <c r="T663" s="54"/>
      <c r="U663" s="54"/>
      <c r="AA663">
        <f t="shared" si="127"/>
        <v>440</v>
      </c>
      <c r="AD663" t="str">
        <f t="shared" si="128"/>
        <v>306</v>
      </c>
      <c r="AE663">
        <f t="shared" si="129"/>
        <v>0</v>
      </c>
      <c r="AG663" s="50" t="str">
        <f t="shared" si="130"/>
        <v>Parcs cimetières, indemnisation remboursement frais</v>
      </c>
      <c r="AH663" s="244" t="str">
        <f t="shared" si="131"/>
        <v>61500</v>
      </c>
      <c r="AI663" s="219"/>
      <c r="AJ663" s="219"/>
      <c r="AK663" s="219" t="str">
        <f t="shared" si="132"/>
        <v>3091</v>
      </c>
      <c r="AL663" s="244" t="str">
        <f t="shared" si="133"/>
        <v>00</v>
      </c>
      <c r="AN663" s="219" t="str">
        <f t="shared" si="134"/>
        <v>Recrutement</v>
      </c>
    </row>
    <row r="664" spans="1:40" ht="15" customHeight="1" x14ac:dyDescent="0.3">
      <c r="A664" s="48"/>
      <c r="B664" s="77" t="s">
        <v>1016</v>
      </c>
      <c r="C664" s="78" t="s">
        <v>1017</v>
      </c>
      <c r="D664" s="182" t="s">
        <v>1462</v>
      </c>
      <c r="E664" s="46"/>
      <c r="F664" s="188">
        <v>440</v>
      </c>
      <c r="G664" s="46" t="s">
        <v>22</v>
      </c>
      <c r="H664" s="46"/>
      <c r="I664" s="51"/>
      <c r="J664" s="51"/>
      <c r="K664" s="51"/>
      <c r="L664" s="51"/>
      <c r="M664" s="51"/>
      <c r="N664" s="51">
        <f t="shared" si="136"/>
        <v>0</v>
      </c>
      <c r="O664" s="51"/>
      <c r="P664" s="185" t="s">
        <v>1587</v>
      </c>
      <c r="Q664" s="179" t="s">
        <v>1380</v>
      </c>
      <c r="R664" s="179" t="s">
        <v>2131</v>
      </c>
      <c r="S664" s="52" t="s">
        <v>1381</v>
      </c>
      <c r="T664" s="54"/>
      <c r="U664" s="54"/>
      <c r="AA664">
        <f t="shared" si="127"/>
        <v>440</v>
      </c>
      <c r="AD664" t="str">
        <f t="shared" si="128"/>
        <v>306</v>
      </c>
      <c r="AE664">
        <f t="shared" si="129"/>
        <v>0</v>
      </c>
      <c r="AG664" s="50" t="str">
        <f t="shared" si="130"/>
        <v>Parcs cimetières, indemnisation remboursement frais</v>
      </c>
      <c r="AH664" s="244" t="str">
        <f t="shared" si="131"/>
        <v>61500</v>
      </c>
      <c r="AI664" s="219"/>
      <c r="AJ664" s="219"/>
      <c r="AK664" s="219" t="str">
        <f t="shared" si="132"/>
        <v>3099</v>
      </c>
      <c r="AL664" s="244" t="str">
        <f t="shared" si="133"/>
        <v>00</v>
      </c>
      <c r="AN664" s="219" t="str">
        <f t="shared" si="134"/>
        <v>Autres charges du personnel</v>
      </c>
    </row>
    <row r="665" spans="1:40" ht="15" customHeight="1" x14ac:dyDescent="0.3">
      <c r="A665" s="48">
        <v>0</v>
      </c>
      <c r="B665" s="49" t="s">
        <v>1018</v>
      </c>
      <c r="C665" s="50" t="s">
        <v>1019</v>
      </c>
      <c r="D665" s="46" t="s">
        <v>1462</v>
      </c>
      <c r="E665" s="46" t="s">
        <v>1007</v>
      </c>
      <c r="F665" s="188">
        <v>440</v>
      </c>
      <c r="G665" s="46" t="s">
        <v>25</v>
      </c>
      <c r="H665" s="46"/>
      <c r="I665" s="51">
        <v>68.45</v>
      </c>
      <c r="J665" s="51">
        <v>0</v>
      </c>
      <c r="K665" s="51">
        <f t="shared" ref="K665:K681" si="137">+I665+J665</f>
        <v>68.45</v>
      </c>
      <c r="L665" s="51">
        <v>0</v>
      </c>
      <c r="M665" s="51">
        <v>0</v>
      </c>
      <c r="N665" s="51">
        <f t="shared" si="136"/>
        <v>0</v>
      </c>
      <c r="O665" s="51">
        <v>0</v>
      </c>
      <c r="P665" s="179" t="s">
        <v>1612</v>
      </c>
      <c r="Q665" s="179" t="s">
        <v>1426</v>
      </c>
      <c r="R665" s="179" t="s">
        <v>2131</v>
      </c>
      <c r="S665" s="55" t="s">
        <v>1830</v>
      </c>
      <c r="T665" s="54">
        <f>+I665</f>
        <v>68.45</v>
      </c>
      <c r="U665" s="54"/>
      <c r="AA665">
        <f t="shared" si="127"/>
        <v>440</v>
      </c>
      <c r="AD665" t="str">
        <f t="shared" si="128"/>
        <v>311</v>
      </c>
      <c r="AE665">
        <f t="shared" si="129"/>
        <v>0</v>
      </c>
      <c r="AG665" s="50" t="str">
        <f t="shared" si="130"/>
        <v>PARCS  CIMETIERE  ACHATS MACH et MATERIEL</v>
      </c>
      <c r="AH665" s="244" t="str">
        <f t="shared" si="131"/>
        <v>77100</v>
      </c>
      <c r="AI665" s="219"/>
      <c r="AJ665" s="219"/>
      <c r="AK665" s="219" t="str">
        <f t="shared" si="132"/>
        <v>3101</v>
      </c>
      <c r="AL665" s="244" t="str">
        <f t="shared" si="133"/>
        <v>00</v>
      </c>
      <c r="AN665" s="219" t="str">
        <f t="shared" si="134"/>
        <v>Matériel d'exploitation, petites fournitures</v>
      </c>
    </row>
    <row r="666" spans="1:40" ht="15" customHeight="1" x14ac:dyDescent="0.3">
      <c r="A666" s="48">
        <v>0</v>
      </c>
      <c r="B666" s="49" t="s">
        <v>1020</v>
      </c>
      <c r="C666" s="50" t="s">
        <v>1021</v>
      </c>
      <c r="D666" s="46" t="s">
        <v>1462</v>
      </c>
      <c r="E666" s="46" t="s">
        <v>1007</v>
      </c>
      <c r="F666" s="188">
        <v>440</v>
      </c>
      <c r="G666" s="46" t="s">
        <v>439</v>
      </c>
      <c r="H666" s="46"/>
      <c r="I666" s="51">
        <v>0</v>
      </c>
      <c r="J666" s="51">
        <v>0</v>
      </c>
      <c r="K666" s="51">
        <f t="shared" si="137"/>
        <v>0</v>
      </c>
      <c r="L666" s="51">
        <v>0</v>
      </c>
      <c r="M666" s="51">
        <v>0</v>
      </c>
      <c r="N666" s="51">
        <f t="shared" si="136"/>
        <v>0</v>
      </c>
      <c r="O666" s="51">
        <v>0</v>
      </c>
      <c r="P666" s="179" t="s">
        <v>1489</v>
      </c>
      <c r="Q666" s="179" t="s">
        <v>1489</v>
      </c>
      <c r="R666" s="179" t="s">
        <v>1489</v>
      </c>
      <c r="S666" s="47" t="s">
        <v>1489</v>
      </c>
      <c r="T666" s="54"/>
      <c r="U666" s="54"/>
      <c r="AA666">
        <f t="shared" si="127"/>
        <v>440</v>
      </c>
      <c r="AD666" t="str">
        <f t="shared" si="128"/>
        <v>313</v>
      </c>
      <c r="AE666">
        <f t="shared" si="129"/>
        <v>0</v>
      </c>
      <c r="AG666" s="50" t="str">
        <f t="shared" si="130"/>
        <v>PARCS  CIMETIERE  ACHATS MARCHANDISES</v>
      </c>
      <c r="AH666" s="244" t="str">
        <f t="shared" si="131"/>
        <v>-</v>
      </c>
      <c r="AI666" s="219"/>
      <c r="AJ666" s="219"/>
      <c r="AK666" s="219" t="str">
        <f t="shared" si="132"/>
        <v>-</v>
      </c>
      <c r="AL666" s="244" t="str">
        <f t="shared" si="133"/>
        <v>-</v>
      </c>
      <c r="AN666" s="219" t="str">
        <f t="shared" si="134"/>
        <v>-</v>
      </c>
    </row>
    <row r="667" spans="1:40" ht="15" customHeight="1" x14ac:dyDescent="0.3">
      <c r="A667" s="48">
        <v>0</v>
      </c>
      <c r="B667" s="74" t="s">
        <v>1022</v>
      </c>
      <c r="C667" s="67" t="s">
        <v>1023</v>
      </c>
      <c r="D667" s="188" t="s">
        <v>1462</v>
      </c>
      <c r="E667" s="188" t="s">
        <v>1007</v>
      </c>
      <c r="F667" s="188">
        <v>440</v>
      </c>
      <c r="G667" s="188" t="s">
        <v>131</v>
      </c>
      <c r="H667" s="188"/>
      <c r="I667" s="51">
        <v>2758.3</v>
      </c>
      <c r="J667" s="51">
        <v>0</v>
      </c>
      <c r="K667" s="51">
        <f t="shared" si="137"/>
        <v>2758.3</v>
      </c>
      <c r="L667" s="51">
        <v>25000</v>
      </c>
      <c r="M667" s="51">
        <v>0</v>
      </c>
      <c r="N667" s="51">
        <f t="shared" si="136"/>
        <v>25000</v>
      </c>
      <c r="O667" s="51">
        <v>5105.1499999999996</v>
      </c>
      <c r="P667" s="179" t="s">
        <v>1612</v>
      </c>
      <c r="Q667" s="179" t="s">
        <v>1570</v>
      </c>
      <c r="R667" s="179" t="s">
        <v>2131</v>
      </c>
      <c r="S667" s="47" t="s">
        <v>1614</v>
      </c>
      <c r="T667" s="54">
        <f>+I667</f>
        <v>2758.3</v>
      </c>
      <c r="U667" s="54"/>
      <c r="W667" t="s">
        <v>1613</v>
      </c>
      <c r="AA667">
        <f t="shared" si="127"/>
        <v>440</v>
      </c>
      <c r="AD667" t="str">
        <f t="shared" si="128"/>
        <v>314</v>
      </c>
      <c r="AE667">
        <f t="shared" si="129"/>
        <v>0</v>
      </c>
      <c r="AG667" s="50" t="str">
        <f t="shared" si="130"/>
        <v>PARCS  CIMETIERE  ENTRETIEN</v>
      </c>
      <c r="AH667" s="244" t="str">
        <f t="shared" si="131"/>
        <v>77100</v>
      </c>
      <c r="AI667" s="219"/>
      <c r="AJ667" s="219"/>
      <c r="AK667" s="219" t="str">
        <f t="shared" si="132"/>
        <v>3143</v>
      </c>
      <c r="AL667" s="244" t="str">
        <f t="shared" si="133"/>
        <v>00</v>
      </c>
      <c r="AN667" s="219" t="str">
        <f t="shared" si="134"/>
        <v>Entretien autres travaux de genie civil - creuse tombes</v>
      </c>
    </row>
    <row r="668" spans="1:40" ht="15" customHeight="1" x14ac:dyDescent="0.3">
      <c r="A668" s="48"/>
      <c r="B668" s="74" t="s">
        <v>1022</v>
      </c>
      <c r="C668" s="67" t="s">
        <v>1023</v>
      </c>
      <c r="D668" s="188" t="s">
        <v>1462</v>
      </c>
      <c r="E668" s="188" t="s">
        <v>1007</v>
      </c>
      <c r="F668" s="188">
        <v>440</v>
      </c>
      <c r="G668" s="188" t="s">
        <v>131</v>
      </c>
      <c r="H668" s="188"/>
      <c r="I668" s="51">
        <v>0</v>
      </c>
      <c r="J668" s="51">
        <v>0</v>
      </c>
      <c r="K668" s="51">
        <f t="shared" si="137"/>
        <v>0</v>
      </c>
      <c r="L668" s="51">
        <v>0</v>
      </c>
      <c r="M668" s="51">
        <v>0</v>
      </c>
      <c r="N668" s="51">
        <f t="shared" si="136"/>
        <v>0</v>
      </c>
      <c r="O668" s="51"/>
      <c r="P668" s="179" t="s">
        <v>1615</v>
      </c>
      <c r="Q668" s="179" t="s">
        <v>1397</v>
      </c>
      <c r="R668" s="179" t="s">
        <v>2131</v>
      </c>
      <c r="S668" s="47" t="s">
        <v>2041</v>
      </c>
      <c r="T668" s="54"/>
      <c r="U668" s="54"/>
      <c r="AA668">
        <f t="shared" si="127"/>
        <v>440</v>
      </c>
      <c r="AD668" t="str">
        <f t="shared" si="128"/>
        <v>314</v>
      </c>
      <c r="AE668">
        <f t="shared" si="129"/>
        <v>0</v>
      </c>
      <c r="AG668" s="50" t="str">
        <f t="shared" si="130"/>
        <v>PARCS  CIMETIERE  ENTRETIEN</v>
      </c>
      <c r="AH668" s="244" t="str">
        <f t="shared" si="131"/>
        <v>75000</v>
      </c>
      <c r="AI668" s="219"/>
      <c r="AJ668" s="219"/>
      <c r="AK668" s="219" t="str">
        <f t="shared" si="132"/>
        <v>3132</v>
      </c>
      <c r="AL668" s="244" t="str">
        <f t="shared" si="133"/>
        <v>00</v>
      </c>
      <c r="AN668" s="219" t="str">
        <f t="shared" si="134"/>
        <v>Honoraires conseils externes, spécialistes (frelon, scarabée, moustique …)</v>
      </c>
    </row>
    <row r="669" spans="1:40" ht="15" customHeight="1" x14ac:dyDescent="0.3">
      <c r="A669" s="48">
        <v>0</v>
      </c>
      <c r="B669" s="49" t="s">
        <v>1024</v>
      </c>
      <c r="C669" s="50" t="s">
        <v>1025</v>
      </c>
      <c r="D669" s="46" t="s">
        <v>1462</v>
      </c>
      <c r="E669" s="46" t="s">
        <v>1007</v>
      </c>
      <c r="F669" s="188">
        <v>440</v>
      </c>
      <c r="G669" s="46" t="s">
        <v>164</v>
      </c>
      <c r="H669" s="46"/>
      <c r="I669" s="51">
        <v>0</v>
      </c>
      <c r="J669" s="51">
        <v>0</v>
      </c>
      <c r="K669" s="51">
        <f t="shared" si="137"/>
        <v>0</v>
      </c>
      <c r="L669" s="51">
        <v>0</v>
      </c>
      <c r="M669" s="51">
        <v>0</v>
      </c>
      <c r="N669" s="51">
        <f t="shared" si="136"/>
        <v>0</v>
      </c>
      <c r="O669" s="51">
        <v>0</v>
      </c>
      <c r="P669" s="179" t="s">
        <v>1489</v>
      </c>
      <c r="Q669" s="179" t="s">
        <v>1489</v>
      </c>
      <c r="R669" s="179" t="s">
        <v>1489</v>
      </c>
      <c r="S669" s="47" t="s">
        <v>1489</v>
      </c>
      <c r="T669" s="54"/>
      <c r="U669" s="54"/>
      <c r="AA669">
        <f t="shared" si="127"/>
        <v>440</v>
      </c>
      <c r="AD669" t="str">
        <f t="shared" si="128"/>
        <v>331</v>
      </c>
      <c r="AE669">
        <f t="shared" si="129"/>
        <v>0</v>
      </c>
      <c r="AG669" s="50" t="str">
        <f t="shared" si="130"/>
        <v>PARCS  CIMETIERE  AMORTISSEMENT P ADM</v>
      </c>
      <c r="AH669" s="244" t="str">
        <f t="shared" si="131"/>
        <v>-</v>
      </c>
      <c r="AI669" s="219"/>
      <c r="AJ669" s="219"/>
      <c r="AK669" s="219" t="str">
        <f t="shared" si="132"/>
        <v>-</v>
      </c>
      <c r="AL669" s="244" t="str">
        <f t="shared" si="133"/>
        <v>-</v>
      </c>
      <c r="AN669" s="219" t="str">
        <f t="shared" si="134"/>
        <v>-</v>
      </c>
    </row>
    <row r="670" spans="1:40" ht="15" customHeight="1" x14ac:dyDescent="0.3">
      <c r="A670" s="48">
        <v>0</v>
      </c>
      <c r="B670" s="49" t="s">
        <v>1026</v>
      </c>
      <c r="C670" s="50" t="s">
        <v>1027</v>
      </c>
      <c r="D670" s="46" t="s">
        <v>1462</v>
      </c>
      <c r="E670" s="46" t="s">
        <v>1007</v>
      </c>
      <c r="F670" s="188">
        <v>440</v>
      </c>
      <c r="G670" s="46" t="s">
        <v>96</v>
      </c>
      <c r="H670" s="46"/>
      <c r="I670" s="51">
        <v>0</v>
      </c>
      <c r="J670" s="51">
        <v>0</v>
      </c>
      <c r="K670" s="51">
        <f t="shared" si="137"/>
        <v>0</v>
      </c>
      <c r="L670" s="51">
        <v>0</v>
      </c>
      <c r="M670" s="51">
        <v>0</v>
      </c>
      <c r="N670" s="51">
        <f t="shared" si="136"/>
        <v>0</v>
      </c>
      <c r="O670" s="51">
        <v>0</v>
      </c>
      <c r="P670" s="179" t="s">
        <v>1489</v>
      </c>
      <c r="Q670" s="179" t="s">
        <v>1489</v>
      </c>
      <c r="R670" s="179" t="s">
        <v>1489</v>
      </c>
      <c r="S670" s="47" t="s">
        <v>1489</v>
      </c>
      <c r="T670" s="54"/>
      <c r="U670" s="54"/>
      <c r="AA670">
        <f t="shared" si="127"/>
        <v>440</v>
      </c>
      <c r="AD670" t="str">
        <f t="shared" si="128"/>
        <v>332</v>
      </c>
      <c r="AE670">
        <f t="shared" si="129"/>
        <v>0</v>
      </c>
      <c r="AG670" s="50" t="str">
        <f t="shared" si="130"/>
        <v>PARCS  CIMETIERE  AMORT SUPPL P ADM</v>
      </c>
      <c r="AH670" s="244" t="str">
        <f t="shared" si="131"/>
        <v>-</v>
      </c>
      <c r="AI670" s="219"/>
      <c r="AJ670" s="219"/>
      <c r="AK670" s="219" t="str">
        <f t="shared" si="132"/>
        <v>-</v>
      </c>
      <c r="AL670" s="244" t="str">
        <f t="shared" si="133"/>
        <v>-</v>
      </c>
      <c r="AN670" s="219" t="str">
        <f t="shared" si="134"/>
        <v>-</v>
      </c>
    </row>
    <row r="671" spans="1:40" ht="15" customHeight="1" x14ac:dyDescent="0.3">
      <c r="A671" s="48">
        <v>0</v>
      </c>
      <c r="B671" s="49" t="s">
        <v>1028</v>
      </c>
      <c r="C671" s="50" t="s">
        <v>1029</v>
      </c>
      <c r="D671" s="46" t="s">
        <v>1462</v>
      </c>
      <c r="E671" s="46" t="s">
        <v>1007</v>
      </c>
      <c r="F671" s="188">
        <v>440</v>
      </c>
      <c r="G671" s="46" t="s">
        <v>5</v>
      </c>
      <c r="H671" s="46"/>
      <c r="I671" s="51">
        <v>3731.15</v>
      </c>
      <c r="J671" s="51">
        <v>0</v>
      </c>
      <c r="K671" s="51">
        <f t="shared" si="137"/>
        <v>3731.15</v>
      </c>
      <c r="L671" s="51">
        <v>4000</v>
      </c>
      <c r="M671" s="51">
        <v>0</v>
      </c>
      <c r="N671" s="51">
        <f t="shared" si="136"/>
        <v>4000</v>
      </c>
      <c r="O671" s="51">
        <v>0</v>
      </c>
      <c r="P671" s="179" t="s">
        <v>1612</v>
      </c>
      <c r="Q671" s="179" t="s">
        <v>1398</v>
      </c>
      <c r="R671" s="179" t="s">
        <v>2131</v>
      </c>
      <c r="S671" s="47" t="s">
        <v>2047</v>
      </c>
      <c r="T671" s="54">
        <f>+I671</f>
        <v>3731.15</v>
      </c>
      <c r="U671" s="54"/>
      <c r="W671" t="s">
        <v>1616</v>
      </c>
      <c r="AA671">
        <f t="shared" si="127"/>
        <v>440</v>
      </c>
      <c r="AD671" t="str">
        <f t="shared" si="128"/>
        <v>352</v>
      </c>
      <c r="AE671">
        <f t="shared" si="129"/>
        <v>0</v>
      </c>
      <c r="AG671" s="50" t="str">
        <f t="shared" si="130"/>
        <v>PARCS  CIMETIERE  CENTRE FUNERAIRE</v>
      </c>
      <c r="AH671" s="244" t="str">
        <f t="shared" si="131"/>
        <v>77100</v>
      </c>
      <c r="AI671" s="219"/>
      <c r="AJ671" s="219"/>
      <c r="AK671" s="219" t="str">
        <f t="shared" si="132"/>
        <v>3612</v>
      </c>
      <c r="AL671" s="244" t="str">
        <f t="shared" si="133"/>
        <v>00</v>
      </c>
      <c r="AN671" s="219" t="str">
        <f t="shared" si="134"/>
        <v>Parts aux communes et assoc intercomm - Ville de Nyon - centre funéraire</v>
      </c>
    </row>
    <row r="672" spans="1:40" ht="15" customHeight="1" x14ac:dyDescent="0.3">
      <c r="A672" s="48">
        <v>0</v>
      </c>
      <c r="B672" s="49" t="s">
        <v>1030</v>
      </c>
      <c r="C672" s="50" t="s">
        <v>1031</v>
      </c>
      <c r="D672" s="46" t="s">
        <v>1462</v>
      </c>
      <c r="E672" s="46" t="s">
        <v>1007</v>
      </c>
      <c r="F672" s="188">
        <v>440</v>
      </c>
      <c r="G672" s="46" t="s">
        <v>28</v>
      </c>
      <c r="H672" s="46">
        <v>1</v>
      </c>
      <c r="I672" s="51">
        <v>0</v>
      </c>
      <c r="J672" s="51">
        <v>0</v>
      </c>
      <c r="K672" s="51">
        <f t="shared" si="137"/>
        <v>0</v>
      </c>
      <c r="L672" s="51">
        <v>0</v>
      </c>
      <c r="M672" s="51">
        <v>0</v>
      </c>
      <c r="N672" s="51">
        <f t="shared" si="136"/>
        <v>0</v>
      </c>
      <c r="O672" s="51">
        <v>0</v>
      </c>
      <c r="P672" s="179" t="s">
        <v>1489</v>
      </c>
      <c r="Q672" s="179" t="s">
        <v>1489</v>
      </c>
      <c r="R672" s="179" t="s">
        <v>1489</v>
      </c>
      <c r="S672" s="47" t="s">
        <v>1489</v>
      </c>
      <c r="T672" s="54"/>
      <c r="U672" s="54"/>
      <c r="AA672">
        <f t="shared" si="127"/>
        <v>440</v>
      </c>
      <c r="AD672" t="str">
        <f t="shared" si="128"/>
        <v>390</v>
      </c>
      <c r="AE672">
        <f t="shared" si="129"/>
        <v>1</v>
      </c>
      <c r="AG672" s="50" t="str">
        <f t="shared" si="130"/>
        <v>PARCS  CIMETIERE  IMPUTATIONS INT SALAIRES</v>
      </c>
      <c r="AH672" s="244" t="str">
        <f t="shared" si="131"/>
        <v>-</v>
      </c>
      <c r="AI672" s="219"/>
      <c r="AJ672" s="219"/>
      <c r="AK672" s="219" t="str">
        <f t="shared" si="132"/>
        <v>-</v>
      </c>
      <c r="AL672" s="244" t="str">
        <f t="shared" si="133"/>
        <v>-</v>
      </c>
      <c r="AN672" s="219" t="str">
        <f t="shared" si="134"/>
        <v>-</v>
      </c>
    </row>
    <row r="673" spans="1:40" ht="15" customHeight="1" x14ac:dyDescent="0.3">
      <c r="A673" s="48">
        <v>0</v>
      </c>
      <c r="B673" s="49" t="s">
        <v>1032</v>
      </c>
      <c r="C673" s="50" t="s">
        <v>1033</v>
      </c>
      <c r="D673" s="46" t="s">
        <v>1462</v>
      </c>
      <c r="E673" s="46" t="s">
        <v>1007</v>
      </c>
      <c r="F673" s="188">
        <v>440</v>
      </c>
      <c r="G673" s="46" t="s">
        <v>61</v>
      </c>
      <c r="H673" s="46"/>
      <c r="I673" s="51">
        <v>0</v>
      </c>
      <c r="J673" s="51">
        <v>0</v>
      </c>
      <c r="K673" s="51">
        <f t="shared" si="137"/>
        <v>0</v>
      </c>
      <c r="L673" s="51">
        <v>0</v>
      </c>
      <c r="M673" s="51">
        <v>0</v>
      </c>
      <c r="N673" s="51">
        <f t="shared" si="136"/>
        <v>0</v>
      </c>
      <c r="O673" s="51">
        <v>0</v>
      </c>
      <c r="P673" s="179" t="s">
        <v>1489</v>
      </c>
      <c r="Q673" s="179" t="s">
        <v>1489</v>
      </c>
      <c r="R673" s="179" t="s">
        <v>1489</v>
      </c>
      <c r="S673" s="47" t="s">
        <v>1489</v>
      </c>
      <c r="T673" s="54"/>
      <c r="U673" s="54"/>
      <c r="AA673">
        <f t="shared" si="127"/>
        <v>440</v>
      </c>
      <c r="AD673" t="str">
        <f t="shared" si="128"/>
        <v>436</v>
      </c>
      <c r="AE673">
        <f t="shared" si="129"/>
        <v>0</v>
      </c>
      <c r="AG673" s="50" t="str">
        <f t="shared" si="130"/>
        <v>PARCS  CIMETIERE  PART TIERS</v>
      </c>
      <c r="AH673" s="244" t="str">
        <f t="shared" si="131"/>
        <v>-</v>
      </c>
      <c r="AI673" s="219"/>
      <c r="AJ673" s="219"/>
      <c r="AK673" s="219" t="str">
        <f t="shared" si="132"/>
        <v>-</v>
      </c>
      <c r="AL673" s="244" t="str">
        <f t="shared" si="133"/>
        <v>-</v>
      </c>
      <c r="AN673" s="219" t="str">
        <f t="shared" si="134"/>
        <v>-</v>
      </c>
    </row>
    <row r="674" spans="1:40" ht="15" customHeight="1" x14ac:dyDescent="0.3">
      <c r="A674" s="48">
        <v>0</v>
      </c>
      <c r="B674" s="49" t="s">
        <v>1034</v>
      </c>
      <c r="C674" s="50" t="s">
        <v>1035</v>
      </c>
      <c r="D674" s="46" t="s">
        <v>1462</v>
      </c>
      <c r="E674" s="46" t="s">
        <v>1007</v>
      </c>
      <c r="F674" s="188">
        <v>440</v>
      </c>
      <c r="G674" s="46" t="s">
        <v>175</v>
      </c>
      <c r="H674" s="46"/>
      <c r="I674" s="51">
        <v>0</v>
      </c>
      <c r="J674" s="51">
        <v>0</v>
      </c>
      <c r="K674" s="51">
        <f t="shared" si="137"/>
        <v>0</v>
      </c>
      <c r="L674" s="51">
        <v>0</v>
      </c>
      <c r="M674" s="51">
        <v>0</v>
      </c>
      <c r="N674" s="51">
        <f t="shared" si="136"/>
        <v>0</v>
      </c>
      <c r="O674" s="51">
        <v>-4855</v>
      </c>
      <c r="P674" s="179" t="s">
        <v>1612</v>
      </c>
      <c r="Q674" s="179" t="s">
        <v>1817</v>
      </c>
      <c r="R674" s="179" t="s">
        <v>2131</v>
      </c>
      <c r="S674" s="47" t="s">
        <v>1818</v>
      </c>
      <c r="T674" s="54"/>
      <c r="U674" s="54"/>
      <c r="AA674">
        <f t="shared" si="127"/>
        <v>440</v>
      </c>
      <c r="AD674" t="str">
        <f t="shared" si="128"/>
        <v>451</v>
      </c>
      <c r="AE674">
        <f t="shared" si="129"/>
        <v>0</v>
      </c>
      <c r="AG674" s="50" t="str">
        <f t="shared" si="130"/>
        <v>PARCS CIMETIERE, Subventions cantonales</v>
      </c>
      <c r="AH674" s="244" t="str">
        <f t="shared" si="131"/>
        <v>77100</v>
      </c>
      <c r="AI674" s="219"/>
      <c r="AJ674" s="219"/>
      <c r="AK674" s="219" t="str">
        <f t="shared" si="132"/>
        <v>4631</v>
      </c>
      <c r="AL674" s="244" t="str">
        <f t="shared" si="133"/>
        <v>00</v>
      </c>
      <c r="AN674" s="219" t="str">
        <f t="shared" si="134"/>
        <v>Subvention des cantons et concordats</v>
      </c>
    </row>
    <row r="675" spans="1:40" ht="15" customHeight="1" x14ac:dyDescent="0.3">
      <c r="A675" s="48">
        <v>0</v>
      </c>
      <c r="B675" s="49" t="s">
        <v>1036</v>
      </c>
      <c r="C675" s="50" t="s">
        <v>1037</v>
      </c>
      <c r="D675" s="46" t="s">
        <v>1462</v>
      </c>
      <c r="E675" s="46" t="s">
        <v>1007</v>
      </c>
      <c r="F675" s="188">
        <v>440</v>
      </c>
      <c r="G675" s="46" t="s">
        <v>351</v>
      </c>
      <c r="H675" s="46"/>
      <c r="I675" s="51">
        <v>0</v>
      </c>
      <c r="J675" s="51">
        <v>-800</v>
      </c>
      <c r="K675" s="51">
        <f t="shared" si="137"/>
        <v>-800</v>
      </c>
      <c r="L675" s="51">
        <v>0</v>
      </c>
      <c r="M675" s="51">
        <v>0</v>
      </c>
      <c r="N675" s="51">
        <f t="shared" si="136"/>
        <v>0</v>
      </c>
      <c r="O675" s="51">
        <v>-1600</v>
      </c>
      <c r="P675" s="179" t="s">
        <v>1612</v>
      </c>
      <c r="Q675" s="179" t="s">
        <v>1618</v>
      </c>
      <c r="R675" s="179" t="s">
        <v>2131</v>
      </c>
      <c r="S675" s="47" t="s">
        <v>2012</v>
      </c>
      <c r="T675" s="54">
        <f>+J675</f>
        <v>-800</v>
      </c>
      <c r="U675" s="54"/>
      <c r="W675" t="s">
        <v>1617</v>
      </c>
      <c r="AA675">
        <f t="shared" si="127"/>
        <v>440</v>
      </c>
      <c r="AD675" t="str">
        <f t="shared" si="128"/>
        <v>465</v>
      </c>
      <c r="AE675">
        <f t="shared" si="129"/>
        <v>0</v>
      </c>
      <c r="AG675" s="50" t="str">
        <f t="shared" si="130"/>
        <v>PARCS  CIMETIERE  CONCESSIONS, Jardin souvenir</v>
      </c>
      <c r="AH675" s="244" t="str">
        <f t="shared" si="131"/>
        <v>77100</v>
      </c>
      <c r="AI675" s="219"/>
      <c r="AJ675" s="219"/>
      <c r="AK675" s="219" t="str">
        <f t="shared" si="132"/>
        <v>4120</v>
      </c>
      <c r="AL675" s="244" t="str">
        <f t="shared" si="133"/>
        <v>00</v>
      </c>
      <c r="AN675" s="219" t="str">
        <f t="shared" si="134"/>
        <v>Concessions - Jardin du souvenir</v>
      </c>
    </row>
    <row r="676" spans="1:40" ht="15" customHeight="1" x14ac:dyDescent="0.3">
      <c r="A676" s="48">
        <v>0</v>
      </c>
      <c r="B676" s="49" t="s">
        <v>1038</v>
      </c>
      <c r="C676" s="50" t="s">
        <v>1039</v>
      </c>
      <c r="D676" s="46" t="s">
        <v>1462</v>
      </c>
      <c r="E676" s="46" t="s">
        <v>1007</v>
      </c>
      <c r="F676" s="188">
        <v>440</v>
      </c>
      <c r="G676" s="46" t="s">
        <v>64</v>
      </c>
      <c r="H676" s="46"/>
      <c r="I676" s="51">
        <v>0</v>
      </c>
      <c r="J676" s="51">
        <v>0</v>
      </c>
      <c r="K676" s="51">
        <f t="shared" si="137"/>
        <v>0</v>
      </c>
      <c r="L676" s="51">
        <v>0</v>
      </c>
      <c r="M676" s="51">
        <v>0</v>
      </c>
      <c r="N676" s="51">
        <f t="shared" si="136"/>
        <v>0</v>
      </c>
      <c r="O676" s="51">
        <v>0</v>
      </c>
      <c r="P676" s="179" t="s">
        <v>1489</v>
      </c>
      <c r="Q676" s="179" t="s">
        <v>1489</v>
      </c>
      <c r="R676" s="179" t="s">
        <v>1489</v>
      </c>
      <c r="S676" s="47" t="s">
        <v>1489</v>
      </c>
      <c r="T676" s="54"/>
      <c r="U676" s="54"/>
      <c r="AA676">
        <f t="shared" si="127"/>
        <v>440</v>
      </c>
      <c r="AD676" t="str">
        <f t="shared" si="128"/>
        <v>480</v>
      </c>
      <c r="AE676">
        <f t="shared" si="129"/>
        <v>0</v>
      </c>
      <c r="AG676" s="50" t="str">
        <f t="shared" si="130"/>
        <v>PARCS  CIMETIERE  PRELEVEMENT RESERVE</v>
      </c>
      <c r="AH676" s="244" t="str">
        <f t="shared" si="131"/>
        <v>-</v>
      </c>
      <c r="AI676" s="219"/>
      <c r="AJ676" s="219"/>
      <c r="AK676" s="219" t="str">
        <f t="shared" si="132"/>
        <v>-</v>
      </c>
      <c r="AL676" s="244" t="str">
        <f t="shared" si="133"/>
        <v>-</v>
      </c>
      <c r="AN676" s="219" t="str">
        <f t="shared" si="134"/>
        <v>-</v>
      </c>
    </row>
    <row r="677" spans="1:40" ht="15" customHeight="1" x14ac:dyDescent="0.3">
      <c r="A677" s="48">
        <v>0</v>
      </c>
      <c r="B677" s="49" t="s">
        <v>1041</v>
      </c>
      <c r="C677" s="50" t="s">
        <v>1042</v>
      </c>
      <c r="D677" s="46" t="s">
        <v>1462</v>
      </c>
      <c r="E677" s="46" t="s">
        <v>1040</v>
      </c>
      <c r="F677" s="46">
        <v>450</v>
      </c>
      <c r="G677" s="46" t="s">
        <v>48</v>
      </c>
      <c r="H677" s="46">
        <v>1</v>
      </c>
      <c r="I677" s="51">
        <v>0</v>
      </c>
      <c r="J677" s="51">
        <v>0</v>
      </c>
      <c r="K677" s="51">
        <f t="shared" si="137"/>
        <v>0</v>
      </c>
      <c r="L677" s="51">
        <v>0</v>
      </c>
      <c r="M677" s="51">
        <v>0</v>
      </c>
      <c r="N677" s="51">
        <f t="shared" si="136"/>
        <v>0</v>
      </c>
      <c r="O677" s="51">
        <v>0</v>
      </c>
      <c r="P677" s="179" t="s">
        <v>1489</v>
      </c>
      <c r="Q677" s="179" t="s">
        <v>1489</v>
      </c>
      <c r="R677" s="179" t="s">
        <v>1489</v>
      </c>
      <c r="S677" s="47" t="s">
        <v>1489</v>
      </c>
      <c r="T677" s="54"/>
      <c r="U677" s="54"/>
      <c r="AA677">
        <f t="shared" si="127"/>
        <v>450</v>
      </c>
      <c r="AD677" t="str">
        <f t="shared" si="128"/>
        <v>318</v>
      </c>
      <c r="AE677">
        <f t="shared" si="129"/>
        <v>1</v>
      </c>
      <c r="AG677" s="50" t="str">
        <f t="shared" si="130"/>
        <v>ORDURES  INFORMATION et ACTIONS SPECIFIQUES (inactif)</v>
      </c>
      <c r="AH677" s="244" t="str">
        <f t="shared" si="131"/>
        <v>-</v>
      </c>
      <c r="AI677" s="219"/>
      <c r="AJ677" s="219"/>
      <c r="AK677" s="219" t="str">
        <f t="shared" si="132"/>
        <v>-</v>
      </c>
      <c r="AL677" s="244" t="str">
        <f t="shared" si="133"/>
        <v>-</v>
      </c>
      <c r="AN677" s="219" t="str">
        <f t="shared" si="134"/>
        <v>-</v>
      </c>
    </row>
    <row r="678" spans="1:40" ht="15" customHeight="1" x14ac:dyDescent="0.3">
      <c r="A678" s="48">
        <v>0</v>
      </c>
      <c r="B678" s="49" t="s">
        <v>1043</v>
      </c>
      <c r="C678" s="78" t="s">
        <v>1044</v>
      </c>
      <c r="D678" s="182" t="s">
        <v>1462</v>
      </c>
      <c r="E678" s="182" t="s">
        <v>1040</v>
      </c>
      <c r="F678" s="182">
        <v>450</v>
      </c>
      <c r="G678" s="182" t="s">
        <v>48</v>
      </c>
      <c r="H678" s="182">
        <v>2</v>
      </c>
      <c r="I678" s="65">
        <v>27842.959999999999</v>
      </c>
      <c r="J678" s="51">
        <v>0</v>
      </c>
      <c r="K678" s="51">
        <f t="shared" si="137"/>
        <v>27842.959999999999</v>
      </c>
      <c r="L678" s="51">
        <v>100000</v>
      </c>
      <c r="M678" s="51">
        <v>0</v>
      </c>
      <c r="N678" s="51">
        <v>100000</v>
      </c>
      <c r="O678" s="51">
        <v>7738.21</v>
      </c>
      <c r="P678" s="179" t="s">
        <v>1619</v>
      </c>
      <c r="Q678" s="179">
        <v>3130</v>
      </c>
      <c r="R678" s="179" t="s">
        <v>7</v>
      </c>
      <c r="S678" s="57" t="s">
        <v>1621</v>
      </c>
      <c r="T678" s="53">
        <v>13921</v>
      </c>
      <c r="U678" s="54"/>
      <c r="AA678">
        <f t="shared" si="127"/>
        <v>450</v>
      </c>
      <c r="AD678" t="str">
        <f t="shared" si="128"/>
        <v>318</v>
      </c>
      <c r="AE678">
        <f t="shared" si="129"/>
        <v>2</v>
      </c>
      <c r="AG678" s="50" t="str">
        <f t="shared" si="130"/>
        <v>ORDURES Déchets Incinérables ménager (sacs taxés)</v>
      </c>
      <c r="AH678" s="244" t="str">
        <f t="shared" si="131"/>
        <v>73000</v>
      </c>
      <c r="AI678" s="219"/>
      <c r="AJ678" s="219"/>
      <c r="AK678" s="219">
        <f t="shared" si="132"/>
        <v>3130</v>
      </c>
      <c r="AL678" s="244" t="str">
        <f t="shared" si="133"/>
        <v>10</v>
      </c>
      <c r="AN678" s="219" t="str">
        <f t="shared" si="134"/>
        <v>Transport</v>
      </c>
    </row>
    <row r="679" spans="1:40" ht="15" customHeight="1" x14ac:dyDescent="0.3">
      <c r="A679" s="48"/>
      <c r="B679" s="49" t="s">
        <v>1043</v>
      </c>
      <c r="C679" s="78" t="s">
        <v>1044</v>
      </c>
      <c r="D679" s="182" t="s">
        <v>1462</v>
      </c>
      <c r="E679" s="182" t="s">
        <v>1040</v>
      </c>
      <c r="F679" s="182">
        <v>450</v>
      </c>
      <c r="G679" s="182" t="s">
        <v>48</v>
      </c>
      <c r="H679" s="182">
        <v>2</v>
      </c>
      <c r="I679" s="51">
        <v>0</v>
      </c>
      <c r="J679" s="51">
        <v>0</v>
      </c>
      <c r="K679" s="51">
        <f t="shared" si="137"/>
        <v>0</v>
      </c>
      <c r="L679" s="51">
        <v>0</v>
      </c>
      <c r="M679" s="51">
        <v>0</v>
      </c>
      <c r="N679" s="51"/>
      <c r="O679" s="51"/>
      <c r="P679" s="179" t="s">
        <v>1619</v>
      </c>
      <c r="Q679" s="179">
        <v>3130</v>
      </c>
      <c r="R679" s="179" t="s">
        <v>204</v>
      </c>
      <c r="S679" s="55" t="s">
        <v>1623</v>
      </c>
      <c r="T679" s="53">
        <f>+T678</f>
        <v>13921</v>
      </c>
      <c r="U679" s="54"/>
      <c r="W679" t="s">
        <v>1657</v>
      </c>
      <c r="AA679">
        <f t="shared" si="127"/>
        <v>450</v>
      </c>
      <c r="AD679" t="str">
        <f t="shared" si="128"/>
        <v>318</v>
      </c>
      <c r="AE679">
        <f t="shared" si="129"/>
        <v>2</v>
      </c>
      <c r="AG679" s="50" t="str">
        <f t="shared" si="130"/>
        <v>ORDURES Déchets Incinérables ménager (sacs taxés)</v>
      </c>
      <c r="AH679" s="244" t="str">
        <f t="shared" si="131"/>
        <v>73000</v>
      </c>
      <c r="AI679" s="219"/>
      <c r="AJ679" s="219"/>
      <c r="AK679" s="219">
        <f t="shared" si="132"/>
        <v>3130</v>
      </c>
      <c r="AL679" s="244" t="str">
        <f t="shared" si="133"/>
        <v>20</v>
      </c>
      <c r="AN679" s="219" t="str">
        <f t="shared" si="134"/>
        <v>Incinération</v>
      </c>
    </row>
    <row r="680" spans="1:40" ht="15" customHeight="1" x14ac:dyDescent="0.3">
      <c r="A680" s="48"/>
      <c r="B680" s="49" t="s">
        <v>1043</v>
      </c>
      <c r="C680" s="78" t="s">
        <v>1044</v>
      </c>
      <c r="D680" s="182" t="s">
        <v>1462</v>
      </c>
      <c r="E680" s="182" t="s">
        <v>1040</v>
      </c>
      <c r="F680" s="182">
        <v>450</v>
      </c>
      <c r="G680" s="182" t="s">
        <v>48</v>
      </c>
      <c r="H680" s="182">
        <v>2</v>
      </c>
      <c r="I680" s="51">
        <v>0</v>
      </c>
      <c r="J680" s="51">
        <v>0</v>
      </c>
      <c r="K680" s="51">
        <f t="shared" si="137"/>
        <v>0</v>
      </c>
      <c r="L680" s="51">
        <v>0</v>
      </c>
      <c r="M680" s="51">
        <v>0</v>
      </c>
      <c r="N680" s="51">
        <f>+L680+M680</f>
        <v>0</v>
      </c>
      <c r="O680" s="51"/>
      <c r="P680" s="179" t="s">
        <v>1619</v>
      </c>
      <c r="Q680" s="179" t="s">
        <v>1398</v>
      </c>
      <c r="R680" s="179" t="s">
        <v>2131</v>
      </c>
      <c r="S680" s="47" t="s">
        <v>2048</v>
      </c>
      <c r="T680" s="69"/>
      <c r="U680" s="54"/>
      <c r="W680" s="34" t="s">
        <v>1672</v>
      </c>
      <c r="AA680">
        <f t="shared" si="127"/>
        <v>450</v>
      </c>
      <c r="AD680" t="str">
        <f t="shared" si="128"/>
        <v>318</v>
      </c>
      <c r="AE680">
        <f t="shared" si="129"/>
        <v>2</v>
      </c>
      <c r="AG680" s="50" t="str">
        <f t="shared" si="130"/>
        <v>ORDURES Déchets Incinérables ménager (sacs taxés)</v>
      </c>
      <c r="AH680" s="244" t="str">
        <f t="shared" si="131"/>
        <v>73000</v>
      </c>
      <c r="AI680" s="219"/>
      <c r="AJ680" s="219"/>
      <c r="AK680" s="219" t="str">
        <f t="shared" si="132"/>
        <v>3612</v>
      </c>
      <c r="AL680" s="244" t="str">
        <f t="shared" si="133"/>
        <v>00</v>
      </c>
      <c r="AN680" s="219" t="str">
        <f t="shared" si="134"/>
        <v>Parts aux communes et assoc intercomm - Huiles (Prangins)</v>
      </c>
    </row>
    <row r="681" spans="1:40" ht="15" customHeight="1" x14ac:dyDescent="0.3">
      <c r="A681" s="48">
        <v>0</v>
      </c>
      <c r="B681" s="49" t="s">
        <v>1116</v>
      </c>
      <c r="C681" s="50" t="s">
        <v>1117</v>
      </c>
      <c r="D681" s="46" t="s">
        <v>1462</v>
      </c>
      <c r="E681" s="46" t="s">
        <v>345</v>
      </c>
      <c r="F681" s="46">
        <v>452</v>
      </c>
      <c r="G681" s="46" t="s">
        <v>48</v>
      </c>
      <c r="H681" s="46"/>
      <c r="I681" s="65">
        <v>4678.95</v>
      </c>
      <c r="J681" s="51">
        <v>0</v>
      </c>
      <c r="K681" s="51">
        <f t="shared" si="137"/>
        <v>4678.95</v>
      </c>
      <c r="L681" s="51">
        <v>500</v>
      </c>
      <c r="M681" s="51">
        <v>0</v>
      </c>
      <c r="N681" s="51">
        <f>+L681+M681</f>
        <v>500</v>
      </c>
      <c r="O681" s="51">
        <v>1172.81</v>
      </c>
      <c r="P681" s="179" t="s">
        <v>1619</v>
      </c>
      <c r="Q681" s="179">
        <v>3130</v>
      </c>
      <c r="R681" s="179" t="s">
        <v>7</v>
      </c>
      <c r="S681" s="55" t="s">
        <v>1621</v>
      </c>
      <c r="T681" s="53">
        <f>+I681/2</f>
        <v>2339.4749999999999</v>
      </c>
      <c r="U681" s="54"/>
      <c r="AA681">
        <f t="shared" si="127"/>
        <v>452</v>
      </c>
      <c r="AD681" t="str">
        <f t="shared" si="128"/>
        <v>318</v>
      </c>
      <c r="AE681">
        <f t="shared" si="129"/>
        <v>0</v>
      </c>
      <c r="AG681" s="50" t="str">
        <f t="shared" si="130"/>
        <v>ORDURES Déchets communaux  (sacs non-taxés, cimetiere,)</v>
      </c>
      <c r="AH681" s="244" t="str">
        <f t="shared" si="131"/>
        <v>73000</v>
      </c>
      <c r="AI681" s="219"/>
      <c r="AJ681" s="219"/>
      <c r="AK681" s="219">
        <f t="shared" si="132"/>
        <v>3130</v>
      </c>
      <c r="AL681" s="244" t="str">
        <f t="shared" si="133"/>
        <v>10</v>
      </c>
      <c r="AN681" s="219" t="str">
        <f t="shared" si="134"/>
        <v>Transport</v>
      </c>
    </row>
    <row r="682" spans="1:40" ht="15" customHeight="1" x14ac:dyDescent="0.3">
      <c r="A682" s="48"/>
      <c r="B682" s="49" t="s">
        <v>1116</v>
      </c>
      <c r="C682" s="84" t="s">
        <v>1117</v>
      </c>
      <c r="D682" s="189" t="s">
        <v>1462</v>
      </c>
      <c r="E682" s="189" t="s">
        <v>345</v>
      </c>
      <c r="F682" s="189">
        <v>452</v>
      </c>
      <c r="G682" s="189" t="s">
        <v>48</v>
      </c>
      <c r="H682" s="189"/>
      <c r="I682" s="51"/>
      <c r="J682" s="51"/>
      <c r="K682" s="51"/>
      <c r="L682" s="51"/>
      <c r="M682" s="51"/>
      <c r="N682" s="51"/>
      <c r="O682" s="51"/>
      <c r="P682" s="179" t="s">
        <v>1619</v>
      </c>
      <c r="Q682" s="179">
        <v>3130</v>
      </c>
      <c r="R682" s="179" t="s">
        <v>204</v>
      </c>
      <c r="S682" s="55" t="s">
        <v>1623</v>
      </c>
      <c r="T682" s="53">
        <f>+T681</f>
        <v>2339.4749999999999</v>
      </c>
      <c r="U682" s="54"/>
      <c r="AA682">
        <f t="shared" si="127"/>
        <v>452</v>
      </c>
      <c r="AD682" t="str">
        <f t="shared" si="128"/>
        <v>318</v>
      </c>
      <c r="AE682">
        <f t="shared" si="129"/>
        <v>0</v>
      </c>
      <c r="AG682" s="50" t="str">
        <f t="shared" si="130"/>
        <v>ORDURES Déchets communaux  (sacs non-taxés, cimetiere,)</v>
      </c>
      <c r="AH682" s="244" t="str">
        <f t="shared" si="131"/>
        <v>73000</v>
      </c>
      <c r="AI682" s="219"/>
      <c r="AJ682" s="219"/>
      <c r="AK682" s="219">
        <f t="shared" si="132"/>
        <v>3130</v>
      </c>
      <c r="AL682" s="244" t="str">
        <f t="shared" si="133"/>
        <v>20</v>
      </c>
      <c r="AN682" s="219" t="str">
        <f t="shared" si="134"/>
        <v>Incinération</v>
      </c>
    </row>
    <row r="683" spans="1:40" ht="15" customHeight="1" x14ac:dyDescent="0.3">
      <c r="A683" s="48"/>
      <c r="B683" s="49" t="s">
        <v>1116</v>
      </c>
      <c r="C683" s="84" t="s">
        <v>1117</v>
      </c>
      <c r="D683" s="189" t="s">
        <v>1462</v>
      </c>
      <c r="E683" s="189" t="s">
        <v>345</v>
      </c>
      <c r="F683" s="189">
        <v>452</v>
      </c>
      <c r="G683" s="189" t="s">
        <v>48</v>
      </c>
      <c r="H683" s="189"/>
      <c r="I683" s="51"/>
      <c r="J683" s="51"/>
      <c r="K683" s="51"/>
      <c r="L683" s="51"/>
      <c r="M683" s="51"/>
      <c r="N683" s="51"/>
      <c r="O683" s="51"/>
      <c r="P683" s="179" t="s">
        <v>1619</v>
      </c>
      <c r="Q683" s="179" t="s">
        <v>1398</v>
      </c>
      <c r="R683" s="179" t="s">
        <v>2131</v>
      </c>
      <c r="S683" s="47" t="s">
        <v>2048</v>
      </c>
      <c r="T683" s="69"/>
      <c r="U683" s="54"/>
      <c r="W683" s="34"/>
      <c r="AA683">
        <f t="shared" si="127"/>
        <v>452</v>
      </c>
      <c r="AD683" t="str">
        <f t="shared" si="128"/>
        <v>318</v>
      </c>
      <c r="AE683">
        <f t="shared" si="129"/>
        <v>0</v>
      </c>
      <c r="AG683" s="50" t="str">
        <f t="shared" si="130"/>
        <v>ORDURES Déchets communaux  (sacs non-taxés, cimetiere,)</v>
      </c>
      <c r="AH683" s="244" t="str">
        <f t="shared" si="131"/>
        <v>73000</v>
      </c>
      <c r="AI683" s="219"/>
      <c r="AJ683" s="219"/>
      <c r="AK683" s="219" t="str">
        <f t="shared" si="132"/>
        <v>3612</v>
      </c>
      <c r="AL683" s="244" t="str">
        <f t="shared" si="133"/>
        <v>00</v>
      </c>
      <c r="AN683" s="219" t="str">
        <f t="shared" si="134"/>
        <v>Parts aux communes et assoc intercomm - Huiles (Prangins)</v>
      </c>
    </row>
    <row r="684" spans="1:40" ht="15" customHeight="1" x14ac:dyDescent="0.3">
      <c r="A684" s="48">
        <v>0</v>
      </c>
      <c r="B684" s="49" t="s">
        <v>1076</v>
      </c>
      <c r="C684" s="78" t="s">
        <v>1077</v>
      </c>
      <c r="D684" s="182" t="s">
        <v>1462</v>
      </c>
      <c r="E684" s="182" t="s">
        <v>175</v>
      </c>
      <c r="F684" s="182">
        <v>451</v>
      </c>
      <c r="G684" s="182" t="s">
        <v>48</v>
      </c>
      <c r="H684" s="182"/>
      <c r="I684" s="65">
        <v>87971.57</v>
      </c>
      <c r="J684" s="51">
        <v>0</v>
      </c>
      <c r="K684" s="51">
        <f>+I684+J684</f>
        <v>87971.57</v>
      </c>
      <c r="L684" s="51">
        <v>36000</v>
      </c>
      <c r="M684" s="51">
        <v>0</v>
      </c>
      <c r="N684" s="51">
        <f>+L684+M684</f>
        <v>36000</v>
      </c>
      <c r="O684" s="51">
        <v>30392.240000000002</v>
      </c>
      <c r="P684" s="179" t="s">
        <v>1619</v>
      </c>
      <c r="Q684" s="179">
        <v>3130</v>
      </c>
      <c r="R684" s="179" t="s">
        <v>7</v>
      </c>
      <c r="S684" s="55" t="s">
        <v>1621</v>
      </c>
      <c r="T684" s="53">
        <f>+I684/2</f>
        <v>43985.785000000003</v>
      </c>
      <c r="U684" s="54"/>
      <c r="AA684">
        <f t="shared" si="127"/>
        <v>451</v>
      </c>
      <c r="AD684" t="str">
        <f t="shared" si="128"/>
        <v>318</v>
      </c>
      <c r="AE684">
        <f t="shared" si="129"/>
        <v>0</v>
      </c>
      <c r="AG684" s="50" t="str">
        <f t="shared" si="130"/>
        <v>ORDURES Déchets organiques</v>
      </c>
      <c r="AH684" s="244" t="str">
        <f t="shared" si="131"/>
        <v>73000</v>
      </c>
      <c r="AI684" s="219"/>
      <c r="AJ684" s="219"/>
      <c r="AK684" s="219">
        <f t="shared" si="132"/>
        <v>3130</v>
      </c>
      <c r="AL684" s="244" t="str">
        <f t="shared" si="133"/>
        <v>10</v>
      </c>
      <c r="AN684" s="219" t="str">
        <f t="shared" si="134"/>
        <v>Transport</v>
      </c>
    </row>
    <row r="685" spans="1:40" ht="15" customHeight="1" x14ac:dyDescent="0.3">
      <c r="A685" s="48"/>
      <c r="B685" s="49" t="s">
        <v>1076</v>
      </c>
      <c r="C685" s="78" t="s">
        <v>1077</v>
      </c>
      <c r="D685" s="182" t="s">
        <v>1462</v>
      </c>
      <c r="E685" s="182" t="s">
        <v>175</v>
      </c>
      <c r="F685" s="182">
        <v>451</v>
      </c>
      <c r="G685" s="182" t="s">
        <v>48</v>
      </c>
      <c r="H685" s="182"/>
      <c r="I685" s="51"/>
      <c r="J685" s="51"/>
      <c r="K685" s="51"/>
      <c r="L685" s="51"/>
      <c r="M685" s="51"/>
      <c r="N685" s="51"/>
      <c r="O685" s="51"/>
      <c r="P685" s="179" t="s">
        <v>1619</v>
      </c>
      <c r="Q685" s="179">
        <v>3130</v>
      </c>
      <c r="R685" s="179" t="s">
        <v>204</v>
      </c>
      <c r="S685" s="55" t="s">
        <v>1623</v>
      </c>
      <c r="T685" s="53">
        <f>+T684</f>
        <v>43985.785000000003</v>
      </c>
      <c r="U685" s="54"/>
      <c r="AA685">
        <f t="shared" si="127"/>
        <v>451</v>
      </c>
      <c r="AD685" t="str">
        <f t="shared" si="128"/>
        <v>318</v>
      </c>
      <c r="AE685">
        <f t="shared" si="129"/>
        <v>0</v>
      </c>
      <c r="AG685" s="50" t="str">
        <f t="shared" si="130"/>
        <v>ORDURES Déchets organiques</v>
      </c>
      <c r="AH685" s="244" t="str">
        <f t="shared" si="131"/>
        <v>73000</v>
      </c>
      <c r="AI685" s="219"/>
      <c r="AJ685" s="219"/>
      <c r="AK685" s="219">
        <f t="shared" si="132"/>
        <v>3130</v>
      </c>
      <c r="AL685" s="244" t="str">
        <f t="shared" si="133"/>
        <v>20</v>
      </c>
      <c r="AN685" s="219" t="str">
        <f t="shared" si="134"/>
        <v>Incinération</v>
      </c>
    </row>
    <row r="686" spans="1:40" ht="15" customHeight="1" x14ac:dyDescent="0.3">
      <c r="A686" s="48"/>
      <c r="B686" s="49" t="s">
        <v>1076</v>
      </c>
      <c r="C686" s="78" t="s">
        <v>1077</v>
      </c>
      <c r="D686" s="182" t="s">
        <v>1462</v>
      </c>
      <c r="E686" s="182" t="s">
        <v>175</v>
      </c>
      <c r="F686" s="182">
        <v>451</v>
      </c>
      <c r="G686" s="182" t="s">
        <v>48</v>
      </c>
      <c r="H686" s="182"/>
      <c r="I686" s="51"/>
      <c r="J686" s="51"/>
      <c r="K686" s="51"/>
      <c r="L686" s="51"/>
      <c r="M686" s="51"/>
      <c r="N686" s="51"/>
      <c r="O686" s="51"/>
      <c r="P686" s="179" t="s">
        <v>1619</v>
      </c>
      <c r="Q686" s="179" t="s">
        <v>1398</v>
      </c>
      <c r="R686" s="179" t="s">
        <v>2131</v>
      </c>
      <c r="S686" s="47" t="s">
        <v>2048</v>
      </c>
      <c r="T686" s="69"/>
      <c r="U686" s="54"/>
      <c r="W686" s="34"/>
      <c r="AA686">
        <f t="shared" si="127"/>
        <v>451</v>
      </c>
      <c r="AD686" t="str">
        <f t="shared" si="128"/>
        <v>318</v>
      </c>
      <c r="AE686">
        <f t="shared" si="129"/>
        <v>0</v>
      </c>
      <c r="AG686" s="50" t="str">
        <f t="shared" si="130"/>
        <v>ORDURES Déchets organiques</v>
      </c>
      <c r="AH686" s="244" t="str">
        <f t="shared" si="131"/>
        <v>73000</v>
      </c>
      <c r="AI686" s="219"/>
      <c r="AJ686" s="219"/>
      <c r="AK686" s="219" t="str">
        <f t="shared" si="132"/>
        <v>3612</v>
      </c>
      <c r="AL686" s="244" t="str">
        <f t="shared" si="133"/>
        <v>00</v>
      </c>
      <c r="AN686" s="219" t="str">
        <f t="shared" si="134"/>
        <v>Parts aux communes et assoc intercomm - Huiles (Prangins)</v>
      </c>
    </row>
    <row r="687" spans="1:40" ht="15" customHeight="1" x14ac:dyDescent="0.3">
      <c r="A687" s="48">
        <v>0</v>
      </c>
      <c r="B687" s="49" t="s">
        <v>1080</v>
      </c>
      <c r="C687" s="84" t="s">
        <v>1081</v>
      </c>
      <c r="D687" s="189" t="s">
        <v>1462</v>
      </c>
      <c r="E687" s="189" t="s">
        <v>175</v>
      </c>
      <c r="F687" s="189">
        <v>451</v>
      </c>
      <c r="G687" s="189" t="s">
        <v>48</v>
      </c>
      <c r="H687" s="189">
        <v>1</v>
      </c>
      <c r="I687" s="65">
        <v>74848.36</v>
      </c>
      <c r="J687" s="51">
        <v>0</v>
      </c>
      <c r="K687" s="51">
        <f>+I687+J687</f>
        <v>74848.36</v>
      </c>
      <c r="L687" s="51">
        <v>75000</v>
      </c>
      <c r="M687" s="51">
        <v>0</v>
      </c>
      <c r="N687" s="51">
        <f>+L687+M687</f>
        <v>75000</v>
      </c>
      <c r="O687" s="51">
        <v>33788.92</v>
      </c>
      <c r="P687" s="179" t="s">
        <v>1619</v>
      </c>
      <c r="Q687" s="179">
        <v>3130</v>
      </c>
      <c r="R687" s="179" t="s">
        <v>7</v>
      </c>
      <c r="S687" s="55" t="s">
        <v>1621</v>
      </c>
      <c r="T687" s="53">
        <f>+I687/2</f>
        <v>37424.18</v>
      </c>
      <c r="U687" s="54"/>
      <c r="AA687">
        <f t="shared" si="127"/>
        <v>451</v>
      </c>
      <c r="AD687" t="str">
        <f t="shared" si="128"/>
        <v>318</v>
      </c>
      <c r="AE687">
        <f t="shared" si="129"/>
        <v>1</v>
      </c>
      <c r="AG687" s="50" t="str">
        <f t="shared" si="130"/>
        <v>ORDURES Centre de Tri - La Caisserie</v>
      </c>
      <c r="AH687" s="244" t="str">
        <f t="shared" si="131"/>
        <v>73000</v>
      </c>
      <c r="AI687" s="219"/>
      <c r="AJ687" s="219"/>
      <c r="AK687" s="219">
        <f t="shared" si="132"/>
        <v>3130</v>
      </c>
      <c r="AL687" s="244" t="str">
        <f t="shared" si="133"/>
        <v>10</v>
      </c>
      <c r="AN687" s="219" t="str">
        <f t="shared" si="134"/>
        <v>Transport</v>
      </c>
    </row>
    <row r="688" spans="1:40" ht="15" customHeight="1" x14ac:dyDescent="0.3">
      <c r="A688" s="48"/>
      <c r="B688" s="49" t="s">
        <v>1080</v>
      </c>
      <c r="C688" s="84" t="s">
        <v>1081</v>
      </c>
      <c r="D688" s="189" t="s">
        <v>1462</v>
      </c>
      <c r="E688" s="189" t="s">
        <v>175</v>
      </c>
      <c r="F688" s="189">
        <v>451</v>
      </c>
      <c r="G688" s="189" t="s">
        <v>48</v>
      </c>
      <c r="H688" s="189">
        <v>1</v>
      </c>
      <c r="I688" s="51"/>
      <c r="J688" s="51"/>
      <c r="K688" s="51"/>
      <c r="L688" s="51"/>
      <c r="M688" s="51"/>
      <c r="N688" s="51"/>
      <c r="O688" s="51"/>
      <c r="P688" s="179" t="s">
        <v>1619</v>
      </c>
      <c r="Q688" s="179">
        <v>3130</v>
      </c>
      <c r="R688" s="179" t="s">
        <v>204</v>
      </c>
      <c r="S688" s="55" t="s">
        <v>1623</v>
      </c>
      <c r="T688" s="53">
        <f>+T687</f>
        <v>37424.18</v>
      </c>
      <c r="U688" s="54"/>
      <c r="AA688">
        <f t="shared" si="127"/>
        <v>451</v>
      </c>
      <c r="AD688" t="str">
        <f t="shared" si="128"/>
        <v>318</v>
      </c>
      <c r="AE688">
        <f t="shared" si="129"/>
        <v>1</v>
      </c>
      <c r="AG688" s="50" t="str">
        <f t="shared" si="130"/>
        <v>ORDURES Centre de Tri - La Caisserie</v>
      </c>
      <c r="AH688" s="244" t="str">
        <f t="shared" si="131"/>
        <v>73000</v>
      </c>
      <c r="AI688" s="219"/>
      <c r="AJ688" s="219"/>
      <c r="AK688" s="219">
        <f t="shared" si="132"/>
        <v>3130</v>
      </c>
      <c r="AL688" s="244" t="str">
        <f t="shared" si="133"/>
        <v>20</v>
      </c>
      <c r="AN688" s="219" t="str">
        <f t="shared" si="134"/>
        <v>Incinération</v>
      </c>
    </row>
    <row r="689" spans="1:40" ht="15" customHeight="1" x14ac:dyDescent="0.3">
      <c r="A689" s="48"/>
      <c r="B689" s="49" t="s">
        <v>1080</v>
      </c>
      <c r="C689" s="84" t="s">
        <v>1081</v>
      </c>
      <c r="D689" s="189" t="s">
        <v>1462</v>
      </c>
      <c r="E689" s="189" t="s">
        <v>175</v>
      </c>
      <c r="F689" s="189">
        <v>451</v>
      </c>
      <c r="G689" s="189" t="s">
        <v>48</v>
      </c>
      <c r="H689" s="189">
        <v>1</v>
      </c>
      <c r="I689" s="51"/>
      <c r="J689" s="51"/>
      <c r="K689" s="51"/>
      <c r="L689" s="51"/>
      <c r="M689" s="51"/>
      <c r="N689" s="51"/>
      <c r="O689" s="51"/>
      <c r="P689" s="179" t="s">
        <v>1619</v>
      </c>
      <c r="Q689" s="179" t="s">
        <v>1398</v>
      </c>
      <c r="R689" s="179" t="s">
        <v>2131</v>
      </c>
      <c r="S689" s="47" t="s">
        <v>2048</v>
      </c>
      <c r="T689" s="69"/>
      <c r="U689" s="54"/>
      <c r="W689" s="34"/>
      <c r="AA689">
        <f t="shared" si="127"/>
        <v>451</v>
      </c>
      <c r="AD689" t="str">
        <f t="shared" si="128"/>
        <v>318</v>
      </c>
      <c r="AE689">
        <f t="shared" si="129"/>
        <v>1</v>
      </c>
      <c r="AG689" s="50" t="str">
        <f t="shared" si="130"/>
        <v>ORDURES Centre de Tri - La Caisserie</v>
      </c>
      <c r="AH689" s="244" t="str">
        <f t="shared" si="131"/>
        <v>73000</v>
      </c>
      <c r="AI689" s="219"/>
      <c r="AJ689" s="219"/>
      <c r="AK689" s="219" t="str">
        <f t="shared" si="132"/>
        <v>3612</v>
      </c>
      <c r="AL689" s="244" t="str">
        <f t="shared" si="133"/>
        <v>00</v>
      </c>
      <c r="AN689" s="219" t="str">
        <f t="shared" si="134"/>
        <v>Parts aux communes et assoc intercomm - Huiles (Prangins)</v>
      </c>
    </row>
    <row r="690" spans="1:40" ht="15" customHeight="1" x14ac:dyDescent="0.3">
      <c r="A690" s="48">
        <v>0</v>
      </c>
      <c r="B690" s="49" t="s">
        <v>1082</v>
      </c>
      <c r="C690" s="78" t="s">
        <v>1083</v>
      </c>
      <c r="D690" s="182" t="s">
        <v>1462</v>
      </c>
      <c r="E690" s="182" t="s">
        <v>175</v>
      </c>
      <c r="F690" s="182">
        <v>451</v>
      </c>
      <c r="G690" s="182" t="s">
        <v>48</v>
      </c>
      <c r="H690" s="182">
        <v>2</v>
      </c>
      <c r="I690" s="65">
        <v>13517.88</v>
      </c>
      <c r="J690" s="51">
        <v>0</v>
      </c>
      <c r="K690" s="51">
        <f>+I690+J690</f>
        <v>13517.88</v>
      </c>
      <c r="L690" s="51">
        <v>20000</v>
      </c>
      <c r="M690" s="51">
        <v>0</v>
      </c>
      <c r="N690" s="51">
        <f>+L690+M690</f>
        <v>20000</v>
      </c>
      <c r="O690" s="51">
        <v>6249.29</v>
      </c>
      <c r="P690" s="179" t="s">
        <v>1619</v>
      </c>
      <c r="Q690" s="179">
        <v>3130</v>
      </c>
      <c r="R690" s="179" t="s">
        <v>7</v>
      </c>
      <c r="S690" s="55" t="s">
        <v>1621</v>
      </c>
      <c r="T690" s="53">
        <f>+I690/2</f>
        <v>6758.94</v>
      </c>
      <c r="U690" s="54"/>
      <c r="AA690">
        <f t="shared" si="127"/>
        <v>451</v>
      </c>
      <c r="AD690" t="str">
        <f t="shared" si="128"/>
        <v>318</v>
      </c>
      <c r="AE690">
        <f t="shared" si="129"/>
        <v>2</v>
      </c>
      <c r="AG690" s="50" t="str">
        <f t="shared" si="130"/>
        <v>ORDURES Eco-point Sus-Châtel</v>
      </c>
      <c r="AH690" s="244" t="str">
        <f t="shared" si="131"/>
        <v>73000</v>
      </c>
      <c r="AI690" s="219"/>
      <c r="AJ690" s="219"/>
      <c r="AK690" s="219">
        <f t="shared" si="132"/>
        <v>3130</v>
      </c>
      <c r="AL690" s="244" t="str">
        <f t="shared" si="133"/>
        <v>10</v>
      </c>
      <c r="AN690" s="219" t="str">
        <f t="shared" si="134"/>
        <v>Transport</v>
      </c>
    </row>
    <row r="691" spans="1:40" ht="15" customHeight="1" x14ac:dyDescent="0.3">
      <c r="A691" s="48"/>
      <c r="B691" s="49" t="s">
        <v>1082</v>
      </c>
      <c r="C691" s="78" t="s">
        <v>1083</v>
      </c>
      <c r="D691" s="182" t="s">
        <v>1462</v>
      </c>
      <c r="E691" s="182" t="s">
        <v>175</v>
      </c>
      <c r="F691" s="182">
        <v>451</v>
      </c>
      <c r="G691" s="182" t="s">
        <v>48</v>
      </c>
      <c r="H691" s="182">
        <v>2</v>
      </c>
      <c r="I691" s="51"/>
      <c r="J691" s="51"/>
      <c r="K691" s="51"/>
      <c r="L691" s="51"/>
      <c r="M691" s="51"/>
      <c r="N691" s="51"/>
      <c r="O691" s="51"/>
      <c r="P691" s="179" t="s">
        <v>1619</v>
      </c>
      <c r="Q691" s="179">
        <v>3130</v>
      </c>
      <c r="R691" s="179" t="s">
        <v>204</v>
      </c>
      <c r="S691" s="55" t="s">
        <v>1623</v>
      </c>
      <c r="T691" s="53">
        <f>+T690</f>
        <v>6758.94</v>
      </c>
      <c r="U691" s="54"/>
      <c r="AA691">
        <f t="shared" si="127"/>
        <v>451</v>
      </c>
      <c r="AD691" t="str">
        <f t="shared" si="128"/>
        <v>318</v>
      </c>
      <c r="AE691">
        <f t="shared" si="129"/>
        <v>2</v>
      </c>
      <c r="AG691" s="50" t="str">
        <f t="shared" si="130"/>
        <v>ORDURES Eco-point Sus-Châtel</v>
      </c>
      <c r="AH691" s="244" t="str">
        <f t="shared" si="131"/>
        <v>73000</v>
      </c>
      <c r="AI691" s="219"/>
      <c r="AJ691" s="219"/>
      <c r="AK691" s="219">
        <f t="shared" si="132"/>
        <v>3130</v>
      </c>
      <c r="AL691" s="244" t="str">
        <f t="shared" si="133"/>
        <v>20</v>
      </c>
      <c r="AN691" s="219" t="str">
        <f t="shared" si="134"/>
        <v>Incinération</v>
      </c>
    </row>
    <row r="692" spans="1:40" ht="15" customHeight="1" x14ac:dyDescent="0.3">
      <c r="A692" s="48"/>
      <c r="B692" s="49" t="s">
        <v>1082</v>
      </c>
      <c r="C692" s="78" t="s">
        <v>1083</v>
      </c>
      <c r="D692" s="182" t="s">
        <v>1462</v>
      </c>
      <c r="E692" s="182" t="s">
        <v>175</v>
      </c>
      <c r="F692" s="182">
        <v>451</v>
      </c>
      <c r="G692" s="182" t="s">
        <v>48</v>
      </c>
      <c r="H692" s="182">
        <v>2</v>
      </c>
      <c r="I692" s="51"/>
      <c r="J692" s="51"/>
      <c r="K692" s="51"/>
      <c r="L692" s="51"/>
      <c r="M692" s="51"/>
      <c r="N692" s="51"/>
      <c r="O692" s="51"/>
      <c r="P692" s="179" t="s">
        <v>1619</v>
      </c>
      <c r="Q692" s="179" t="s">
        <v>1398</v>
      </c>
      <c r="R692" s="179" t="s">
        <v>2131</v>
      </c>
      <c r="S692" s="47" t="s">
        <v>2048</v>
      </c>
      <c r="T692" s="69"/>
      <c r="U692" s="54"/>
      <c r="W692" s="34"/>
      <c r="AA692">
        <f t="shared" si="127"/>
        <v>451</v>
      </c>
      <c r="AD692" t="str">
        <f t="shared" si="128"/>
        <v>318</v>
      </c>
      <c r="AE692">
        <f t="shared" si="129"/>
        <v>2</v>
      </c>
      <c r="AG692" s="50" t="str">
        <f t="shared" si="130"/>
        <v>ORDURES Eco-point Sus-Châtel</v>
      </c>
      <c r="AH692" s="244" t="str">
        <f t="shared" si="131"/>
        <v>73000</v>
      </c>
      <c r="AI692" s="219"/>
      <c r="AJ692" s="219"/>
      <c r="AK692" s="219" t="str">
        <f t="shared" si="132"/>
        <v>3612</v>
      </c>
      <c r="AL692" s="244" t="str">
        <f t="shared" si="133"/>
        <v>00</v>
      </c>
      <c r="AN692" s="219" t="str">
        <f t="shared" si="134"/>
        <v>Parts aux communes et assoc intercomm - Huiles (Prangins)</v>
      </c>
    </row>
    <row r="693" spans="1:40" ht="15" customHeight="1" x14ac:dyDescent="0.3">
      <c r="A693" s="48">
        <v>0</v>
      </c>
      <c r="B693" s="49" t="s">
        <v>1084</v>
      </c>
      <c r="C693" s="84" t="s">
        <v>1085</v>
      </c>
      <c r="D693" s="189" t="s">
        <v>1462</v>
      </c>
      <c r="E693" s="189" t="s">
        <v>175</v>
      </c>
      <c r="F693" s="189">
        <v>451</v>
      </c>
      <c r="G693" s="189" t="s">
        <v>48</v>
      </c>
      <c r="H693" s="189">
        <v>3</v>
      </c>
      <c r="I693" s="65">
        <v>3041.57</v>
      </c>
      <c r="J693" s="51">
        <v>0</v>
      </c>
      <c r="K693" s="51">
        <f>+I693+J693</f>
        <v>3041.57</v>
      </c>
      <c r="L693" s="51">
        <v>4000</v>
      </c>
      <c r="M693" s="51">
        <v>0</v>
      </c>
      <c r="N693" s="51">
        <f>+L693+M693</f>
        <v>4000</v>
      </c>
      <c r="O693" s="51">
        <v>1287.3399999999999</v>
      </c>
      <c r="P693" s="179" t="s">
        <v>1619</v>
      </c>
      <c r="Q693" s="179">
        <v>3130</v>
      </c>
      <c r="R693" s="179" t="s">
        <v>7</v>
      </c>
      <c r="S693" s="55" t="s">
        <v>1621</v>
      </c>
      <c r="T693" s="53">
        <f>+I693/2</f>
        <v>1520.7850000000001</v>
      </c>
      <c r="U693" s="54"/>
      <c r="AA693">
        <f t="shared" si="127"/>
        <v>451</v>
      </c>
      <c r="AD693" t="str">
        <f t="shared" si="128"/>
        <v>318</v>
      </c>
      <c r="AE693">
        <f t="shared" si="129"/>
        <v>3</v>
      </c>
      <c r="AG693" s="50" t="str">
        <f t="shared" si="130"/>
        <v>ORDURES Eco-point La Cézille</v>
      </c>
      <c r="AH693" s="244" t="str">
        <f t="shared" si="131"/>
        <v>73000</v>
      </c>
      <c r="AI693" s="219"/>
      <c r="AJ693" s="219"/>
      <c r="AK693" s="219">
        <f t="shared" si="132"/>
        <v>3130</v>
      </c>
      <c r="AL693" s="244" t="str">
        <f t="shared" si="133"/>
        <v>10</v>
      </c>
      <c r="AN693" s="219" t="str">
        <f t="shared" si="134"/>
        <v>Transport</v>
      </c>
    </row>
    <row r="694" spans="1:40" ht="15" customHeight="1" x14ac:dyDescent="0.3">
      <c r="A694" s="48"/>
      <c r="B694" s="49" t="s">
        <v>1084</v>
      </c>
      <c r="C694" s="84" t="s">
        <v>1085</v>
      </c>
      <c r="D694" s="189" t="s">
        <v>1462</v>
      </c>
      <c r="E694" s="189" t="s">
        <v>175</v>
      </c>
      <c r="F694" s="189">
        <v>451</v>
      </c>
      <c r="G694" s="189" t="s">
        <v>48</v>
      </c>
      <c r="H694" s="189">
        <v>3</v>
      </c>
      <c r="I694" s="51"/>
      <c r="J694" s="51"/>
      <c r="K694" s="51"/>
      <c r="L694" s="51"/>
      <c r="M694" s="51"/>
      <c r="N694" s="51"/>
      <c r="O694" s="51"/>
      <c r="P694" s="179" t="s">
        <v>1619</v>
      </c>
      <c r="Q694" s="179">
        <v>3130</v>
      </c>
      <c r="R694" s="179" t="s">
        <v>204</v>
      </c>
      <c r="S694" s="55" t="s">
        <v>1623</v>
      </c>
      <c r="T694" s="53">
        <f>+T693</f>
        <v>1520.7850000000001</v>
      </c>
      <c r="U694" s="54"/>
      <c r="AA694">
        <f t="shared" si="127"/>
        <v>451</v>
      </c>
      <c r="AD694" t="str">
        <f t="shared" si="128"/>
        <v>318</v>
      </c>
      <c r="AE694">
        <f t="shared" si="129"/>
        <v>3</v>
      </c>
      <c r="AG694" s="50" t="str">
        <f t="shared" si="130"/>
        <v>ORDURES Eco-point La Cézille</v>
      </c>
      <c r="AH694" s="244" t="str">
        <f t="shared" si="131"/>
        <v>73000</v>
      </c>
      <c r="AI694" s="219"/>
      <c r="AJ694" s="219"/>
      <c r="AK694" s="219">
        <f t="shared" si="132"/>
        <v>3130</v>
      </c>
      <c r="AL694" s="244" t="str">
        <f t="shared" si="133"/>
        <v>20</v>
      </c>
      <c r="AN694" s="219" t="str">
        <f t="shared" si="134"/>
        <v>Incinération</v>
      </c>
    </row>
    <row r="695" spans="1:40" ht="15" customHeight="1" x14ac:dyDescent="0.3">
      <c r="A695" s="48"/>
      <c r="B695" s="49" t="s">
        <v>1084</v>
      </c>
      <c r="C695" s="84" t="s">
        <v>1085</v>
      </c>
      <c r="D695" s="189" t="s">
        <v>1462</v>
      </c>
      <c r="E695" s="189" t="s">
        <v>175</v>
      </c>
      <c r="F695" s="189">
        <v>451</v>
      </c>
      <c r="G695" s="189" t="s">
        <v>48</v>
      </c>
      <c r="H695" s="189">
        <v>3</v>
      </c>
      <c r="I695" s="51"/>
      <c r="J695" s="51"/>
      <c r="K695" s="51"/>
      <c r="L695" s="51"/>
      <c r="M695" s="51"/>
      <c r="N695" s="51"/>
      <c r="O695" s="51"/>
      <c r="P695" s="179" t="s">
        <v>1619</v>
      </c>
      <c r="Q695" s="179" t="s">
        <v>1398</v>
      </c>
      <c r="R695" s="179" t="s">
        <v>2131</v>
      </c>
      <c r="S695" s="47" t="s">
        <v>2048</v>
      </c>
      <c r="T695" s="69"/>
      <c r="U695" s="54"/>
      <c r="W695" s="34"/>
      <c r="AA695">
        <f t="shared" si="127"/>
        <v>451</v>
      </c>
      <c r="AD695" t="str">
        <f t="shared" si="128"/>
        <v>318</v>
      </c>
      <c r="AE695">
        <f t="shared" si="129"/>
        <v>3</v>
      </c>
      <c r="AG695" s="50" t="str">
        <f t="shared" si="130"/>
        <v>ORDURES Eco-point La Cézille</v>
      </c>
      <c r="AH695" s="244" t="str">
        <f t="shared" si="131"/>
        <v>73000</v>
      </c>
      <c r="AI695" s="219"/>
      <c r="AJ695" s="219"/>
      <c r="AK695" s="219" t="str">
        <f t="shared" si="132"/>
        <v>3612</v>
      </c>
      <c r="AL695" s="244" t="str">
        <f t="shared" si="133"/>
        <v>00</v>
      </c>
      <c r="AN695" s="219" t="str">
        <f t="shared" si="134"/>
        <v>Parts aux communes et assoc intercomm - Huiles (Prangins)</v>
      </c>
    </row>
    <row r="696" spans="1:40" ht="15" customHeight="1" x14ac:dyDescent="0.3">
      <c r="A696" s="48">
        <v>0</v>
      </c>
      <c r="B696" s="49" t="s">
        <v>1045</v>
      </c>
      <c r="C696" s="50" t="s">
        <v>1046</v>
      </c>
      <c r="D696" s="46" t="s">
        <v>1462</v>
      </c>
      <c r="E696" s="46" t="s">
        <v>1040</v>
      </c>
      <c r="F696" s="46">
        <v>450</v>
      </c>
      <c r="G696" s="46" t="s">
        <v>48</v>
      </c>
      <c r="H696" s="46">
        <v>3</v>
      </c>
      <c r="I696" s="51">
        <v>0</v>
      </c>
      <c r="J696" s="51">
        <v>0</v>
      </c>
      <c r="K696" s="51">
        <f t="shared" ref="K696:K701" si="138">+I696+J696</f>
        <v>0</v>
      </c>
      <c r="L696" s="51">
        <v>0</v>
      </c>
      <c r="M696" s="51">
        <v>0</v>
      </c>
      <c r="N696" s="51">
        <f t="shared" ref="N696:N727" si="139">+L696+M696</f>
        <v>0</v>
      </c>
      <c r="O696" s="51">
        <v>0</v>
      </c>
      <c r="P696" s="179" t="s">
        <v>1489</v>
      </c>
      <c r="Q696" s="179" t="s">
        <v>1489</v>
      </c>
      <c r="R696" s="179" t="s">
        <v>1489</v>
      </c>
      <c r="S696" s="47" t="s">
        <v>1489</v>
      </c>
      <c r="T696" s="54"/>
      <c r="U696" s="54"/>
      <c r="AA696">
        <f t="shared" si="127"/>
        <v>450</v>
      </c>
      <c r="AD696" t="str">
        <f t="shared" si="128"/>
        <v>318</v>
      </c>
      <c r="AE696">
        <f t="shared" si="129"/>
        <v>3</v>
      </c>
      <c r="AG696" s="50" t="str">
        <f t="shared" si="130"/>
        <v>ORDURES Déchets Carnés</v>
      </c>
      <c r="AH696" s="244" t="str">
        <f t="shared" si="131"/>
        <v>-</v>
      </c>
      <c r="AI696" s="219"/>
      <c r="AJ696" s="219"/>
      <c r="AK696" s="219" t="str">
        <f t="shared" si="132"/>
        <v>-</v>
      </c>
      <c r="AL696" s="244" t="str">
        <f t="shared" si="133"/>
        <v>-</v>
      </c>
      <c r="AN696" s="219" t="str">
        <f t="shared" si="134"/>
        <v>-</v>
      </c>
    </row>
    <row r="697" spans="1:40" ht="15" customHeight="1" x14ac:dyDescent="0.3">
      <c r="A697" s="48">
        <v>0</v>
      </c>
      <c r="B697" s="49" t="s">
        <v>1047</v>
      </c>
      <c r="C697" s="50" t="s">
        <v>1048</v>
      </c>
      <c r="D697" s="46" t="s">
        <v>1462</v>
      </c>
      <c r="E697" s="46" t="s">
        <v>1040</v>
      </c>
      <c r="F697" s="46">
        <v>450</v>
      </c>
      <c r="G697" s="46" t="s">
        <v>138</v>
      </c>
      <c r="H697" s="46"/>
      <c r="I697" s="51">
        <v>61507.63</v>
      </c>
      <c r="J697" s="51">
        <v>0</v>
      </c>
      <c r="K697" s="51">
        <f t="shared" si="138"/>
        <v>61507.63</v>
      </c>
      <c r="L697" s="51">
        <v>10000</v>
      </c>
      <c r="M697" s="51">
        <v>0</v>
      </c>
      <c r="N697" s="51">
        <f t="shared" si="139"/>
        <v>10000</v>
      </c>
      <c r="O697" s="51">
        <v>0</v>
      </c>
      <c r="P697" s="179" t="s">
        <v>1619</v>
      </c>
      <c r="Q697" s="179" t="s">
        <v>1686</v>
      </c>
      <c r="R697" s="179" t="s">
        <v>2131</v>
      </c>
      <c r="S697" s="58" t="s">
        <v>1687</v>
      </c>
      <c r="T697" s="54">
        <f>+I697</f>
        <v>61507.63</v>
      </c>
      <c r="U697" s="54"/>
      <c r="AA697">
        <f t="shared" si="127"/>
        <v>450</v>
      </c>
      <c r="AD697" t="str">
        <f t="shared" si="128"/>
        <v>381</v>
      </c>
      <c r="AE697">
        <f t="shared" si="129"/>
        <v>0</v>
      </c>
      <c r="AG697" s="50" t="str">
        <f t="shared" si="130"/>
        <v>DECHETS  ATTRIB FINANC SPECIAUX (9280.5)</v>
      </c>
      <c r="AH697" s="244" t="str">
        <f t="shared" si="131"/>
        <v>73000</v>
      </c>
      <c r="AI697" s="219"/>
      <c r="AJ697" s="219"/>
      <c r="AK697" s="219" t="str">
        <f t="shared" si="132"/>
        <v>4510</v>
      </c>
      <c r="AL697" s="244" t="str">
        <f t="shared" si="133"/>
        <v>00</v>
      </c>
      <c r="AN697" s="219" t="str">
        <f t="shared" si="134"/>
        <v>Prélèvements aux fonds et financement spéciaux</v>
      </c>
    </row>
    <row r="698" spans="1:40" ht="15" customHeight="1" x14ac:dyDescent="0.3">
      <c r="A698" s="48">
        <v>0</v>
      </c>
      <c r="B698" s="49" t="s">
        <v>1049</v>
      </c>
      <c r="C698" s="50" t="s">
        <v>1050</v>
      </c>
      <c r="D698" s="46" t="s">
        <v>1462</v>
      </c>
      <c r="E698" s="46" t="s">
        <v>1040</v>
      </c>
      <c r="F698" s="46">
        <v>450</v>
      </c>
      <c r="G698" s="46" t="s">
        <v>58</v>
      </c>
      <c r="H698" s="46"/>
      <c r="I698" s="51">
        <v>0</v>
      </c>
      <c r="J698" s="59">
        <v>-89350.59</v>
      </c>
      <c r="K698" s="51">
        <f t="shared" si="138"/>
        <v>-89350.59</v>
      </c>
      <c r="L698" s="51">
        <v>0</v>
      </c>
      <c r="M698" s="51">
        <v>-110000</v>
      </c>
      <c r="N698" s="51">
        <f t="shared" si="139"/>
        <v>-110000</v>
      </c>
      <c r="O698" s="51">
        <v>-12825.62</v>
      </c>
      <c r="P698" s="179" t="s">
        <v>1619</v>
      </c>
      <c r="Q698" s="179" t="s">
        <v>1580</v>
      </c>
      <c r="R698" s="179" t="s">
        <v>2131</v>
      </c>
      <c r="S698" s="57" t="s">
        <v>1879</v>
      </c>
      <c r="T698" s="54">
        <f>+J698</f>
        <v>-89350.59</v>
      </c>
      <c r="U698" s="54"/>
      <c r="W698" t="s">
        <v>1658</v>
      </c>
      <c r="AA698">
        <f t="shared" si="127"/>
        <v>450</v>
      </c>
      <c r="AD698" t="str">
        <f t="shared" si="128"/>
        <v>435</v>
      </c>
      <c r="AE698">
        <f t="shared" si="129"/>
        <v>0</v>
      </c>
      <c r="AG698" s="50" t="str">
        <f t="shared" si="130"/>
        <v>ORDURES  RETROCESSION SADEC (taxe au sac)</v>
      </c>
      <c r="AH698" s="244" t="str">
        <f t="shared" si="131"/>
        <v>73000</v>
      </c>
      <c r="AI698" s="219"/>
      <c r="AJ698" s="219"/>
      <c r="AK698" s="219" t="str">
        <f t="shared" si="132"/>
        <v>4260</v>
      </c>
      <c r="AL698" s="244" t="str">
        <f t="shared" si="133"/>
        <v>00</v>
      </c>
      <c r="AN698" s="219" t="str">
        <f t="shared" si="134"/>
        <v>Remboursements et participations de tiers - retro SADEC</v>
      </c>
    </row>
    <row r="699" spans="1:40" ht="15" customHeight="1" x14ac:dyDescent="0.3">
      <c r="A699" s="48">
        <v>0</v>
      </c>
      <c r="B699" s="49" t="s">
        <v>1051</v>
      </c>
      <c r="C699" s="50" t="s">
        <v>1052</v>
      </c>
      <c r="D699" s="46" t="s">
        <v>1462</v>
      </c>
      <c r="E699" s="46" t="s">
        <v>1040</v>
      </c>
      <c r="F699" s="46">
        <v>450</v>
      </c>
      <c r="G699" s="46" t="s">
        <v>61</v>
      </c>
      <c r="H699" s="46">
        <v>3</v>
      </c>
      <c r="I699" s="51">
        <v>0</v>
      </c>
      <c r="J699" s="51">
        <v>0</v>
      </c>
      <c r="K699" s="51">
        <f t="shared" si="138"/>
        <v>0</v>
      </c>
      <c r="L699" s="51">
        <v>0</v>
      </c>
      <c r="M699" s="51">
        <v>0</v>
      </c>
      <c r="N699" s="51">
        <f t="shared" si="139"/>
        <v>0</v>
      </c>
      <c r="O699" s="51">
        <v>0</v>
      </c>
      <c r="P699" s="179" t="s">
        <v>1489</v>
      </c>
      <c r="Q699" s="179" t="s">
        <v>1489</v>
      </c>
      <c r="R699" s="179" t="s">
        <v>1489</v>
      </c>
      <c r="S699" s="47" t="s">
        <v>1489</v>
      </c>
      <c r="T699" s="54"/>
      <c r="U699" s="54"/>
      <c r="AA699">
        <f t="shared" si="127"/>
        <v>450</v>
      </c>
      <c r="AD699" t="str">
        <f t="shared" si="128"/>
        <v>436</v>
      </c>
      <c r="AE699">
        <f t="shared" si="129"/>
        <v>3</v>
      </c>
      <c r="AG699" s="50" t="str">
        <f t="shared" si="130"/>
        <v>ORDURES  PART TIERS DECHETS CARNES (inactif)</v>
      </c>
      <c r="AH699" s="244" t="str">
        <f t="shared" si="131"/>
        <v>-</v>
      </c>
      <c r="AI699" s="219"/>
      <c r="AJ699" s="219"/>
      <c r="AK699" s="219" t="str">
        <f t="shared" si="132"/>
        <v>-</v>
      </c>
      <c r="AL699" s="244" t="str">
        <f t="shared" si="133"/>
        <v>-</v>
      </c>
      <c r="AN699" s="219" t="str">
        <f t="shared" si="134"/>
        <v>-</v>
      </c>
    </row>
    <row r="700" spans="1:40" ht="15" customHeight="1" x14ac:dyDescent="0.3">
      <c r="A700" s="48">
        <v>0</v>
      </c>
      <c r="B700" s="49" t="s">
        <v>1053</v>
      </c>
      <c r="C700" s="50" t="s">
        <v>1054</v>
      </c>
      <c r="D700" s="46" t="s">
        <v>1462</v>
      </c>
      <c r="E700" s="46" t="s">
        <v>1040</v>
      </c>
      <c r="F700" s="46">
        <v>450</v>
      </c>
      <c r="G700" s="46" t="s">
        <v>144</v>
      </c>
      <c r="H700" s="46"/>
      <c r="I700" s="51">
        <v>0</v>
      </c>
      <c r="J700" s="51">
        <v>0</v>
      </c>
      <c r="K700" s="51">
        <f t="shared" si="138"/>
        <v>0</v>
      </c>
      <c r="L700" s="51">
        <v>0</v>
      </c>
      <c r="M700" s="51">
        <v>0</v>
      </c>
      <c r="N700" s="51">
        <f t="shared" si="139"/>
        <v>0</v>
      </c>
      <c r="O700" s="51">
        <v>0</v>
      </c>
      <c r="P700" s="179" t="s">
        <v>1489</v>
      </c>
      <c r="Q700" s="179" t="s">
        <v>1489</v>
      </c>
      <c r="R700" s="179" t="s">
        <v>1489</v>
      </c>
      <c r="S700" s="47" t="s">
        <v>1489</v>
      </c>
      <c r="T700" s="54"/>
      <c r="U700" s="54"/>
      <c r="AA700">
        <f t="shared" si="127"/>
        <v>450</v>
      </c>
      <c r="AD700" t="str">
        <f t="shared" si="128"/>
        <v>481</v>
      </c>
      <c r="AE700">
        <f t="shared" si="129"/>
        <v>0</v>
      </c>
      <c r="AG700" s="50" t="str">
        <f t="shared" si="130"/>
        <v>DECHETS  PRELEV FINANC SPECIAUX (9280.5)</v>
      </c>
      <c r="AH700" s="244" t="str">
        <f t="shared" si="131"/>
        <v>-</v>
      </c>
      <c r="AI700" s="219"/>
      <c r="AJ700" s="219"/>
      <c r="AK700" s="219" t="str">
        <f t="shared" si="132"/>
        <v>-</v>
      </c>
      <c r="AL700" s="244" t="str">
        <f t="shared" si="133"/>
        <v>-</v>
      </c>
      <c r="AN700" s="219" t="str">
        <f t="shared" si="134"/>
        <v>-</v>
      </c>
    </row>
    <row r="701" spans="1:40" ht="15" customHeight="1" x14ac:dyDescent="0.3">
      <c r="A701" s="48">
        <v>0</v>
      </c>
      <c r="B701" s="77" t="s">
        <v>1055</v>
      </c>
      <c r="C701" s="78" t="s">
        <v>1056</v>
      </c>
      <c r="D701" s="182" t="s">
        <v>1462</v>
      </c>
      <c r="E701" s="182" t="s">
        <v>175</v>
      </c>
      <c r="F701" s="182">
        <v>451</v>
      </c>
      <c r="G701" s="182" t="s">
        <v>3</v>
      </c>
      <c r="H701" s="182"/>
      <c r="I701" s="51">
        <v>64241.95</v>
      </c>
      <c r="J701" s="51">
        <v>0</v>
      </c>
      <c r="K701" s="51">
        <f t="shared" si="138"/>
        <v>64241.95</v>
      </c>
      <c r="L701" s="51">
        <v>63000</v>
      </c>
      <c r="M701" s="51">
        <v>0</v>
      </c>
      <c r="N701" s="51">
        <f t="shared" si="139"/>
        <v>63000</v>
      </c>
      <c r="O701" s="51">
        <v>34255.4</v>
      </c>
      <c r="P701" s="179" t="s">
        <v>1619</v>
      </c>
      <c r="Q701" s="179" t="s">
        <v>1410</v>
      </c>
      <c r="R701" s="179" t="s">
        <v>2131</v>
      </c>
      <c r="S701" s="52" t="s">
        <v>1411</v>
      </c>
      <c r="T701" s="54">
        <f>+I701</f>
        <v>64241.95</v>
      </c>
      <c r="U701" s="54"/>
      <c r="W701" t="s">
        <v>2019</v>
      </c>
      <c r="AA701">
        <f t="shared" si="127"/>
        <v>451</v>
      </c>
      <c r="AD701" t="str">
        <f t="shared" si="128"/>
        <v>301</v>
      </c>
      <c r="AE701">
        <f t="shared" si="129"/>
        <v>0</v>
      </c>
      <c r="AG701" s="50" t="str">
        <f t="shared" si="130"/>
        <v>ORDURES Salaires</v>
      </c>
      <c r="AH701" s="244" t="str">
        <f t="shared" si="131"/>
        <v>73000</v>
      </c>
      <c r="AI701" s="219"/>
      <c r="AJ701" s="219"/>
      <c r="AK701" s="219" t="str">
        <f t="shared" si="132"/>
        <v>3010</v>
      </c>
      <c r="AL701" s="244" t="str">
        <f t="shared" si="133"/>
        <v>00</v>
      </c>
      <c r="AN701" s="219" t="str">
        <f t="shared" si="134"/>
        <v>Salaire du personnel administratif</v>
      </c>
    </row>
    <row r="702" spans="1:40" ht="15" customHeight="1" x14ac:dyDescent="0.3">
      <c r="A702" s="48"/>
      <c r="B702" s="77" t="s">
        <v>1055</v>
      </c>
      <c r="C702" s="78" t="s">
        <v>1056</v>
      </c>
      <c r="D702" s="182" t="s">
        <v>1462</v>
      </c>
      <c r="E702" s="182" t="s">
        <v>175</v>
      </c>
      <c r="F702" s="182">
        <v>451</v>
      </c>
      <c r="G702" s="182" t="s">
        <v>3</v>
      </c>
      <c r="H702" s="182"/>
      <c r="I702" s="51"/>
      <c r="J702" s="51"/>
      <c r="K702" s="51"/>
      <c r="L702" s="51"/>
      <c r="M702" s="51"/>
      <c r="N702" s="51">
        <f t="shared" si="139"/>
        <v>0</v>
      </c>
      <c r="O702" s="51"/>
      <c r="P702" s="179" t="s">
        <v>1619</v>
      </c>
      <c r="Q702" s="179" t="s">
        <v>1410</v>
      </c>
      <c r="R702" s="179" t="s">
        <v>2138</v>
      </c>
      <c r="S702" s="47" t="s">
        <v>1424</v>
      </c>
      <c r="T702" s="54"/>
      <c r="U702" s="54"/>
      <c r="AA702">
        <f t="shared" si="127"/>
        <v>451</v>
      </c>
      <c r="AD702" t="str">
        <f t="shared" si="128"/>
        <v>301</v>
      </c>
      <c r="AE702">
        <f t="shared" si="129"/>
        <v>0</v>
      </c>
      <c r="AG702" s="50" t="str">
        <f t="shared" si="130"/>
        <v>ORDURES Salaires</v>
      </c>
      <c r="AH702" s="244" t="str">
        <f t="shared" si="131"/>
        <v>73000</v>
      </c>
      <c r="AI702" s="219"/>
      <c r="AJ702" s="219"/>
      <c r="AK702" s="219" t="str">
        <f t="shared" si="132"/>
        <v>3010</v>
      </c>
      <c r="AL702" s="244" t="str">
        <f t="shared" si="133"/>
        <v>99</v>
      </c>
      <c r="AN702" s="219" t="str">
        <f t="shared" si="134"/>
        <v>Remboursements IJM</v>
      </c>
    </row>
    <row r="703" spans="1:40" ht="15" customHeight="1" x14ac:dyDescent="0.3">
      <c r="A703" s="48">
        <v>0</v>
      </c>
      <c r="B703" s="74" t="s">
        <v>1057</v>
      </c>
      <c r="C703" s="67" t="s">
        <v>1058</v>
      </c>
      <c r="D703" s="188" t="s">
        <v>1462</v>
      </c>
      <c r="E703" s="188" t="s">
        <v>175</v>
      </c>
      <c r="F703" s="182">
        <v>451</v>
      </c>
      <c r="G703" s="188" t="s">
        <v>16</v>
      </c>
      <c r="H703" s="188"/>
      <c r="I703" s="51">
        <v>4376.1000000000004</v>
      </c>
      <c r="J703" s="51">
        <v>0</v>
      </c>
      <c r="K703" s="51">
        <f>+I703+J703</f>
        <v>4376.1000000000004</v>
      </c>
      <c r="L703" s="51">
        <v>5100</v>
      </c>
      <c r="M703" s="51">
        <v>0</v>
      </c>
      <c r="N703" s="51">
        <f t="shared" si="139"/>
        <v>5100</v>
      </c>
      <c r="O703" s="51">
        <v>2479.5500000000002</v>
      </c>
      <c r="P703" s="179" t="s">
        <v>1619</v>
      </c>
      <c r="Q703" s="179" t="s">
        <v>1367</v>
      </c>
      <c r="R703" s="179" t="s">
        <v>2131</v>
      </c>
      <c r="S703" s="52" t="s">
        <v>1378</v>
      </c>
      <c r="T703" s="54">
        <f>+I703</f>
        <v>4376.1000000000004</v>
      </c>
      <c r="U703" s="54"/>
      <c r="AA703">
        <f t="shared" si="127"/>
        <v>451</v>
      </c>
      <c r="AD703" t="str">
        <f t="shared" si="128"/>
        <v>303</v>
      </c>
      <c r="AE703">
        <f t="shared" si="129"/>
        <v>0</v>
      </c>
      <c r="AG703" s="50" t="str">
        <f t="shared" si="130"/>
        <v>ORDURES AVS / AC / AF</v>
      </c>
      <c r="AH703" s="244" t="str">
        <f t="shared" si="131"/>
        <v>73000</v>
      </c>
      <c r="AI703" s="219"/>
      <c r="AJ703" s="219"/>
      <c r="AK703" s="219" t="str">
        <f t="shared" si="132"/>
        <v>3050</v>
      </c>
      <c r="AL703" s="244" t="str">
        <f t="shared" si="133"/>
        <v>00</v>
      </c>
      <c r="AN703" s="219" t="str">
        <f t="shared" si="134"/>
        <v>Cotisations AVS, AI, APG, AC, frais adm</v>
      </c>
    </row>
    <row r="704" spans="1:40" ht="15" customHeight="1" x14ac:dyDescent="0.3">
      <c r="A704" s="48"/>
      <c r="B704" s="74" t="s">
        <v>1057</v>
      </c>
      <c r="C704" s="67" t="s">
        <v>1058</v>
      </c>
      <c r="D704" s="188" t="s">
        <v>1462</v>
      </c>
      <c r="E704" s="188" t="s">
        <v>175</v>
      </c>
      <c r="F704" s="182">
        <v>451</v>
      </c>
      <c r="G704" s="188" t="s">
        <v>16</v>
      </c>
      <c r="H704" s="188"/>
      <c r="I704" s="51"/>
      <c r="J704" s="51"/>
      <c r="K704" s="51"/>
      <c r="L704" s="51"/>
      <c r="M704" s="51"/>
      <c r="N704" s="51">
        <f t="shared" si="139"/>
        <v>0</v>
      </c>
      <c r="O704" s="51"/>
      <c r="P704" s="179" t="s">
        <v>1619</v>
      </c>
      <c r="Q704" s="179" t="s">
        <v>1413</v>
      </c>
      <c r="R704" s="179" t="s">
        <v>2131</v>
      </c>
      <c r="S704" s="52" t="s">
        <v>1414</v>
      </c>
      <c r="T704" s="54"/>
      <c r="U704" s="54"/>
      <c r="AA704">
        <f t="shared" si="127"/>
        <v>451</v>
      </c>
      <c r="AD704" t="str">
        <f t="shared" si="128"/>
        <v>303</v>
      </c>
      <c r="AE704">
        <f t="shared" si="129"/>
        <v>0</v>
      </c>
      <c r="AG704" s="50" t="str">
        <f t="shared" si="130"/>
        <v>ORDURES AVS / AC / AF</v>
      </c>
      <c r="AH704" s="244" t="str">
        <f t="shared" si="131"/>
        <v>73000</v>
      </c>
      <c r="AI704" s="219"/>
      <c r="AJ704" s="219"/>
      <c r="AK704" s="219" t="str">
        <f t="shared" si="132"/>
        <v>3054</v>
      </c>
      <c r="AL704" s="244" t="str">
        <f t="shared" si="133"/>
        <v>00</v>
      </c>
      <c r="AN704" s="219" t="str">
        <f t="shared" si="134"/>
        <v>Cotisations CAF</v>
      </c>
    </row>
    <row r="705" spans="1:40" ht="15" customHeight="1" x14ac:dyDescent="0.3">
      <c r="A705" s="48">
        <v>0</v>
      </c>
      <c r="B705" s="49" t="s">
        <v>1059</v>
      </c>
      <c r="C705" s="50" t="s">
        <v>1060</v>
      </c>
      <c r="D705" s="46" t="s">
        <v>1462</v>
      </c>
      <c r="E705" s="46" t="s">
        <v>175</v>
      </c>
      <c r="F705" s="182">
        <v>451</v>
      </c>
      <c r="G705" s="46" t="s">
        <v>38</v>
      </c>
      <c r="H705" s="46"/>
      <c r="I705" s="51">
        <v>1910.55</v>
      </c>
      <c r="J705" s="51">
        <v>0</v>
      </c>
      <c r="K705" s="51">
        <f>+I705+J705</f>
        <v>1910.55</v>
      </c>
      <c r="L705" s="51">
        <v>1900</v>
      </c>
      <c r="M705" s="51">
        <v>0</v>
      </c>
      <c r="N705" s="51">
        <f t="shared" si="139"/>
        <v>1900</v>
      </c>
      <c r="O705" s="51">
        <v>1440.1</v>
      </c>
      <c r="P705" s="179" t="s">
        <v>1619</v>
      </c>
      <c r="Q705" s="179" t="s">
        <v>1386</v>
      </c>
      <c r="R705" s="179" t="s">
        <v>2131</v>
      </c>
      <c r="S705" s="52" t="s">
        <v>1387</v>
      </c>
      <c r="T705" s="54">
        <f>+I705</f>
        <v>1910.55</v>
      </c>
      <c r="U705" s="54"/>
      <c r="AA705">
        <f t="shared" si="127"/>
        <v>451</v>
      </c>
      <c r="AD705" t="str">
        <f t="shared" si="128"/>
        <v>304</v>
      </c>
      <c r="AE705">
        <f t="shared" si="129"/>
        <v>0</v>
      </c>
      <c r="AG705" s="50" t="str">
        <f t="shared" si="130"/>
        <v>ORDURES  CAISSE PREVOYANCE LPP</v>
      </c>
      <c r="AH705" s="244" t="str">
        <f t="shared" si="131"/>
        <v>73000</v>
      </c>
      <c r="AI705" s="219"/>
      <c r="AJ705" s="219"/>
      <c r="AK705" s="219" t="str">
        <f t="shared" si="132"/>
        <v>3052</v>
      </c>
      <c r="AL705" s="244" t="str">
        <f t="shared" si="133"/>
        <v>00</v>
      </c>
      <c r="AN705" s="219" t="str">
        <f t="shared" si="134"/>
        <v>Cotisations patronales aux caisses de pensions</v>
      </c>
    </row>
    <row r="706" spans="1:40" ht="15" customHeight="1" x14ac:dyDescent="0.3">
      <c r="A706" s="48">
        <v>0</v>
      </c>
      <c r="B706" s="49" t="s">
        <v>1061</v>
      </c>
      <c r="C706" s="50" t="s">
        <v>1062</v>
      </c>
      <c r="D706" s="46" t="s">
        <v>1462</v>
      </c>
      <c r="E706" s="46" t="s">
        <v>175</v>
      </c>
      <c r="F706" s="182">
        <v>451</v>
      </c>
      <c r="G706" s="46" t="s">
        <v>19</v>
      </c>
      <c r="H706" s="46"/>
      <c r="I706" s="51">
        <v>1828.85</v>
      </c>
      <c r="J706" s="51">
        <v>0</v>
      </c>
      <c r="K706" s="51">
        <f>+I706+J706</f>
        <v>1828.85</v>
      </c>
      <c r="L706" s="51">
        <v>1590</v>
      </c>
      <c r="M706" s="51">
        <v>0</v>
      </c>
      <c r="N706" s="51">
        <f t="shared" si="139"/>
        <v>1590</v>
      </c>
      <c r="O706" s="51">
        <v>1029.55</v>
      </c>
      <c r="P706" s="179" t="s">
        <v>1619</v>
      </c>
      <c r="Q706" s="179" t="s">
        <v>1375</v>
      </c>
      <c r="R706" s="179" t="s">
        <v>2131</v>
      </c>
      <c r="S706" s="52" t="s">
        <v>1379</v>
      </c>
      <c r="T706" s="54">
        <f>+I706</f>
        <v>1828.85</v>
      </c>
      <c r="U706" s="54"/>
      <c r="AA706">
        <f t="shared" si="127"/>
        <v>451</v>
      </c>
      <c r="AD706" t="str">
        <f t="shared" si="128"/>
        <v>305</v>
      </c>
      <c r="AE706">
        <f t="shared" si="129"/>
        <v>0</v>
      </c>
      <c r="AG706" s="50" t="str">
        <f t="shared" si="130"/>
        <v>ORDURES ASS ACCIDENTS et MALADIE</v>
      </c>
      <c r="AH706" s="244" t="str">
        <f t="shared" si="131"/>
        <v>73000</v>
      </c>
      <c r="AI706" s="219"/>
      <c r="AJ706" s="219"/>
      <c r="AK706" s="219" t="str">
        <f t="shared" si="132"/>
        <v>3053</v>
      </c>
      <c r="AL706" s="244" t="str">
        <f t="shared" si="133"/>
        <v>00</v>
      </c>
      <c r="AN706" s="219" t="str">
        <f t="shared" si="134"/>
        <v>Cotisations patronales aux assurance-accidents</v>
      </c>
    </row>
    <row r="707" spans="1:40" ht="15" customHeight="1" x14ac:dyDescent="0.3">
      <c r="A707" s="48">
        <v>0</v>
      </c>
      <c r="B707" s="74" t="s">
        <v>1063</v>
      </c>
      <c r="C707" s="67" t="s">
        <v>1064</v>
      </c>
      <c r="D707" s="188" t="s">
        <v>1462</v>
      </c>
      <c r="E707" s="188" t="s">
        <v>175</v>
      </c>
      <c r="F707" s="182">
        <v>451</v>
      </c>
      <c r="G707" s="188" t="s">
        <v>22</v>
      </c>
      <c r="H707" s="188"/>
      <c r="I707" s="51">
        <v>812.3</v>
      </c>
      <c r="J707" s="51">
        <v>0</v>
      </c>
      <c r="K707" s="51">
        <f>+I707+J707</f>
        <v>812.3</v>
      </c>
      <c r="L707" s="51">
        <v>1000</v>
      </c>
      <c r="M707" s="51">
        <v>0</v>
      </c>
      <c r="N707" s="51">
        <f t="shared" si="139"/>
        <v>1000</v>
      </c>
      <c r="O707" s="51">
        <v>240.05</v>
      </c>
      <c r="P707" s="179" t="s">
        <v>1619</v>
      </c>
      <c r="Q707" s="179" t="s">
        <v>1380</v>
      </c>
      <c r="R707" s="179" t="s">
        <v>2131</v>
      </c>
      <c r="S707" s="47" t="s">
        <v>1381</v>
      </c>
      <c r="T707" s="54">
        <f>+I707</f>
        <v>812.3</v>
      </c>
      <c r="U707" s="54"/>
      <c r="AA707">
        <f t="shared" si="127"/>
        <v>451</v>
      </c>
      <c r="AD707" t="str">
        <f t="shared" si="128"/>
        <v>306</v>
      </c>
      <c r="AE707">
        <f t="shared" si="129"/>
        <v>0</v>
      </c>
      <c r="AG707" s="50" t="str">
        <f t="shared" si="130"/>
        <v>ORDURES FRAIS DU PERSONNEL</v>
      </c>
      <c r="AH707" s="244" t="str">
        <f t="shared" si="131"/>
        <v>73000</v>
      </c>
      <c r="AI707" s="219"/>
      <c r="AJ707" s="219"/>
      <c r="AK707" s="219" t="str">
        <f t="shared" si="132"/>
        <v>3099</v>
      </c>
      <c r="AL707" s="244" t="str">
        <f t="shared" si="133"/>
        <v>00</v>
      </c>
      <c r="AN707" s="219" t="str">
        <f t="shared" si="134"/>
        <v>Autres charges du personnel</v>
      </c>
    </row>
    <row r="708" spans="1:40" ht="15" customHeight="1" x14ac:dyDescent="0.3">
      <c r="A708" s="48"/>
      <c r="B708" s="74" t="s">
        <v>1063</v>
      </c>
      <c r="C708" s="67" t="s">
        <v>1064</v>
      </c>
      <c r="D708" s="188" t="s">
        <v>1462</v>
      </c>
      <c r="E708" s="188" t="s">
        <v>175</v>
      </c>
      <c r="F708" s="182">
        <v>451</v>
      </c>
      <c r="G708" s="188" t="s">
        <v>22</v>
      </c>
      <c r="H708" s="188"/>
      <c r="I708" s="51"/>
      <c r="J708" s="51"/>
      <c r="K708" s="51"/>
      <c r="L708" s="51"/>
      <c r="M708" s="51"/>
      <c r="N708" s="51">
        <f t="shared" si="139"/>
        <v>0</v>
      </c>
      <c r="O708" s="51"/>
      <c r="P708" s="179" t="s">
        <v>1619</v>
      </c>
      <c r="Q708" s="179" t="s">
        <v>1382</v>
      </c>
      <c r="R708" s="179" t="s">
        <v>2131</v>
      </c>
      <c r="S708" s="52" t="s">
        <v>1383</v>
      </c>
      <c r="T708" s="54"/>
      <c r="U708" s="54"/>
      <c r="AA708">
        <f t="shared" ref="AA708:AA771" si="140">+F708</f>
        <v>451</v>
      </c>
      <c r="AD708" t="str">
        <f t="shared" ref="AD708:AD771" si="141">+G708</f>
        <v>306</v>
      </c>
      <c r="AE708">
        <f t="shared" ref="AE708:AE771" si="142">+H708</f>
        <v>0</v>
      </c>
      <c r="AG708" s="50" t="str">
        <f t="shared" ref="AG708:AG771" si="143">+C708</f>
        <v>ORDURES FRAIS DU PERSONNEL</v>
      </c>
      <c r="AH708" s="244" t="str">
        <f t="shared" ref="AH708:AH771" si="144">+P708</f>
        <v>73000</v>
      </c>
      <c r="AI708" s="219"/>
      <c r="AJ708" s="219"/>
      <c r="AK708" s="219" t="str">
        <f t="shared" ref="AK708:AK771" si="145">+Q708</f>
        <v>3049</v>
      </c>
      <c r="AL708" s="244" t="str">
        <f t="shared" ref="AL708:AL771" si="146">+R708</f>
        <v>00</v>
      </c>
      <c r="AN708" s="219" t="str">
        <f t="shared" ref="AN708:AN771" si="147">+S708</f>
        <v>Autres indemnités forfaitaires - natels</v>
      </c>
    </row>
    <row r="709" spans="1:40" ht="15" customHeight="1" x14ac:dyDescent="0.3">
      <c r="A709" s="48"/>
      <c r="B709" s="74" t="s">
        <v>1063</v>
      </c>
      <c r="C709" s="67" t="s">
        <v>1064</v>
      </c>
      <c r="D709" s="188" t="s">
        <v>1462</v>
      </c>
      <c r="E709" s="188" t="s">
        <v>175</v>
      </c>
      <c r="F709" s="182">
        <v>451</v>
      </c>
      <c r="G709" s="188" t="s">
        <v>22</v>
      </c>
      <c r="H709" s="188"/>
      <c r="I709" s="51"/>
      <c r="J709" s="51"/>
      <c r="K709" s="51"/>
      <c r="L709" s="51"/>
      <c r="M709" s="51"/>
      <c r="N709" s="51">
        <f t="shared" si="139"/>
        <v>0</v>
      </c>
      <c r="O709" s="51"/>
      <c r="P709" s="179" t="s">
        <v>1619</v>
      </c>
      <c r="Q709" s="179" t="s">
        <v>1393</v>
      </c>
      <c r="R709" s="179" t="s">
        <v>2131</v>
      </c>
      <c r="S709" s="52" t="s">
        <v>2073</v>
      </c>
      <c r="T709" s="54"/>
      <c r="U709" s="54"/>
      <c r="AA709">
        <f t="shared" si="140"/>
        <v>451</v>
      </c>
      <c r="AD709" t="str">
        <f t="shared" si="141"/>
        <v>306</v>
      </c>
      <c r="AE709">
        <f t="shared" si="142"/>
        <v>0</v>
      </c>
      <c r="AG709" s="50" t="str">
        <f t="shared" si="143"/>
        <v>ORDURES FRAIS DU PERSONNEL</v>
      </c>
      <c r="AH709" s="244" t="str">
        <f t="shared" si="144"/>
        <v>73000</v>
      </c>
      <c r="AI709" s="219"/>
      <c r="AJ709" s="219"/>
      <c r="AK709" s="219" t="str">
        <f t="shared" si="145"/>
        <v>3170</v>
      </c>
      <c r="AL709" s="244" t="str">
        <f t="shared" si="146"/>
        <v>00</v>
      </c>
      <c r="AN709" s="219" t="str">
        <f t="shared" si="147"/>
        <v>Remboursements de frais effectifs km</v>
      </c>
    </row>
    <row r="710" spans="1:40" ht="15" customHeight="1" x14ac:dyDescent="0.3">
      <c r="A710" s="48"/>
      <c r="B710" s="74" t="s">
        <v>1063</v>
      </c>
      <c r="C710" s="67" t="s">
        <v>1064</v>
      </c>
      <c r="D710" s="188" t="s">
        <v>1462</v>
      </c>
      <c r="E710" s="46"/>
      <c r="F710" s="182">
        <v>451</v>
      </c>
      <c r="G710" s="188" t="s">
        <v>22</v>
      </c>
      <c r="H710" s="46"/>
      <c r="I710" s="51"/>
      <c r="J710" s="51"/>
      <c r="K710" s="51"/>
      <c r="L710" s="51"/>
      <c r="M710" s="51"/>
      <c r="N710" s="51">
        <f t="shared" si="139"/>
        <v>0</v>
      </c>
      <c r="O710" s="51"/>
      <c r="P710" s="179" t="s">
        <v>1619</v>
      </c>
      <c r="Q710" s="179" t="s">
        <v>1368</v>
      </c>
      <c r="R710" s="179" t="s">
        <v>2131</v>
      </c>
      <c r="S710" s="47" t="s">
        <v>1392</v>
      </c>
      <c r="T710" s="54"/>
      <c r="U710" s="54"/>
      <c r="AA710">
        <f t="shared" si="140"/>
        <v>451</v>
      </c>
      <c r="AD710" t="str">
        <f t="shared" si="141"/>
        <v>306</v>
      </c>
      <c r="AE710">
        <f t="shared" si="142"/>
        <v>0</v>
      </c>
      <c r="AG710" s="50" t="str">
        <f t="shared" si="143"/>
        <v>ORDURES FRAIS DU PERSONNEL</v>
      </c>
      <c r="AH710" s="244" t="str">
        <f t="shared" si="144"/>
        <v>73000</v>
      </c>
      <c r="AI710" s="219"/>
      <c r="AJ710" s="219"/>
      <c r="AK710" s="219" t="str">
        <f t="shared" si="145"/>
        <v>3090</v>
      </c>
      <c r="AL710" s="244" t="str">
        <f t="shared" si="146"/>
        <v>00</v>
      </c>
      <c r="AN710" s="219" t="str">
        <f t="shared" si="147"/>
        <v>Formation et perfectionnement</v>
      </c>
    </row>
    <row r="711" spans="1:40" ht="15" customHeight="1" x14ac:dyDescent="0.3">
      <c r="A711" s="48"/>
      <c r="B711" s="74" t="s">
        <v>1063</v>
      </c>
      <c r="C711" s="67" t="s">
        <v>1064</v>
      </c>
      <c r="D711" s="188" t="s">
        <v>1462</v>
      </c>
      <c r="E711" s="46"/>
      <c r="F711" s="182">
        <v>451</v>
      </c>
      <c r="G711" s="188" t="s">
        <v>22</v>
      </c>
      <c r="H711" s="46"/>
      <c r="I711" s="51"/>
      <c r="J711" s="51"/>
      <c r="K711" s="51"/>
      <c r="L711" s="51"/>
      <c r="M711" s="51"/>
      <c r="N711" s="51">
        <f t="shared" si="139"/>
        <v>0</v>
      </c>
      <c r="O711" s="51"/>
      <c r="P711" s="179" t="s">
        <v>1619</v>
      </c>
      <c r="Q711" s="179" t="s">
        <v>1540</v>
      </c>
      <c r="R711" s="179" t="s">
        <v>2131</v>
      </c>
      <c r="S711" s="52" t="s">
        <v>1543</v>
      </c>
      <c r="T711" s="54"/>
      <c r="U711" s="54"/>
      <c r="AA711">
        <f t="shared" si="140"/>
        <v>451</v>
      </c>
      <c r="AD711" t="str">
        <f t="shared" si="141"/>
        <v>306</v>
      </c>
      <c r="AE711">
        <f t="shared" si="142"/>
        <v>0</v>
      </c>
      <c r="AG711" s="50" t="str">
        <f t="shared" si="143"/>
        <v>ORDURES FRAIS DU PERSONNEL</v>
      </c>
      <c r="AH711" s="244" t="str">
        <f t="shared" si="144"/>
        <v>73000</v>
      </c>
      <c r="AI711" s="219"/>
      <c r="AJ711" s="219"/>
      <c r="AK711" s="219" t="str">
        <f t="shared" si="145"/>
        <v>3091</v>
      </c>
      <c r="AL711" s="244" t="str">
        <f t="shared" si="146"/>
        <v>00</v>
      </c>
      <c r="AN711" s="219" t="str">
        <f t="shared" si="147"/>
        <v>Recrutement</v>
      </c>
    </row>
    <row r="712" spans="1:40" ht="15" customHeight="1" x14ac:dyDescent="0.3">
      <c r="A712" s="48">
        <v>0</v>
      </c>
      <c r="B712" s="49" t="s">
        <v>1065</v>
      </c>
      <c r="C712" s="50" t="s">
        <v>1066</v>
      </c>
      <c r="D712" s="46" t="s">
        <v>1462</v>
      </c>
      <c r="E712" s="46" t="s">
        <v>175</v>
      </c>
      <c r="F712" s="182">
        <v>451</v>
      </c>
      <c r="G712" s="46" t="s">
        <v>81</v>
      </c>
      <c r="H712" s="46"/>
      <c r="I712" s="51">
        <v>333.2</v>
      </c>
      <c r="J712" s="51">
        <v>0</v>
      </c>
      <c r="K712" s="51">
        <f t="shared" ref="K712:K738" si="148">+I712+J712</f>
        <v>333.2</v>
      </c>
      <c r="L712" s="51">
        <v>0</v>
      </c>
      <c r="M712" s="51">
        <v>0</v>
      </c>
      <c r="N712" s="51">
        <f t="shared" si="139"/>
        <v>0</v>
      </c>
      <c r="O712" s="51">
        <v>0</v>
      </c>
      <c r="P712" s="179" t="s">
        <v>1619</v>
      </c>
      <c r="Q712" s="179" t="s">
        <v>1368</v>
      </c>
      <c r="R712" s="179" t="s">
        <v>2131</v>
      </c>
      <c r="S712" s="47" t="s">
        <v>1392</v>
      </c>
      <c r="T712" s="54">
        <f>+I712</f>
        <v>333.2</v>
      </c>
      <c r="U712" s="54"/>
      <c r="AA712">
        <f t="shared" si="140"/>
        <v>451</v>
      </c>
      <c r="AD712" t="str">
        <f t="shared" si="141"/>
        <v>309</v>
      </c>
      <c r="AE712">
        <f t="shared" si="142"/>
        <v>0</v>
      </c>
      <c r="AG712" s="50" t="str">
        <f t="shared" si="143"/>
        <v>ORDURES COURS DE FORMATION</v>
      </c>
      <c r="AH712" s="244" t="str">
        <f t="shared" si="144"/>
        <v>73000</v>
      </c>
      <c r="AI712" s="219"/>
      <c r="AJ712" s="219"/>
      <c r="AK712" s="219" t="str">
        <f t="shared" si="145"/>
        <v>3090</v>
      </c>
      <c r="AL712" s="244" t="str">
        <f t="shared" si="146"/>
        <v>00</v>
      </c>
      <c r="AN712" s="219" t="str">
        <f t="shared" si="147"/>
        <v>Formation et perfectionnement</v>
      </c>
    </row>
    <row r="713" spans="1:40" ht="15" customHeight="1" x14ac:dyDescent="0.3">
      <c r="A713" s="48">
        <v>0</v>
      </c>
      <c r="B713" s="49" t="s">
        <v>1067</v>
      </c>
      <c r="C713" s="50" t="s">
        <v>1068</v>
      </c>
      <c r="D713" s="46" t="s">
        <v>1462</v>
      </c>
      <c r="E713" s="46" t="s">
        <v>175</v>
      </c>
      <c r="F713" s="182">
        <v>451</v>
      </c>
      <c r="G713" s="46" t="s">
        <v>25</v>
      </c>
      <c r="H713" s="46"/>
      <c r="I713" s="51">
        <v>1275.3699999999999</v>
      </c>
      <c r="J713" s="51">
        <v>0</v>
      </c>
      <c r="K713" s="51">
        <f t="shared" si="148"/>
        <v>1275.3699999999999</v>
      </c>
      <c r="L713" s="51">
        <v>2500</v>
      </c>
      <c r="M713" s="51">
        <v>0</v>
      </c>
      <c r="N713" s="51">
        <f t="shared" si="139"/>
        <v>2500</v>
      </c>
      <c r="O713" s="51">
        <v>0</v>
      </c>
      <c r="P713" s="179" t="s">
        <v>1619</v>
      </c>
      <c r="Q713" s="179" t="s">
        <v>1678</v>
      </c>
      <c r="R713" s="179" t="s">
        <v>2131</v>
      </c>
      <c r="S713" s="47" t="s">
        <v>2028</v>
      </c>
      <c r="T713" s="54">
        <f>+I713</f>
        <v>1275.3699999999999</v>
      </c>
      <c r="U713" s="54"/>
      <c r="AA713">
        <f t="shared" si="140"/>
        <v>451</v>
      </c>
      <c r="AD713" t="str">
        <f t="shared" si="141"/>
        <v>311</v>
      </c>
      <c r="AE713">
        <f t="shared" si="142"/>
        <v>0</v>
      </c>
      <c r="AG713" s="50" t="str">
        <f t="shared" si="143"/>
        <v>ORDURES Achat matériel déchèterie+éco-points</v>
      </c>
      <c r="AH713" s="244" t="str">
        <f t="shared" si="144"/>
        <v>73000</v>
      </c>
      <c r="AI713" s="219"/>
      <c r="AJ713" s="219"/>
      <c r="AK713" s="219" t="str">
        <f t="shared" si="145"/>
        <v>3144</v>
      </c>
      <c r="AL713" s="244" t="str">
        <f t="shared" si="146"/>
        <v>00</v>
      </c>
      <c r="AN713" s="219" t="str">
        <f t="shared" si="147"/>
        <v>Entretien des bâtiments, immeubles PA - Déchetterie et Eco-points</v>
      </c>
    </row>
    <row r="714" spans="1:40" ht="15" customHeight="1" x14ac:dyDescent="0.3">
      <c r="A714" s="48">
        <v>0</v>
      </c>
      <c r="B714" s="49" t="s">
        <v>1069</v>
      </c>
      <c r="C714" s="50" t="s">
        <v>1070</v>
      </c>
      <c r="D714" s="46" t="s">
        <v>1462</v>
      </c>
      <c r="E714" s="46" t="s">
        <v>175</v>
      </c>
      <c r="F714" s="182">
        <v>451</v>
      </c>
      <c r="G714" s="46" t="s">
        <v>159</v>
      </c>
      <c r="H714" s="46"/>
      <c r="I714" s="51">
        <v>1365.68</v>
      </c>
      <c r="J714" s="51">
        <v>0</v>
      </c>
      <c r="K714" s="51">
        <f t="shared" si="148"/>
        <v>1365.68</v>
      </c>
      <c r="L714" s="51">
        <v>1600</v>
      </c>
      <c r="M714" s="51">
        <v>0</v>
      </c>
      <c r="N714" s="51">
        <f t="shared" si="139"/>
        <v>1600</v>
      </c>
      <c r="O714" s="51">
        <v>158.33000000000001</v>
      </c>
      <c r="P714" s="179" t="s">
        <v>1619</v>
      </c>
      <c r="Q714" s="179" t="s">
        <v>1500</v>
      </c>
      <c r="R714" s="179" t="s">
        <v>2132</v>
      </c>
      <c r="S714" s="55" t="s">
        <v>1502</v>
      </c>
      <c r="T714" s="54">
        <f>+I714</f>
        <v>1365.68</v>
      </c>
      <c r="U714" s="54"/>
      <c r="AA714">
        <f t="shared" si="140"/>
        <v>451</v>
      </c>
      <c r="AD714" t="str">
        <f t="shared" si="141"/>
        <v>312</v>
      </c>
      <c r="AE714">
        <f t="shared" si="142"/>
        <v>0</v>
      </c>
      <c r="AG714" s="50" t="str">
        <f t="shared" si="143"/>
        <v>ORDURES Achat énergie et électricité</v>
      </c>
      <c r="AH714" s="244" t="str">
        <f t="shared" si="144"/>
        <v>73000</v>
      </c>
      <c r="AI714" s="219"/>
      <c r="AJ714" s="219"/>
      <c r="AK714" s="219" t="str">
        <f t="shared" si="145"/>
        <v>3120</v>
      </c>
      <c r="AL714" s="244" t="str">
        <f t="shared" si="146"/>
        <v>01</v>
      </c>
      <c r="AN714" s="219" t="str">
        <f t="shared" si="147"/>
        <v>Frais d'électricité</v>
      </c>
    </row>
    <row r="715" spans="1:40" ht="15" customHeight="1" x14ac:dyDescent="0.3">
      <c r="A715" s="48">
        <v>0</v>
      </c>
      <c r="B715" s="49" t="s">
        <v>1071</v>
      </c>
      <c r="C715" s="50" t="s">
        <v>1072</v>
      </c>
      <c r="D715" s="46" t="s">
        <v>1462</v>
      </c>
      <c r="E715" s="46" t="s">
        <v>175</v>
      </c>
      <c r="F715" s="182">
        <v>451</v>
      </c>
      <c r="G715" s="46" t="s">
        <v>131</v>
      </c>
      <c r="H715" s="46"/>
      <c r="I715" s="51">
        <v>0</v>
      </c>
      <c r="J715" s="51">
        <v>0</v>
      </c>
      <c r="K715" s="51">
        <f t="shared" si="148"/>
        <v>0</v>
      </c>
      <c r="L715" s="51">
        <v>5000</v>
      </c>
      <c r="M715" s="51">
        <v>0</v>
      </c>
      <c r="N715" s="51">
        <f t="shared" si="139"/>
        <v>5000</v>
      </c>
      <c r="O715" s="51">
        <v>688.07</v>
      </c>
      <c r="P715" s="179" t="s">
        <v>1619</v>
      </c>
      <c r="Q715" s="179" t="s">
        <v>1678</v>
      </c>
      <c r="R715" s="179" t="s">
        <v>2131</v>
      </c>
      <c r="S715" s="47" t="s">
        <v>2028</v>
      </c>
      <c r="T715" s="54"/>
      <c r="U715" s="54"/>
      <c r="AA715">
        <f t="shared" si="140"/>
        <v>451</v>
      </c>
      <c r="AD715" t="str">
        <f t="shared" si="141"/>
        <v>314</v>
      </c>
      <c r="AE715">
        <f t="shared" si="142"/>
        <v>0</v>
      </c>
      <c r="AG715" s="50" t="str">
        <f t="shared" si="143"/>
        <v>ORDURES Entretien, matériel et produits entretien</v>
      </c>
      <c r="AH715" s="244" t="str">
        <f t="shared" si="144"/>
        <v>73000</v>
      </c>
      <c r="AI715" s="219"/>
      <c r="AJ715" s="219"/>
      <c r="AK715" s="219" t="str">
        <f t="shared" si="145"/>
        <v>3144</v>
      </c>
      <c r="AL715" s="244" t="str">
        <f t="shared" si="146"/>
        <v>00</v>
      </c>
      <c r="AN715" s="219" t="str">
        <f t="shared" si="147"/>
        <v>Entretien des bâtiments, immeubles PA - Déchetterie et Eco-points</v>
      </c>
    </row>
    <row r="716" spans="1:40" ht="15" customHeight="1" x14ac:dyDescent="0.3">
      <c r="A716" s="48">
        <v>0</v>
      </c>
      <c r="B716" s="49" t="s">
        <v>1073</v>
      </c>
      <c r="C716" s="50" t="s">
        <v>1074</v>
      </c>
      <c r="D716" s="46" t="s">
        <v>1462</v>
      </c>
      <c r="E716" s="46" t="s">
        <v>175</v>
      </c>
      <c r="F716" s="182">
        <v>451</v>
      </c>
      <c r="G716" s="46" t="s">
        <v>1075</v>
      </c>
      <c r="H716" s="46"/>
      <c r="I716" s="51">
        <v>12000</v>
      </c>
      <c r="J716" s="51">
        <v>0</v>
      </c>
      <c r="K716" s="51">
        <f t="shared" si="148"/>
        <v>12000</v>
      </c>
      <c r="L716" s="51">
        <v>12000</v>
      </c>
      <c r="M716" s="51">
        <v>0</v>
      </c>
      <c r="N716" s="51">
        <f t="shared" si="139"/>
        <v>12000</v>
      </c>
      <c r="O716" s="51">
        <v>12000</v>
      </c>
      <c r="P716" s="179" t="s">
        <v>1619</v>
      </c>
      <c r="Q716" s="179" t="s">
        <v>1679</v>
      </c>
      <c r="R716" s="179" t="s">
        <v>2131</v>
      </c>
      <c r="S716" s="47" t="s">
        <v>1680</v>
      </c>
      <c r="T716" s="54">
        <f>+I716</f>
        <v>12000</v>
      </c>
      <c r="U716" s="54"/>
      <c r="AA716">
        <f t="shared" si="140"/>
        <v>451</v>
      </c>
      <c r="AD716" t="str">
        <f t="shared" si="141"/>
        <v>316</v>
      </c>
      <c r="AE716">
        <f t="shared" si="142"/>
        <v>0</v>
      </c>
      <c r="AG716" s="50" t="str">
        <f t="shared" si="143"/>
        <v>ORDURES Location Droit de superficie (non somis à TVA)</v>
      </c>
      <c r="AH716" s="244" t="str">
        <f t="shared" si="144"/>
        <v>73000</v>
      </c>
      <c r="AI716" s="219"/>
      <c r="AJ716" s="219"/>
      <c r="AK716" s="219" t="str">
        <f t="shared" si="145"/>
        <v>3160</v>
      </c>
      <c r="AL716" s="244" t="str">
        <f t="shared" si="146"/>
        <v>00</v>
      </c>
      <c r="AN716" s="219" t="str">
        <f t="shared" si="147"/>
        <v>Loyers et baux à ferme des biens-fonds</v>
      </c>
    </row>
    <row r="717" spans="1:40" ht="15" customHeight="1" x14ac:dyDescent="0.3">
      <c r="A717" s="48"/>
      <c r="B717" s="49"/>
      <c r="C717" s="50"/>
      <c r="D717" s="46"/>
      <c r="E717" s="46"/>
      <c r="F717" s="46"/>
      <c r="G717" s="46"/>
      <c r="H717" s="46"/>
      <c r="I717" s="51">
        <v>0</v>
      </c>
      <c r="J717" s="51">
        <v>0</v>
      </c>
      <c r="K717" s="51">
        <f t="shared" si="148"/>
        <v>0</v>
      </c>
      <c r="L717" s="51">
        <v>0</v>
      </c>
      <c r="M717" s="51">
        <v>0</v>
      </c>
      <c r="N717" s="51">
        <f t="shared" si="139"/>
        <v>0</v>
      </c>
      <c r="O717" s="51"/>
      <c r="P717" s="179" t="s">
        <v>1619</v>
      </c>
      <c r="Q717" s="179" t="s">
        <v>1681</v>
      </c>
      <c r="R717" s="179" t="s">
        <v>2131</v>
      </c>
      <c r="S717" s="47" t="s">
        <v>1682</v>
      </c>
      <c r="T717" s="54"/>
      <c r="U717" s="54"/>
      <c r="W717" t="s">
        <v>1683</v>
      </c>
      <c r="AA717">
        <f t="shared" si="140"/>
        <v>0</v>
      </c>
      <c r="AD717">
        <f t="shared" si="141"/>
        <v>0</v>
      </c>
      <c r="AE717">
        <f t="shared" si="142"/>
        <v>0</v>
      </c>
      <c r="AG717" s="50">
        <f t="shared" si="143"/>
        <v>0</v>
      </c>
      <c r="AH717" s="244" t="str">
        <f t="shared" si="144"/>
        <v>73000</v>
      </c>
      <c r="AI717" s="219"/>
      <c r="AJ717" s="219"/>
      <c r="AK717" s="219" t="str">
        <f t="shared" si="145"/>
        <v>3181</v>
      </c>
      <c r="AL717" s="244" t="str">
        <f t="shared" si="146"/>
        <v>00</v>
      </c>
      <c r="AN717" s="219" t="str">
        <f t="shared" si="147"/>
        <v>Pertes sur créances effectives</v>
      </c>
    </row>
    <row r="718" spans="1:40" ht="15" customHeight="1" x14ac:dyDescent="0.3">
      <c r="A718" s="48">
        <v>0</v>
      </c>
      <c r="B718" s="49" t="s">
        <v>1078</v>
      </c>
      <c r="C718" s="50" t="s">
        <v>1079</v>
      </c>
      <c r="D718" s="46" t="s">
        <v>1462</v>
      </c>
      <c r="E718" s="46" t="s">
        <v>175</v>
      </c>
      <c r="F718" s="46">
        <v>451</v>
      </c>
      <c r="G718" s="46" t="s">
        <v>48</v>
      </c>
      <c r="H718" s="46">
        <v>0</v>
      </c>
      <c r="I718" s="51">
        <v>362.9</v>
      </c>
      <c r="J718" s="51">
        <v>0</v>
      </c>
      <c r="K718" s="51">
        <f t="shared" si="148"/>
        <v>362.9</v>
      </c>
      <c r="L718" s="51">
        <v>370</v>
      </c>
      <c r="M718" s="51">
        <v>0</v>
      </c>
      <c r="N718" s="51">
        <f t="shared" si="139"/>
        <v>370</v>
      </c>
      <c r="O718" s="51">
        <v>366.65</v>
      </c>
      <c r="P718" s="179" t="s">
        <v>1619</v>
      </c>
      <c r="Q718" s="179" t="s">
        <v>1418</v>
      </c>
      <c r="R718" s="179" t="s">
        <v>2131</v>
      </c>
      <c r="S718" s="47" t="s">
        <v>2091</v>
      </c>
      <c r="T718" s="54">
        <f>+I718</f>
        <v>362.9</v>
      </c>
      <c r="U718" s="54"/>
      <c r="AA718">
        <f t="shared" si="140"/>
        <v>451</v>
      </c>
      <c r="AD718" t="str">
        <f t="shared" si="141"/>
        <v>318</v>
      </c>
      <c r="AE718">
        <f t="shared" si="142"/>
        <v>0</v>
      </c>
      <c r="AG718" s="50" t="str">
        <f t="shared" si="143"/>
        <v>ORDURES Centre de Tri Assurance ECA</v>
      </c>
      <c r="AH718" s="244" t="str">
        <f t="shared" si="144"/>
        <v>73000</v>
      </c>
      <c r="AI718" s="219"/>
      <c r="AJ718" s="219"/>
      <c r="AK718" s="219" t="str">
        <f t="shared" si="145"/>
        <v>3134</v>
      </c>
      <c r="AL718" s="244" t="str">
        <f t="shared" si="146"/>
        <v>00</v>
      </c>
      <c r="AN718" s="219" t="str">
        <f t="shared" si="147"/>
        <v>Frais assurances</v>
      </c>
    </row>
    <row r="719" spans="1:40" ht="15" customHeight="1" x14ac:dyDescent="0.3">
      <c r="A719" s="48">
        <v>0</v>
      </c>
      <c r="B719" s="49" t="s">
        <v>1086</v>
      </c>
      <c r="C719" s="50" t="s">
        <v>1087</v>
      </c>
      <c r="D719" s="46" t="s">
        <v>1462</v>
      </c>
      <c r="E719" s="46" t="s">
        <v>175</v>
      </c>
      <c r="F719" s="46">
        <v>451</v>
      </c>
      <c r="G719" s="46" t="s">
        <v>48</v>
      </c>
      <c r="H719" s="46">
        <v>4</v>
      </c>
      <c r="I719" s="51">
        <v>0</v>
      </c>
      <c r="J719" s="51">
        <v>0</v>
      </c>
      <c r="K719" s="51">
        <f t="shared" si="148"/>
        <v>0</v>
      </c>
      <c r="L719" s="51">
        <v>0</v>
      </c>
      <c r="M719" s="51">
        <v>0</v>
      </c>
      <c r="N719" s="51">
        <f t="shared" si="139"/>
        <v>0</v>
      </c>
      <c r="O719" s="51">
        <v>3248</v>
      </c>
      <c r="P719" s="179" t="s">
        <v>1619</v>
      </c>
      <c r="Q719" s="179" t="s">
        <v>1397</v>
      </c>
      <c r="R719" s="179" t="s">
        <v>2131</v>
      </c>
      <c r="S719" s="47" t="s">
        <v>2129</v>
      </c>
      <c r="T719" s="54"/>
      <c r="U719" s="54"/>
      <c r="AA719">
        <f t="shared" si="140"/>
        <v>451</v>
      </c>
      <c r="AD719" t="str">
        <f t="shared" si="141"/>
        <v>318</v>
      </c>
      <c r="AE719">
        <f t="shared" si="142"/>
        <v>4</v>
      </c>
      <c r="AG719" s="50" t="str">
        <f t="shared" si="143"/>
        <v>ORDURES Informations et actions spécifiques</v>
      </c>
      <c r="AH719" s="244" t="str">
        <f t="shared" si="144"/>
        <v>73000</v>
      </c>
      <c r="AI719" s="219"/>
      <c r="AJ719" s="219"/>
      <c r="AK719" s="219" t="str">
        <f t="shared" si="145"/>
        <v>3132</v>
      </c>
      <c r="AL719" s="244" t="str">
        <f t="shared" si="146"/>
        <v>00</v>
      </c>
      <c r="AN719" s="219" t="str">
        <f t="shared" si="147"/>
        <v>Honoraires conseils externes, spécialistes</v>
      </c>
    </row>
    <row r="720" spans="1:40" ht="15" customHeight="1" x14ac:dyDescent="0.3">
      <c r="A720" s="48">
        <v>0</v>
      </c>
      <c r="B720" s="49" t="s">
        <v>1088</v>
      </c>
      <c r="C720" s="50" t="s">
        <v>1089</v>
      </c>
      <c r="D720" s="46" t="s">
        <v>1462</v>
      </c>
      <c r="E720" s="46" t="s">
        <v>175</v>
      </c>
      <c r="F720" s="46">
        <v>451</v>
      </c>
      <c r="G720" s="46" t="s">
        <v>93</v>
      </c>
      <c r="H720" s="46"/>
      <c r="I720" s="51">
        <v>0</v>
      </c>
      <c r="J720" s="51">
        <v>0</v>
      </c>
      <c r="K720" s="51">
        <f t="shared" si="148"/>
        <v>0</v>
      </c>
      <c r="L720" s="51">
        <v>0</v>
      </c>
      <c r="M720" s="51">
        <v>0</v>
      </c>
      <c r="N720" s="51">
        <f t="shared" si="139"/>
        <v>0</v>
      </c>
      <c r="O720" s="51">
        <v>0</v>
      </c>
      <c r="P720" s="179" t="s">
        <v>1489</v>
      </c>
      <c r="Q720" s="179" t="s">
        <v>1489</v>
      </c>
      <c r="R720" s="179" t="s">
        <v>1489</v>
      </c>
      <c r="S720" s="47" t="s">
        <v>1489</v>
      </c>
      <c r="T720" s="54"/>
      <c r="U720" s="54"/>
      <c r="AA720">
        <f t="shared" si="140"/>
        <v>451</v>
      </c>
      <c r="AD720" t="str">
        <f t="shared" si="141"/>
        <v>319</v>
      </c>
      <c r="AE720">
        <f t="shared" si="142"/>
        <v>0</v>
      </c>
      <c r="AG720" s="50" t="str">
        <f t="shared" si="143"/>
        <v>ORDURES TVA + REDIP s/TVA Taxe EM</v>
      </c>
      <c r="AH720" s="244" t="str">
        <f t="shared" si="144"/>
        <v>-</v>
      </c>
      <c r="AI720" s="219"/>
      <c r="AJ720" s="219"/>
      <c r="AK720" s="219" t="str">
        <f t="shared" si="145"/>
        <v>-</v>
      </c>
      <c r="AL720" s="244" t="str">
        <f t="shared" si="146"/>
        <v>-</v>
      </c>
      <c r="AN720" s="219" t="str">
        <f t="shared" si="147"/>
        <v>-</v>
      </c>
    </row>
    <row r="721" spans="1:40" ht="15" customHeight="1" x14ac:dyDescent="0.3">
      <c r="A721" s="48">
        <v>0</v>
      </c>
      <c r="B721" s="49" t="s">
        <v>1090</v>
      </c>
      <c r="C721" s="50" t="s">
        <v>1091</v>
      </c>
      <c r="D721" s="46" t="s">
        <v>1462</v>
      </c>
      <c r="E721" s="46" t="s">
        <v>175</v>
      </c>
      <c r="F721" s="46">
        <v>451</v>
      </c>
      <c r="G721" s="46" t="s">
        <v>138</v>
      </c>
      <c r="H721" s="46"/>
      <c r="I721" s="51">
        <v>0</v>
      </c>
      <c r="J721" s="51">
        <v>0</v>
      </c>
      <c r="K721" s="51">
        <f t="shared" si="148"/>
        <v>0</v>
      </c>
      <c r="L721" s="51">
        <v>0</v>
      </c>
      <c r="M721" s="51">
        <v>0</v>
      </c>
      <c r="N721" s="51">
        <f t="shared" si="139"/>
        <v>0</v>
      </c>
      <c r="O721" s="51">
        <v>0</v>
      </c>
      <c r="P721" s="179" t="s">
        <v>1489</v>
      </c>
      <c r="Q721" s="179" t="s">
        <v>1489</v>
      </c>
      <c r="R721" s="179" t="s">
        <v>1489</v>
      </c>
      <c r="S721" s="47" t="s">
        <v>1489</v>
      </c>
      <c r="T721" s="54"/>
      <c r="U721" s="54"/>
      <c r="AA721">
        <f t="shared" si="140"/>
        <v>451</v>
      </c>
      <c r="AD721" t="str">
        <f t="shared" si="141"/>
        <v>381</v>
      </c>
      <c r="AE721">
        <f t="shared" si="142"/>
        <v>0</v>
      </c>
      <c r="AG721" s="50" t="str">
        <f t="shared" si="143"/>
        <v>Attribution financements spéciaux déchets</v>
      </c>
      <c r="AH721" s="244" t="str">
        <f t="shared" si="144"/>
        <v>-</v>
      </c>
      <c r="AI721" s="219"/>
      <c r="AJ721" s="219"/>
      <c r="AK721" s="219" t="str">
        <f t="shared" si="145"/>
        <v>-</v>
      </c>
      <c r="AL721" s="244" t="str">
        <f t="shared" si="146"/>
        <v>-</v>
      </c>
      <c r="AN721" s="219" t="str">
        <f t="shared" si="147"/>
        <v>-</v>
      </c>
    </row>
    <row r="722" spans="1:40" ht="15" customHeight="1" x14ac:dyDescent="0.3">
      <c r="A722" s="48">
        <v>0</v>
      </c>
      <c r="B722" s="49" t="s">
        <v>1092</v>
      </c>
      <c r="C722" s="50" t="s">
        <v>1093</v>
      </c>
      <c r="D722" s="46" t="s">
        <v>1462</v>
      </c>
      <c r="E722" s="46" t="s">
        <v>175</v>
      </c>
      <c r="F722" s="46">
        <v>451</v>
      </c>
      <c r="G722" s="46" t="s">
        <v>28</v>
      </c>
      <c r="H722" s="46"/>
      <c r="I722" s="51">
        <v>0</v>
      </c>
      <c r="J722" s="51">
        <v>0</v>
      </c>
      <c r="K722" s="51">
        <f t="shared" si="148"/>
        <v>0</v>
      </c>
      <c r="L722" s="51">
        <v>0</v>
      </c>
      <c r="M722" s="51">
        <v>0</v>
      </c>
      <c r="N722" s="51">
        <f t="shared" si="139"/>
        <v>0</v>
      </c>
      <c r="O722" s="51">
        <v>0</v>
      </c>
      <c r="P722" s="179" t="s">
        <v>1489</v>
      </c>
      <c r="Q722" s="179" t="s">
        <v>1489</v>
      </c>
      <c r="R722" s="179" t="s">
        <v>1489</v>
      </c>
      <c r="S722" s="47" t="s">
        <v>1489</v>
      </c>
      <c r="T722" s="54"/>
      <c r="U722" s="54"/>
      <c r="AA722">
        <f t="shared" si="140"/>
        <v>451</v>
      </c>
      <c r="AD722" t="str">
        <f t="shared" si="141"/>
        <v>390</v>
      </c>
      <c r="AE722">
        <f t="shared" si="142"/>
        <v>0</v>
      </c>
      <c r="AG722" s="50" t="str">
        <f t="shared" si="143"/>
        <v>ORDURES couverture des surcoûts 450</v>
      </c>
      <c r="AH722" s="244" t="str">
        <f t="shared" si="144"/>
        <v>-</v>
      </c>
      <c r="AI722" s="219"/>
      <c r="AJ722" s="219"/>
      <c r="AK722" s="219" t="str">
        <f t="shared" si="145"/>
        <v>-</v>
      </c>
      <c r="AL722" s="244" t="str">
        <f t="shared" si="146"/>
        <v>-</v>
      </c>
      <c r="AN722" s="219" t="str">
        <f t="shared" si="147"/>
        <v>-</v>
      </c>
    </row>
    <row r="723" spans="1:40" ht="15" customHeight="1" x14ac:dyDescent="0.3">
      <c r="A723" s="48">
        <v>0</v>
      </c>
      <c r="B723" s="49" t="s">
        <v>1094</v>
      </c>
      <c r="C723" s="50" t="s">
        <v>1095</v>
      </c>
      <c r="D723" s="46" t="s">
        <v>1462</v>
      </c>
      <c r="E723" s="46" t="s">
        <v>175</v>
      </c>
      <c r="F723" s="46">
        <v>451</v>
      </c>
      <c r="G723" s="46" t="s">
        <v>1096</v>
      </c>
      <c r="H723" s="46"/>
      <c r="I723" s="51">
        <v>0</v>
      </c>
      <c r="J723" s="51">
        <v>0</v>
      </c>
      <c r="K723" s="51">
        <f t="shared" si="148"/>
        <v>0</v>
      </c>
      <c r="L723" s="51">
        <v>0</v>
      </c>
      <c r="M723" s="51">
        <v>0</v>
      </c>
      <c r="N723" s="51">
        <f t="shared" si="139"/>
        <v>0</v>
      </c>
      <c r="O723" s="51">
        <v>0</v>
      </c>
      <c r="P723" s="179" t="s">
        <v>1489</v>
      </c>
      <c r="Q723" s="179" t="s">
        <v>1489</v>
      </c>
      <c r="R723" s="179" t="s">
        <v>1489</v>
      </c>
      <c r="S723" s="47" t="s">
        <v>1489</v>
      </c>
      <c r="T723" s="54"/>
      <c r="U723" s="54"/>
      <c r="AA723">
        <f t="shared" si="140"/>
        <v>451</v>
      </c>
      <c r="AD723" t="str">
        <f t="shared" si="141"/>
        <v>430</v>
      </c>
      <c r="AE723">
        <f t="shared" si="142"/>
        <v>0</v>
      </c>
      <c r="AG723" s="50" t="str">
        <f t="shared" si="143"/>
        <v>ORDURES  CHE-115.611.147 TVA taux normal</v>
      </c>
      <c r="AH723" s="244" t="str">
        <f t="shared" si="144"/>
        <v>-</v>
      </c>
      <c r="AI723" s="219"/>
      <c r="AJ723" s="219"/>
      <c r="AK723" s="219" t="str">
        <f t="shared" si="145"/>
        <v>-</v>
      </c>
      <c r="AL723" s="244" t="str">
        <f t="shared" si="146"/>
        <v>-</v>
      </c>
      <c r="AN723" s="219" t="str">
        <f t="shared" si="147"/>
        <v>-</v>
      </c>
    </row>
    <row r="724" spans="1:40" ht="15" customHeight="1" x14ac:dyDescent="0.3">
      <c r="A724" s="48">
        <v>0</v>
      </c>
      <c r="B724" s="49" t="s">
        <v>1097</v>
      </c>
      <c r="C724" s="50" t="s">
        <v>1098</v>
      </c>
      <c r="D724" s="46" t="s">
        <v>1462</v>
      </c>
      <c r="E724" s="46" t="s">
        <v>175</v>
      </c>
      <c r="F724" s="46">
        <v>451</v>
      </c>
      <c r="G724" s="46" t="s">
        <v>1096</v>
      </c>
      <c r="H724" s="46">
        <v>1</v>
      </c>
      <c r="I724" s="51">
        <v>0</v>
      </c>
      <c r="J724" s="51">
        <v>0</v>
      </c>
      <c r="K724" s="51">
        <f t="shared" si="148"/>
        <v>0</v>
      </c>
      <c r="L724" s="51">
        <v>0</v>
      </c>
      <c r="M724" s="51">
        <v>0</v>
      </c>
      <c r="N724" s="51">
        <f t="shared" si="139"/>
        <v>0</v>
      </c>
      <c r="O724" s="51">
        <v>0</v>
      </c>
      <c r="P724" s="179" t="s">
        <v>1489</v>
      </c>
      <c r="Q724" s="179" t="s">
        <v>1489</v>
      </c>
      <c r="R724" s="179" t="s">
        <v>1489</v>
      </c>
      <c r="S724" s="47" t="s">
        <v>1489</v>
      </c>
      <c r="T724" s="54"/>
      <c r="U724" s="54"/>
      <c r="AA724">
        <f t="shared" si="140"/>
        <v>451</v>
      </c>
      <c r="AD724" t="str">
        <f t="shared" si="141"/>
        <v>430</v>
      </c>
      <c r="AE724">
        <f t="shared" si="142"/>
        <v>1</v>
      </c>
      <c r="AG724" s="50" t="str">
        <f t="shared" si="143"/>
        <v>ORDURES  Aide sociale (interne)</v>
      </c>
      <c r="AH724" s="244" t="str">
        <f t="shared" si="144"/>
        <v>-</v>
      </c>
      <c r="AI724" s="219"/>
      <c r="AJ724" s="219"/>
      <c r="AK724" s="219" t="str">
        <f t="shared" si="145"/>
        <v>-</v>
      </c>
      <c r="AL724" s="244" t="str">
        <f t="shared" si="146"/>
        <v>-</v>
      </c>
      <c r="AN724" s="219" t="str">
        <f t="shared" si="147"/>
        <v>-</v>
      </c>
    </row>
    <row r="725" spans="1:40" ht="15" customHeight="1" x14ac:dyDescent="0.3">
      <c r="A725" s="48">
        <v>0</v>
      </c>
      <c r="B725" s="49" t="s">
        <v>1099</v>
      </c>
      <c r="C725" s="50" t="s">
        <v>1100</v>
      </c>
      <c r="D725" s="46" t="s">
        <v>1462</v>
      </c>
      <c r="E725" s="46" t="s">
        <v>175</v>
      </c>
      <c r="F725" s="46">
        <v>451</v>
      </c>
      <c r="G725" s="46" t="s">
        <v>108</v>
      </c>
      <c r="H725" s="46"/>
      <c r="I725" s="51">
        <v>0</v>
      </c>
      <c r="J725" s="51">
        <v>0</v>
      </c>
      <c r="K725" s="51">
        <f t="shared" si="148"/>
        <v>0</v>
      </c>
      <c r="L725" s="51">
        <v>0</v>
      </c>
      <c r="M725" s="51">
        <v>0</v>
      </c>
      <c r="N725" s="51">
        <f t="shared" si="139"/>
        <v>0</v>
      </c>
      <c r="O725" s="51">
        <v>-148</v>
      </c>
      <c r="P725" s="179" t="s">
        <v>1619</v>
      </c>
      <c r="Q725" s="179" t="s">
        <v>2126</v>
      </c>
      <c r="R725" s="179" t="s">
        <v>2131</v>
      </c>
      <c r="S725" s="47" t="s">
        <v>2127</v>
      </c>
      <c r="T725" s="54"/>
      <c r="U725" s="54"/>
      <c r="AA725">
        <f t="shared" si="140"/>
        <v>451</v>
      </c>
      <c r="AD725" t="str">
        <f t="shared" si="141"/>
        <v>431</v>
      </c>
      <c r="AE725">
        <f t="shared" si="142"/>
        <v>0</v>
      </c>
      <c r="AG725" s="50" t="str">
        <f t="shared" si="143"/>
        <v>CARTES CENTRE DE TRI</v>
      </c>
      <c r="AH725" s="244" t="str">
        <f t="shared" si="144"/>
        <v>73000</v>
      </c>
      <c r="AI725" s="219"/>
      <c r="AJ725" s="219"/>
      <c r="AK725" s="219" t="str">
        <f t="shared" si="145"/>
        <v>4309</v>
      </c>
      <c r="AL725" s="244" t="str">
        <f t="shared" si="146"/>
        <v>00</v>
      </c>
      <c r="AN725" s="219" t="str">
        <f t="shared" si="147"/>
        <v>Autres revenus d’exploitation</v>
      </c>
    </row>
    <row r="726" spans="1:40" ht="15" customHeight="1" x14ac:dyDescent="0.3">
      <c r="A726" s="48">
        <v>0</v>
      </c>
      <c r="B726" s="77" t="s">
        <v>1101</v>
      </c>
      <c r="C726" s="78" t="s">
        <v>1102</v>
      </c>
      <c r="D726" s="182" t="s">
        <v>1462</v>
      </c>
      <c r="E726" s="182" t="s">
        <v>175</v>
      </c>
      <c r="F726" s="46">
        <v>451</v>
      </c>
      <c r="G726" s="182" t="s">
        <v>338</v>
      </c>
      <c r="H726" s="182"/>
      <c r="I726" s="51">
        <v>0</v>
      </c>
      <c r="J726" s="51">
        <v>-209730.85</v>
      </c>
      <c r="K726" s="51">
        <f t="shared" si="148"/>
        <v>-209730.85</v>
      </c>
      <c r="L726" s="51">
        <v>0</v>
      </c>
      <c r="M726" s="51">
        <v>-210000</v>
      </c>
      <c r="N726" s="51">
        <f t="shared" si="139"/>
        <v>-210000</v>
      </c>
      <c r="O726" s="51">
        <v>1194</v>
      </c>
      <c r="P726" s="179" t="s">
        <v>1619</v>
      </c>
      <c r="Q726" s="179" t="s">
        <v>1487</v>
      </c>
      <c r="R726" s="179" t="s">
        <v>2131</v>
      </c>
      <c r="S726" s="47" t="s">
        <v>1685</v>
      </c>
      <c r="T726" s="54">
        <f>+J726</f>
        <v>-209730.85</v>
      </c>
      <c r="U726" s="54"/>
      <c r="AA726">
        <f t="shared" si="140"/>
        <v>451</v>
      </c>
      <c r="AD726" t="str">
        <f t="shared" si="141"/>
        <v>434</v>
      </c>
      <c r="AE726">
        <f t="shared" si="142"/>
        <v>0</v>
      </c>
      <c r="AG726" s="50" t="str">
        <f t="shared" si="143"/>
        <v>ORDURES Taxe EM</v>
      </c>
      <c r="AH726" s="244" t="str">
        <f t="shared" si="144"/>
        <v>73000</v>
      </c>
      <c r="AI726" s="219"/>
      <c r="AJ726" s="219"/>
      <c r="AK726" s="219" t="str">
        <f t="shared" si="145"/>
        <v>4240</v>
      </c>
      <c r="AL726" s="244" t="str">
        <f t="shared" si="146"/>
        <v>00</v>
      </c>
      <c r="AN726" s="219" t="str">
        <f t="shared" si="147"/>
        <v>Taxes d'utilisation et prestations de service - ménages</v>
      </c>
    </row>
    <row r="727" spans="1:40" ht="15" customHeight="1" x14ac:dyDescent="0.3">
      <c r="A727" s="48"/>
      <c r="B727" s="77" t="s">
        <v>1101</v>
      </c>
      <c r="C727" s="78" t="s">
        <v>1102</v>
      </c>
      <c r="D727" s="182" t="s">
        <v>1462</v>
      </c>
      <c r="E727" s="182" t="s">
        <v>175</v>
      </c>
      <c r="F727" s="46">
        <v>451</v>
      </c>
      <c r="G727" s="182" t="s">
        <v>338</v>
      </c>
      <c r="H727" s="182"/>
      <c r="I727" s="51">
        <v>0</v>
      </c>
      <c r="J727" s="51">
        <v>0</v>
      </c>
      <c r="K727" s="51">
        <f t="shared" si="148"/>
        <v>0</v>
      </c>
      <c r="L727" s="51">
        <v>0</v>
      </c>
      <c r="M727" s="51">
        <v>0</v>
      </c>
      <c r="N727" s="51">
        <f t="shared" si="139"/>
        <v>0</v>
      </c>
      <c r="O727" s="51"/>
      <c r="P727" s="179" t="s">
        <v>1619</v>
      </c>
      <c r="Q727" s="179" t="s">
        <v>1487</v>
      </c>
      <c r="R727" s="179" t="s">
        <v>2132</v>
      </c>
      <c r="S727" s="47" t="s">
        <v>1684</v>
      </c>
      <c r="T727" s="54"/>
      <c r="U727" s="54"/>
      <c r="AA727">
        <f t="shared" si="140"/>
        <v>451</v>
      </c>
      <c r="AD727" t="str">
        <f t="shared" si="141"/>
        <v>434</v>
      </c>
      <c r="AE727">
        <f t="shared" si="142"/>
        <v>0</v>
      </c>
      <c r="AG727" s="50" t="str">
        <f t="shared" si="143"/>
        <v>ORDURES Taxe EM</v>
      </c>
      <c r="AH727" s="244" t="str">
        <f t="shared" si="144"/>
        <v>73000</v>
      </c>
      <c r="AI727" s="219"/>
      <c r="AJ727" s="219"/>
      <c r="AK727" s="219" t="str">
        <f t="shared" si="145"/>
        <v>4240</v>
      </c>
      <c r="AL727" s="244" t="str">
        <f t="shared" si="146"/>
        <v>01</v>
      </c>
      <c r="AN727" s="219" t="str">
        <f t="shared" si="147"/>
        <v>Taxes d'utilisation et prestations de service - entreprises</v>
      </c>
    </row>
    <row r="728" spans="1:40" ht="15" customHeight="1" x14ac:dyDescent="0.3">
      <c r="A728" s="48">
        <v>0</v>
      </c>
      <c r="B728" s="49" t="s">
        <v>1103</v>
      </c>
      <c r="C728" s="50" t="s">
        <v>1104</v>
      </c>
      <c r="D728" s="46" t="s">
        <v>1462</v>
      </c>
      <c r="E728" s="46" t="s">
        <v>175</v>
      </c>
      <c r="F728" s="46">
        <v>451</v>
      </c>
      <c r="G728" s="46" t="s">
        <v>58</v>
      </c>
      <c r="H728" s="46"/>
      <c r="I728" s="51">
        <v>0</v>
      </c>
      <c r="J728" s="51">
        <v>-13301.62</v>
      </c>
      <c r="K728" s="51">
        <f t="shared" si="148"/>
        <v>-13301.62</v>
      </c>
      <c r="L728" s="51">
        <v>0</v>
      </c>
      <c r="M728" s="51">
        <v>-16000</v>
      </c>
      <c r="N728" s="51">
        <f t="shared" ref="N728:N759" si="149">+L728+M728</f>
        <v>-16000</v>
      </c>
      <c r="O728" s="51">
        <v>-1087.6500000000001</v>
      </c>
      <c r="P728" s="179" t="s">
        <v>1619</v>
      </c>
      <c r="Q728" s="179" t="s">
        <v>1580</v>
      </c>
      <c r="R728" s="179" t="s">
        <v>2132</v>
      </c>
      <c r="S728" s="47" t="s">
        <v>1665</v>
      </c>
      <c r="T728" s="54">
        <f>+J728</f>
        <v>-13301.62</v>
      </c>
      <c r="U728" s="54"/>
      <c r="W728" t="s">
        <v>1667</v>
      </c>
      <c r="AA728">
        <f t="shared" si="140"/>
        <v>451</v>
      </c>
      <c r="AD728" t="str">
        <f t="shared" si="141"/>
        <v>435</v>
      </c>
      <c r="AE728">
        <f t="shared" si="142"/>
        <v>0</v>
      </c>
      <c r="AG728" s="50" t="str">
        <f t="shared" si="143"/>
        <v>ORDURES Ristourne : verre, papier, ferraille</v>
      </c>
      <c r="AH728" s="244" t="str">
        <f t="shared" si="144"/>
        <v>73000</v>
      </c>
      <c r="AI728" s="219"/>
      <c r="AJ728" s="219"/>
      <c r="AK728" s="219" t="str">
        <f t="shared" si="145"/>
        <v>4260</v>
      </c>
      <c r="AL728" s="244" t="str">
        <f t="shared" si="146"/>
        <v>01</v>
      </c>
      <c r="AN728" s="219" t="str">
        <f t="shared" si="147"/>
        <v>Remboursements et participations de tiers - autres</v>
      </c>
    </row>
    <row r="729" spans="1:40" ht="15" customHeight="1" x14ac:dyDescent="0.3">
      <c r="A729" s="48">
        <v>0</v>
      </c>
      <c r="B729" s="49" t="s">
        <v>1105</v>
      </c>
      <c r="C729" s="50" t="s">
        <v>1106</v>
      </c>
      <c r="D729" s="46" t="s">
        <v>1462</v>
      </c>
      <c r="E729" s="46" t="s">
        <v>175</v>
      </c>
      <c r="F729" s="46">
        <v>451</v>
      </c>
      <c r="G729" s="46" t="s">
        <v>58</v>
      </c>
      <c r="H729" s="46">
        <v>1</v>
      </c>
      <c r="I729" s="51">
        <v>0</v>
      </c>
      <c r="J729" s="51">
        <v>0</v>
      </c>
      <c r="K729" s="51">
        <f t="shared" si="148"/>
        <v>0</v>
      </c>
      <c r="L729" s="51">
        <v>0</v>
      </c>
      <c r="M729" s="51">
        <v>0</v>
      </c>
      <c r="N729" s="51">
        <f t="shared" si="149"/>
        <v>0</v>
      </c>
      <c r="O729" s="51">
        <v>-55.5</v>
      </c>
      <c r="P729" s="179" t="s">
        <v>1619</v>
      </c>
      <c r="Q729" s="179" t="s">
        <v>2126</v>
      </c>
      <c r="R729" s="179" t="s">
        <v>2131</v>
      </c>
      <c r="S729" s="47" t="s">
        <v>2127</v>
      </c>
      <c r="T729" s="54"/>
      <c r="U729" s="54"/>
      <c r="AA729">
        <f t="shared" si="140"/>
        <v>451</v>
      </c>
      <c r="AD729" t="str">
        <f t="shared" si="141"/>
        <v>435</v>
      </c>
      <c r="AE729">
        <f t="shared" si="142"/>
        <v>1</v>
      </c>
      <c r="AG729" s="50" t="str">
        <f t="shared" si="143"/>
        <v>ORDURES Vente Containers et divers</v>
      </c>
      <c r="AH729" s="244" t="str">
        <f t="shared" si="144"/>
        <v>73000</v>
      </c>
      <c r="AI729" s="219"/>
      <c r="AJ729" s="219"/>
      <c r="AK729" s="219" t="str">
        <f t="shared" si="145"/>
        <v>4309</v>
      </c>
      <c r="AL729" s="244" t="str">
        <f t="shared" si="146"/>
        <v>00</v>
      </c>
      <c r="AN729" s="219" t="str">
        <f t="shared" si="147"/>
        <v>Autres revenus d’exploitation</v>
      </c>
    </row>
    <row r="730" spans="1:40" ht="15" customHeight="1" x14ac:dyDescent="0.3">
      <c r="A730" s="48">
        <v>0</v>
      </c>
      <c r="B730" s="49" t="s">
        <v>1107</v>
      </c>
      <c r="C730" s="50" t="s">
        <v>1108</v>
      </c>
      <c r="D730" s="46" t="s">
        <v>1462</v>
      </c>
      <c r="E730" s="46" t="s">
        <v>175</v>
      </c>
      <c r="F730" s="46">
        <v>451</v>
      </c>
      <c r="G730" s="46" t="s">
        <v>61</v>
      </c>
      <c r="H730" s="46"/>
      <c r="I730" s="51">
        <v>0</v>
      </c>
      <c r="J730" s="51">
        <v>-245.35</v>
      </c>
      <c r="K730" s="51">
        <f t="shared" si="148"/>
        <v>-245.35</v>
      </c>
      <c r="L730" s="51">
        <v>0</v>
      </c>
      <c r="M730" s="51">
        <v>0</v>
      </c>
      <c r="N730" s="51">
        <f t="shared" si="149"/>
        <v>0</v>
      </c>
      <c r="O730" s="51">
        <v>0</v>
      </c>
      <c r="P730" s="185" t="s">
        <v>1587</v>
      </c>
      <c r="Q730" s="179" t="s">
        <v>1410</v>
      </c>
      <c r="R730" s="179" t="s">
        <v>2138</v>
      </c>
      <c r="S730" s="47" t="s">
        <v>1424</v>
      </c>
      <c r="T730" s="54">
        <f>+J730</f>
        <v>-245.35</v>
      </c>
      <c r="U730" s="54"/>
      <c r="AA730">
        <f t="shared" si="140"/>
        <v>451</v>
      </c>
      <c r="AD730" t="str">
        <f t="shared" si="141"/>
        <v>436</v>
      </c>
      <c r="AE730">
        <f t="shared" si="142"/>
        <v>0</v>
      </c>
      <c r="AG730" s="50" t="str">
        <f t="shared" si="143"/>
        <v>ORDURES Remboursements de tiers (Ass.)</v>
      </c>
      <c r="AH730" s="244" t="str">
        <f t="shared" si="144"/>
        <v>61500</v>
      </c>
      <c r="AI730" s="219"/>
      <c r="AJ730" s="219"/>
      <c r="AK730" s="219" t="str">
        <f t="shared" si="145"/>
        <v>3010</v>
      </c>
      <c r="AL730" s="244" t="str">
        <f t="shared" si="146"/>
        <v>99</v>
      </c>
      <c r="AN730" s="219" t="str">
        <f t="shared" si="147"/>
        <v>Remboursements IJM</v>
      </c>
    </row>
    <row r="731" spans="1:40" ht="15" customHeight="1" x14ac:dyDescent="0.3">
      <c r="A731" s="48">
        <v>0</v>
      </c>
      <c r="B731" s="49" t="s">
        <v>1109</v>
      </c>
      <c r="C731" s="50" t="s">
        <v>1110</v>
      </c>
      <c r="D731" s="46" t="s">
        <v>1462</v>
      </c>
      <c r="E731" s="46" t="s">
        <v>175</v>
      </c>
      <c r="F731" s="46">
        <v>451</v>
      </c>
      <c r="G731" s="46" t="s">
        <v>1111</v>
      </c>
      <c r="H731" s="46"/>
      <c r="I731" s="51">
        <v>0</v>
      </c>
      <c r="J731" s="51">
        <v>0</v>
      </c>
      <c r="K731" s="51">
        <f t="shared" si="148"/>
        <v>0</v>
      </c>
      <c r="L731" s="51">
        <v>0</v>
      </c>
      <c r="M731" s="51">
        <v>0</v>
      </c>
      <c r="N731" s="51">
        <f t="shared" si="149"/>
        <v>0</v>
      </c>
      <c r="O731" s="51">
        <v>0</v>
      </c>
      <c r="P731" s="179" t="s">
        <v>1489</v>
      </c>
      <c r="Q731" s="179" t="s">
        <v>1489</v>
      </c>
      <c r="R731" s="179" t="s">
        <v>1489</v>
      </c>
      <c r="S731" s="47" t="s">
        <v>1489</v>
      </c>
      <c r="T731" s="54"/>
      <c r="U731" s="54"/>
      <c r="AA731">
        <f t="shared" si="140"/>
        <v>451</v>
      </c>
      <c r="AD731" t="str">
        <f t="shared" si="141"/>
        <v>437</v>
      </c>
      <c r="AE731">
        <f t="shared" si="142"/>
        <v>0</v>
      </c>
      <c r="AG731" s="50" t="str">
        <f t="shared" si="143"/>
        <v>ORDURES  Amende Dépôt sauvage</v>
      </c>
      <c r="AH731" s="244" t="str">
        <f t="shared" si="144"/>
        <v>-</v>
      </c>
      <c r="AI731" s="219"/>
      <c r="AJ731" s="219"/>
      <c r="AK731" s="219" t="str">
        <f t="shared" si="145"/>
        <v>-</v>
      </c>
      <c r="AL731" s="244" t="str">
        <f t="shared" si="146"/>
        <v>-</v>
      </c>
      <c r="AN731" s="219" t="str">
        <f t="shared" si="147"/>
        <v>-</v>
      </c>
    </row>
    <row r="732" spans="1:40" ht="15" customHeight="1" x14ac:dyDescent="0.3">
      <c r="A732" s="48">
        <v>0</v>
      </c>
      <c r="B732" s="49" t="s">
        <v>1112</v>
      </c>
      <c r="C732" s="50" t="s">
        <v>1113</v>
      </c>
      <c r="D732" s="46" t="s">
        <v>1462</v>
      </c>
      <c r="E732" s="46" t="s">
        <v>175</v>
      </c>
      <c r="F732" s="46">
        <v>451</v>
      </c>
      <c r="G732" s="46" t="s">
        <v>144</v>
      </c>
      <c r="H732" s="46"/>
      <c r="I732" s="51">
        <v>0</v>
      </c>
      <c r="J732" s="51">
        <v>-44608.46</v>
      </c>
      <c r="K732" s="51">
        <f t="shared" si="148"/>
        <v>-44608.46</v>
      </c>
      <c r="L732" s="51">
        <v>0</v>
      </c>
      <c r="M732" s="51">
        <v>-10960</v>
      </c>
      <c r="N732" s="51">
        <f t="shared" si="149"/>
        <v>-10960</v>
      </c>
      <c r="O732" s="51">
        <v>0</v>
      </c>
      <c r="P732" s="179" t="s">
        <v>1619</v>
      </c>
      <c r="Q732" s="179" t="s">
        <v>1686</v>
      </c>
      <c r="R732" s="179" t="s">
        <v>2131</v>
      </c>
      <c r="S732" s="58" t="s">
        <v>1687</v>
      </c>
      <c r="T732" s="54">
        <f>+J732</f>
        <v>-44608.46</v>
      </c>
      <c r="U732" s="54"/>
      <c r="AA732">
        <f t="shared" si="140"/>
        <v>451</v>
      </c>
      <c r="AD732" t="str">
        <f t="shared" si="141"/>
        <v>481</v>
      </c>
      <c r="AE732">
        <f t="shared" si="142"/>
        <v>0</v>
      </c>
      <c r="AG732" s="50" t="str">
        <f t="shared" si="143"/>
        <v>Prélèvement s/fonds affecté 9280.5</v>
      </c>
      <c r="AH732" s="244" t="str">
        <f t="shared" si="144"/>
        <v>73000</v>
      </c>
      <c r="AI732" s="219"/>
      <c r="AJ732" s="219"/>
      <c r="AK732" s="219" t="str">
        <f t="shared" si="145"/>
        <v>4510</v>
      </c>
      <c r="AL732" s="244" t="str">
        <f t="shared" si="146"/>
        <v>00</v>
      </c>
      <c r="AN732" s="219" t="str">
        <f t="shared" si="147"/>
        <v>Prélèvements aux fonds et financement spéciaux</v>
      </c>
    </row>
    <row r="733" spans="1:40" ht="15" customHeight="1" x14ac:dyDescent="0.3">
      <c r="A733" s="48"/>
      <c r="B733" s="49"/>
      <c r="C733" s="50"/>
      <c r="D733" s="46"/>
      <c r="E733" s="46"/>
      <c r="F733" s="46"/>
      <c r="G733" s="46"/>
      <c r="H733" s="46"/>
      <c r="I733" s="51">
        <v>0</v>
      </c>
      <c r="J733" s="51">
        <v>0</v>
      </c>
      <c r="K733" s="51">
        <f t="shared" si="148"/>
        <v>0</v>
      </c>
      <c r="L733" s="51">
        <v>0</v>
      </c>
      <c r="M733" s="51">
        <v>0</v>
      </c>
      <c r="N733" s="51">
        <f t="shared" si="149"/>
        <v>0</v>
      </c>
      <c r="O733" s="51"/>
      <c r="P733" s="179" t="s">
        <v>1619</v>
      </c>
      <c r="Q733" s="179" t="s">
        <v>765</v>
      </c>
      <c r="R733" s="179" t="s">
        <v>2131</v>
      </c>
      <c r="S733" s="47" t="s">
        <v>2039</v>
      </c>
      <c r="T733" s="54"/>
      <c r="U733" s="54"/>
      <c r="AA733">
        <f t="shared" si="140"/>
        <v>0</v>
      </c>
      <c r="AD733">
        <f t="shared" si="141"/>
        <v>0</v>
      </c>
      <c r="AE733">
        <f t="shared" si="142"/>
        <v>0</v>
      </c>
      <c r="AG733" s="50">
        <f t="shared" si="143"/>
        <v>0</v>
      </c>
      <c r="AH733" s="244" t="str">
        <f t="shared" si="144"/>
        <v>73000</v>
      </c>
      <c r="AI733" s="219"/>
      <c r="AJ733" s="219"/>
      <c r="AK733" s="219" t="str">
        <f t="shared" si="145"/>
        <v>3510</v>
      </c>
      <c r="AL733" s="244" t="str">
        <f t="shared" si="146"/>
        <v>00</v>
      </c>
      <c r="AN733" s="219" t="str">
        <f t="shared" si="147"/>
        <v>Attributions aux fonds et financements spéciaux</v>
      </c>
    </row>
    <row r="734" spans="1:40" ht="15" customHeight="1" x14ac:dyDescent="0.3">
      <c r="A734" s="48">
        <v>0</v>
      </c>
      <c r="B734" s="49" t="s">
        <v>1114</v>
      </c>
      <c r="C734" s="50" t="s">
        <v>1115</v>
      </c>
      <c r="D734" s="46" t="s">
        <v>1462</v>
      </c>
      <c r="E734" s="46" t="s">
        <v>175</v>
      </c>
      <c r="F734" s="46">
        <v>451</v>
      </c>
      <c r="G734" s="46" t="s">
        <v>67</v>
      </c>
      <c r="H734" s="46"/>
      <c r="I734" s="51">
        <v>0</v>
      </c>
      <c r="J734" s="51">
        <v>0</v>
      </c>
      <c r="K734" s="51">
        <f t="shared" si="148"/>
        <v>0</v>
      </c>
      <c r="L734" s="51">
        <v>0</v>
      </c>
      <c r="M734" s="51">
        <v>0</v>
      </c>
      <c r="N734" s="51">
        <f t="shared" si="149"/>
        <v>0</v>
      </c>
      <c r="O734" s="51">
        <v>0</v>
      </c>
      <c r="P734" s="179" t="s">
        <v>1489</v>
      </c>
      <c r="Q734" s="179" t="s">
        <v>1489</v>
      </c>
      <c r="R734" s="179" t="s">
        <v>1489</v>
      </c>
      <c r="S734" s="47" t="s">
        <v>1489</v>
      </c>
      <c r="T734" s="54"/>
      <c r="U734" s="54"/>
      <c r="AA734">
        <f t="shared" si="140"/>
        <v>451</v>
      </c>
      <c r="AD734" t="str">
        <f t="shared" si="141"/>
        <v>490</v>
      </c>
      <c r="AE734">
        <f t="shared" si="142"/>
        <v>0</v>
      </c>
      <c r="AG734" s="50" t="str">
        <f t="shared" si="143"/>
        <v>ORDURES IMPUTATIONS INTERNES</v>
      </c>
      <c r="AH734" s="244" t="str">
        <f t="shared" si="144"/>
        <v>-</v>
      </c>
      <c r="AI734" s="219"/>
      <c r="AJ734" s="219"/>
      <c r="AK734" s="219" t="str">
        <f t="shared" si="145"/>
        <v>-</v>
      </c>
      <c r="AL734" s="244" t="str">
        <f t="shared" si="146"/>
        <v>-</v>
      </c>
      <c r="AN734" s="219" t="str">
        <f t="shared" si="147"/>
        <v>-</v>
      </c>
    </row>
    <row r="735" spans="1:40" ht="15" customHeight="1" x14ac:dyDescent="0.3">
      <c r="A735" s="48">
        <v>0</v>
      </c>
      <c r="B735" s="49" t="s">
        <v>1118</v>
      </c>
      <c r="C735" s="50" t="s">
        <v>1119</v>
      </c>
      <c r="D735" s="46" t="s">
        <v>1462</v>
      </c>
      <c r="E735" s="46" t="s">
        <v>345</v>
      </c>
      <c r="F735" s="46">
        <v>452</v>
      </c>
      <c r="G735" s="46" t="s">
        <v>48</v>
      </c>
      <c r="H735" s="46">
        <v>1</v>
      </c>
      <c r="I735" s="59">
        <v>3245.23</v>
      </c>
      <c r="J735" s="51">
        <v>0</v>
      </c>
      <c r="K735" s="51">
        <f t="shared" si="148"/>
        <v>3245.23</v>
      </c>
      <c r="L735" s="51">
        <v>3000</v>
      </c>
      <c r="M735" s="51">
        <v>0</v>
      </c>
      <c r="N735" s="51">
        <f t="shared" si="149"/>
        <v>3000</v>
      </c>
      <c r="O735" s="51">
        <v>565.73</v>
      </c>
      <c r="P735" s="179" t="s">
        <v>1489</v>
      </c>
      <c r="Q735" s="179" t="s">
        <v>1489</v>
      </c>
      <c r="R735" s="179" t="s">
        <v>1489</v>
      </c>
      <c r="S735" s="47" t="s">
        <v>1675</v>
      </c>
      <c r="T735" s="54">
        <f>+I735</f>
        <v>3245.23</v>
      </c>
      <c r="U735" s="54"/>
      <c r="W735" s="5" t="s">
        <v>1676</v>
      </c>
      <c r="AA735">
        <f t="shared" si="140"/>
        <v>452</v>
      </c>
      <c r="AD735" t="str">
        <f t="shared" si="141"/>
        <v>318</v>
      </c>
      <c r="AE735">
        <f t="shared" si="142"/>
        <v>1</v>
      </c>
      <c r="AG735" s="50" t="str">
        <f t="shared" si="143"/>
        <v>ORDURES Déchets carnés (animaux rentes)</v>
      </c>
      <c r="AH735" s="244" t="str">
        <f t="shared" si="144"/>
        <v>-</v>
      </c>
      <c r="AI735" s="219"/>
      <c r="AJ735" s="219"/>
      <c r="AK735" s="219" t="str">
        <f t="shared" si="145"/>
        <v>-</v>
      </c>
      <c r="AL735" s="244" t="str">
        <f t="shared" si="146"/>
        <v>-</v>
      </c>
      <c r="AN735" s="219" t="str">
        <f t="shared" si="147"/>
        <v>compte de bilan - refacturé</v>
      </c>
    </row>
    <row r="736" spans="1:40" ht="15" customHeight="1" x14ac:dyDescent="0.3">
      <c r="A736" s="48">
        <v>0</v>
      </c>
      <c r="B736" s="49" t="s">
        <v>1120</v>
      </c>
      <c r="C736" s="50" t="s">
        <v>1121</v>
      </c>
      <c r="D736" s="46" t="s">
        <v>1462</v>
      </c>
      <c r="E736" s="46" t="s">
        <v>345</v>
      </c>
      <c r="F736" s="46">
        <v>452</v>
      </c>
      <c r="G736" s="46" t="s">
        <v>48</v>
      </c>
      <c r="H736" s="46">
        <v>2</v>
      </c>
      <c r="I736" s="51">
        <v>5517.71</v>
      </c>
      <c r="J736" s="51">
        <v>0</v>
      </c>
      <c r="K736" s="51">
        <f t="shared" si="148"/>
        <v>5517.71</v>
      </c>
      <c r="L736" s="51">
        <v>6500</v>
      </c>
      <c r="M736" s="51">
        <v>0</v>
      </c>
      <c r="N736" s="51">
        <f t="shared" si="149"/>
        <v>6500</v>
      </c>
      <c r="O736" s="51">
        <v>0</v>
      </c>
      <c r="P736" s="179" t="s">
        <v>1688</v>
      </c>
      <c r="Q736" s="179" t="s">
        <v>1390</v>
      </c>
      <c r="R736" s="179" t="s">
        <v>7</v>
      </c>
      <c r="S736" s="55" t="s">
        <v>1677</v>
      </c>
      <c r="T736" s="54">
        <f>+I736</f>
        <v>5517.71</v>
      </c>
      <c r="U736" s="54"/>
      <c r="AA736">
        <f t="shared" si="140"/>
        <v>452</v>
      </c>
      <c r="AD736" t="str">
        <f t="shared" si="141"/>
        <v>318</v>
      </c>
      <c r="AE736">
        <f t="shared" si="142"/>
        <v>2</v>
      </c>
      <c r="AG736" s="50" t="str">
        <f t="shared" si="143"/>
        <v>ORDURES Déchets Spéciaux Ménager, Part. animaux compagnie</v>
      </c>
      <c r="AH736" s="244" t="str">
        <f t="shared" si="144"/>
        <v>73010</v>
      </c>
      <c r="AI736" s="219"/>
      <c r="AJ736" s="219"/>
      <c r="AK736" s="219" t="str">
        <f t="shared" si="145"/>
        <v>3130</v>
      </c>
      <c r="AL736" s="244" t="str">
        <f t="shared" si="146"/>
        <v>10</v>
      </c>
      <c r="AN736" s="219" t="str">
        <f t="shared" si="147"/>
        <v>Prestations de services tiers - non refacturés</v>
      </c>
    </row>
    <row r="737" spans="1:40" ht="15" customHeight="1" x14ac:dyDescent="0.3">
      <c r="A737" s="48">
        <v>0</v>
      </c>
      <c r="B737" s="49" t="s">
        <v>1122</v>
      </c>
      <c r="C737" s="50" t="s">
        <v>1123</v>
      </c>
      <c r="D737" s="46" t="s">
        <v>1462</v>
      </c>
      <c r="E737" s="46" t="s">
        <v>345</v>
      </c>
      <c r="F737" s="46">
        <v>452</v>
      </c>
      <c r="G737" s="46" t="s">
        <v>61</v>
      </c>
      <c r="H737" s="46">
        <v>1</v>
      </c>
      <c r="I737" s="51">
        <v>0</v>
      </c>
      <c r="J737" s="59">
        <v>-3124.85</v>
      </c>
      <c r="K737" s="51">
        <f t="shared" si="148"/>
        <v>-3124.85</v>
      </c>
      <c r="L737" s="51">
        <v>0</v>
      </c>
      <c r="M737" s="51">
        <v>-2100</v>
      </c>
      <c r="N737" s="51">
        <f t="shared" si="149"/>
        <v>-2100</v>
      </c>
      <c r="O737" s="51">
        <v>-565.75</v>
      </c>
      <c r="P737" s="179" t="s">
        <v>1489</v>
      </c>
      <c r="Q737" s="179" t="s">
        <v>1489</v>
      </c>
      <c r="R737" s="179" t="s">
        <v>1489</v>
      </c>
      <c r="S737" s="47" t="s">
        <v>1675</v>
      </c>
      <c r="T737" s="54">
        <f>+J737</f>
        <v>-3124.85</v>
      </c>
      <c r="U737" s="54"/>
      <c r="AA737">
        <f t="shared" si="140"/>
        <v>452</v>
      </c>
      <c r="AD737" t="str">
        <f t="shared" si="141"/>
        <v>436</v>
      </c>
      <c r="AE737">
        <f t="shared" si="142"/>
        <v>1</v>
      </c>
      <c r="AG737" s="50" t="str">
        <f t="shared" si="143"/>
        <v>ORDURES Part de tiers déchets carnés (animaux rentes)</v>
      </c>
      <c r="AH737" s="244" t="str">
        <f t="shared" si="144"/>
        <v>-</v>
      </c>
      <c r="AI737" s="219"/>
      <c r="AJ737" s="219"/>
      <c r="AK737" s="219" t="str">
        <f t="shared" si="145"/>
        <v>-</v>
      </c>
      <c r="AL737" s="244" t="str">
        <f t="shared" si="146"/>
        <v>-</v>
      </c>
      <c r="AN737" s="219" t="str">
        <f t="shared" si="147"/>
        <v>compte de bilan - refacturé</v>
      </c>
    </row>
    <row r="738" spans="1:40" ht="15" customHeight="1" x14ac:dyDescent="0.3">
      <c r="A738" s="48">
        <v>0</v>
      </c>
      <c r="B738" s="74" t="s">
        <v>1125</v>
      </c>
      <c r="C738" s="67" t="s">
        <v>1126</v>
      </c>
      <c r="D738" s="188" t="s">
        <v>1462</v>
      </c>
      <c r="E738" s="188">
        <v>460</v>
      </c>
      <c r="F738" s="188">
        <v>460</v>
      </c>
      <c r="G738" s="188" t="s">
        <v>3</v>
      </c>
      <c r="H738" s="188"/>
      <c r="I738" s="51">
        <v>5826.8</v>
      </c>
      <c r="J738" s="51">
        <v>0</v>
      </c>
      <c r="K738" s="51">
        <f t="shared" si="148"/>
        <v>5826.8</v>
      </c>
      <c r="L738" s="51">
        <v>6100</v>
      </c>
      <c r="M738" s="51">
        <v>0</v>
      </c>
      <c r="N738" s="51">
        <f t="shared" si="149"/>
        <v>6100</v>
      </c>
      <c r="O738" s="51">
        <v>2109</v>
      </c>
      <c r="P738" s="185" t="s">
        <v>1587</v>
      </c>
      <c r="Q738" s="179" t="s">
        <v>1410</v>
      </c>
      <c r="R738" s="179" t="s">
        <v>2131</v>
      </c>
      <c r="S738" s="52" t="s">
        <v>1411</v>
      </c>
      <c r="T738" s="54">
        <f>+I738</f>
        <v>5826.8</v>
      </c>
      <c r="U738" s="54">
        <v>0</v>
      </c>
      <c r="V738" s="7" t="s">
        <v>2021</v>
      </c>
      <c r="AA738">
        <f t="shared" si="140"/>
        <v>460</v>
      </c>
      <c r="AD738" t="str">
        <f t="shared" si="141"/>
        <v>301</v>
      </c>
      <c r="AE738">
        <f t="shared" si="142"/>
        <v>0</v>
      </c>
      <c r="AG738" s="50" t="str">
        <f t="shared" si="143"/>
        <v>EGOUTS SALAIRES</v>
      </c>
      <c r="AH738" s="244" t="str">
        <f t="shared" si="144"/>
        <v>61500</v>
      </c>
      <c r="AI738" s="219"/>
      <c r="AJ738" s="219"/>
      <c r="AK738" s="219" t="str">
        <f t="shared" si="145"/>
        <v>3010</v>
      </c>
      <c r="AL738" s="244" t="str">
        <f t="shared" si="146"/>
        <v>00</v>
      </c>
      <c r="AN738" s="219" t="str">
        <f t="shared" si="147"/>
        <v>Salaire du personnel administratif</v>
      </c>
    </row>
    <row r="739" spans="1:40" ht="15" customHeight="1" x14ac:dyDescent="0.3">
      <c r="A739" s="48"/>
      <c r="B739" s="74" t="s">
        <v>1125</v>
      </c>
      <c r="C739" s="67" t="s">
        <v>1126</v>
      </c>
      <c r="D739" s="188" t="s">
        <v>1462</v>
      </c>
      <c r="E739" s="188" t="s">
        <v>1124</v>
      </c>
      <c r="F739" s="188">
        <v>460</v>
      </c>
      <c r="G739" s="188" t="s">
        <v>3</v>
      </c>
      <c r="H739" s="188"/>
      <c r="I739" s="51"/>
      <c r="J739" s="51"/>
      <c r="K739" s="51"/>
      <c r="L739" s="51"/>
      <c r="M739" s="51"/>
      <c r="N739" s="51">
        <f t="shared" si="149"/>
        <v>0</v>
      </c>
      <c r="O739" s="51"/>
      <c r="P739" s="185" t="s">
        <v>1587</v>
      </c>
      <c r="Q739" s="179" t="s">
        <v>1410</v>
      </c>
      <c r="R739" s="179" t="s">
        <v>2138</v>
      </c>
      <c r="S739" s="47" t="s">
        <v>1424</v>
      </c>
      <c r="T739" s="54"/>
      <c r="U739" s="54"/>
      <c r="AA739">
        <f t="shared" si="140"/>
        <v>460</v>
      </c>
      <c r="AD739" t="str">
        <f t="shared" si="141"/>
        <v>301</v>
      </c>
      <c r="AE739">
        <f t="shared" si="142"/>
        <v>0</v>
      </c>
      <c r="AG739" s="50" t="str">
        <f t="shared" si="143"/>
        <v>EGOUTS SALAIRES</v>
      </c>
      <c r="AH739" s="244" t="str">
        <f t="shared" si="144"/>
        <v>61500</v>
      </c>
      <c r="AI739" s="219"/>
      <c r="AJ739" s="219"/>
      <c r="AK739" s="219" t="str">
        <f t="shared" si="145"/>
        <v>3010</v>
      </c>
      <c r="AL739" s="244" t="str">
        <f t="shared" si="146"/>
        <v>99</v>
      </c>
      <c r="AN739" s="219" t="str">
        <f t="shared" si="147"/>
        <v>Remboursements IJM</v>
      </c>
    </row>
    <row r="740" spans="1:40" ht="15" customHeight="1" x14ac:dyDescent="0.3">
      <c r="A740" s="48">
        <v>0</v>
      </c>
      <c r="B740" s="77" t="s">
        <v>1127</v>
      </c>
      <c r="C740" s="78" t="s">
        <v>1128</v>
      </c>
      <c r="D740" s="182" t="s">
        <v>1462</v>
      </c>
      <c r="E740" s="182" t="s">
        <v>1124</v>
      </c>
      <c r="F740" s="188">
        <v>460</v>
      </c>
      <c r="G740" s="182" t="s">
        <v>16</v>
      </c>
      <c r="H740" s="182"/>
      <c r="I740" s="51">
        <v>398.6</v>
      </c>
      <c r="J740" s="51">
        <v>0</v>
      </c>
      <c r="K740" s="51">
        <f>+I740+J740</f>
        <v>398.6</v>
      </c>
      <c r="L740" s="51">
        <v>500</v>
      </c>
      <c r="M740" s="51">
        <v>0</v>
      </c>
      <c r="N740" s="51">
        <f t="shared" si="149"/>
        <v>500</v>
      </c>
      <c r="O740" s="51">
        <v>184</v>
      </c>
      <c r="P740" s="185" t="s">
        <v>1587</v>
      </c>
      <c r="Q740" s="179" t="s">
        <v>1367</v>
      </c>
      <c r="R740" s="179" t="s">
        <v>2131</v>
      </c>
      <c r="S740" s="52" t="s">
        <v>1378</v>
      </c>
      <c r="T740" s="54">
        <f>+I740</f>
        <v>398.6</v>
      </c>
      <c r="U740" s="54"/>
      <c r="AA740">
        <f t="shared" si="140"/>
        <v>460</v>
      </c>
      <c r="AD740" t="str">
        <f t="shared" si="141"/>
        <v>303</v>
      </c>
      <c r="AE740">
        <f t="shared" si="142"/>
        <v>0</v>
      </c>
      <c r="AG740" s="50" t="str">
        <f t="shared" si="143"/>
        <v>EGOUTS COTISATIONS AVS AC AF</v>
      </c>
      <c r="AH740" s="244" t="str">
        <f t="shared" si="144"/>
        <v>61500</v>
      </c>
      <c r="AI740" s="219"/>
      <c r="AJ740" s="219"/>
      <c r="AK740" s="219" t="str">
        <f t="shared" si="145"/>
        <v>3050</v>
      </c>
      <c r="AL740" s="244" t="str">
        <f t="shared" si="146"/>
        <v>00</v>
      </c>
      <c r="AN740" s="219" t="str">
        <f t="shared" si="147"/>
        <v>Cotisations AVS, AI, APG, AC, frais adm</v>
      </c>
    </row>
    <row r="741" spans="1:40" ht="15" customHeight="1" x14ac:dyDescent="0.3">
      <c r="A741" s="48"/>
      <c r="B741" s="77" t="s">
        <v>1127</v>
      </c>
      <c r="C741" s="78" t="s">
        <v>1128</v>
      </c>
      <c r="D741" s="182" t="s">
        <v>1462</v>
      </c>
      <c r="E741" s="182" t="s">
        <v>1124</v>
      </c>
      <c r="F741" s="188">
        <v>460</v>
      </c>
      <c r="G741" s="182" t="s">
        <v>16</v>
      </c>
      <c r="H741" s="182"/>
      <c r="I741" s="51"/>
      <c r="J741" s="51"/>
      <c r="K741" s="51"/>
      <c r="L741" s="51"/>
      <c r="M741" s="51"/>
      <c r="N741" s="51">
        <f t="shared" si="149"/>
        <v>0</v>
      </c>
      <c r="O741" s="51"/>
      <c r="P741" s="185" t="s">
        <v>1587</v>
      </c>
      <c r="Q741" s="179" t="s">
        <v>1413</v>
      </c>
      <c r="R741" s="179" t="s">
        <v>2131</v>
      </c>
      <c r="S741" s="52" t="s">
        <v>1414</v>
      </c>
      <c r="T741" s="54"/>
      <c r="U741" s="54"/>
      <c r="AA741">
        <f t="shared" si="140"/>
        <v>460</v>
      </c>
      <c r="AD741" t="str">
        <f t="shared" si="141"/>
        <v>303</v>
      </c>
      <c r="AE741">
        <f t="shared" si="142"/>
        <v>0</v>
      </c>
      <c r="AG741" s="50" t="str">
        <f t="shared" si="143"/>
        <v>EGOUTS COTISATIONS AVS AC AF</v>
      </c>
      <c r="AH741" s="244" t="str">
        <f t="shared" si="144"/>
        <v>61500</v>
      </c>
      <c r="AI741" s="219"/>
      <c r="AJ741" s="219"/>
      <c r="AK741" s="219" t="str">
        <f t="shared" si="145"/>
        <v>3054</v>
      </c>
      <c r="AL741" s="244" t="str">
        <f t="shared" si="146"/>
        <v>00</v>
      </c>
      <c r="AN741" s="219" t="str">
        <f t="shared" si="147"/>
        <v>Cotisations CAF</v>
      </c>
    </row>
    <row r="742" spans="1:40" ht="15" customHeight="1" x14ac:dyDescent="0.3">
      <c r="A742" s="48">
        <v>0</v>
      </c>
      <c r="B742" s="49" t="s">
        <v>1129</v>
      </c>
      <c r="C742" s="50" t="s">
        <v>1130</v>
      </c>
      <c r="D742" s="46" t="s">
        <v>1462</v>
      </c>
      <c r="E742" s="46" t="s">
        <v>1124</v>
      </c>
      <c r="F742" s="188">
        <v>460</v>
      </c>
      <c r="G742" s="46" t="s">
        <v>38</v>
      </c>
      <c r="H742" s="46"/>
      <c r="I742" s="51">
        <v>422.7</v>
      </c>
      <c r="J742" s="51">
        <v>0</v>
      </c>
      <c r="K742" s="51">
        <f>+I742+J742</f>
        <v>422.7</v>
      </c>
      <c r="L742" s="51">
        <v>600</v>
      </c>
      <c r="M742" s="51">
        <v>0</v>
      </c>
      <c r="N742" s="51">
        <f t="shared" si="149"/>
        <v>600</v>
      </c>
      <c r="O742" s="51">
        <v>265.05</v>
      </c>
      <c r="P742" s="185" t="s">
        <v>1587</v>
      </c>
      <c r="Q742" s="179" t="s">
        <v>1386</v>
      </c>
      <c r="R742" s="179" t="s">
        <v>2131</v>
      </c>
      <c r="S742" s="52" t="s">
        <v>1387</v>
      </c>
      <c r="T742" s="54">
        <f>+I742</f>
        <v>422.7</v>
      </c>
      <c r="U742" s="54"/>
      <c r="AA742">
        <f t="shared" si="140"/>
        <v>460</v>
      </c>
      <c r="AD742" t="str">
        <f t="shared" si="141"/>
        <v>304</v>
      </c>
      <c r="AE742">
        <f t="shared" si="142"/>
        <v>0</v>
      </c>
      <c r="AG742" s="50" t="str">
        <f t="shared" si="143"/>
        <v>EGOUTS CAISSE PREVOYANCE LPP</v>
      </c>
      <c r="AH742" s="244" t="str">
        <f t="shared" si="144"/>
        <v>61500</v>
      </c>
      <c r="AI742" s="219"/>
      <c r="AJ742" s="219"/>
      <c r="AK742" s="219" t="str">
        <f t="shared" si="145"/>
        <v>3052</v>
      </c>
      <c r="AL742" s="244" t="str">
        <f t="shared" si="146"/>
        <v>00</v>
      </c>
      <c r="AN742" s="219" t="str">
        <f t="shared" si="147"/>
        <v>Cotisations patronales aux caisses de pensions</v>
      </c>
    </row>
    <row r="743" spans="1:40" ht="15" customHeight="1" x14ac:dyDescent="0.3">
      <c r="A743" s="48">
        <v>0</v>
      </c>
      <c r="B743" s="49" t="s">
        <v>1131</v>
      </c>
      <c r="C743" s="50" t="s">
        <v>1132</v>
      </c>
      <c r="D743" s="46" t="s">
        <v>1462</v>
      </c>
      <c r="E743" s="46" t="s">
        <v>1124</v>
      </c>
      <c r="F743" s="188">
        <v>460</v>
      </c>
      <c r="G743" s="46" t="s">
        <v>19</v>
      </c>
      <c r="H743" s="46"/>
      <c r="I743" s="51">
        <v>102.05</v>
      </c>
      <c r="J743" s="51">
        <v>0</v>
      </c>
      <c r="K743" s="51">
        <f>+I743+J743</f>
        <v>102.05</v>
      </c>
      <c r="L743" s="51">
        <v>135</v>
      </c>
      <c r="M743" s="51">
        <v>0</v>
      </c>
      <c r="N743" s="51">
        <f t="shared" si="149"/>
        <v>135</v>
      </c>
      <c r="O743" s="51">
        <v>47.2</v>
      </c>
      <c r="P743" s="185" t="s">
        <v>1587</v>
      </c>
      <c r="Q743" s="179" t="s">
        <v>1375</v>
      </c>
      <c r="R743" s="179" t="s">
        <v>2131</v>
      </c>
      <c r="S743" s="52" t="s">
        <v>1379</v>
      </c>
      <c r="T743" s="54">
        <f>+I743</f>
        <v>102.05</v>
      </c>
      <c r="U743" s="54"/>
      <c r="AA743">
        <f t="shared" si="140"/>
        <v>460</v>
      </c>
      <c r="AD743" t="str">
        <f t="shared" si="141"/>
        <v>305</v>
      </c>
      <c r="AE743">
        <f t="shared" si="142"/>
        <v>0</v>
      </c>
      <c r="AG743" s="50" t="str">
        <f t="shared" si="143"/>
        <v>EGOUTS ASS ACCIDENTS et MALADIE</v>
      </c>
      <c r="AH743" s="244" t="str">
        <f t="shared" si="144"/>
        <v>61500</v>
      </c>
      <c r="AI743" s="219"/>
      <c r="AJ743" s="219"/>
      <c r="AK743" s="219" t="str">
        <f t="shared" si="145"/>
        <v>3053</v>
      </c>
      <c r="AL743" s="244" t="str">
        <f t="shared" si="146"/>
        <v>00</v>
      </c>
      <c r="AN743" s="219" t="str">
        <f t="shared" si="147"/>
        <v>Cotisations patronales aux assurance-accidents</v>
      </c>
    </row>
    <row r="744" spans="1:40" ht="15" customHeight="1" x14ac:dyDescent="0.3">
      <c r="A744" s="48">
        <v>0</v>
      </c>
      <c r="B744" s="74" t="s">
        <v>1133</v>
      </c>
      <c r="C744" s="67" t="s">
        <v>1134</v>
      </c>
      <c r="D744" s="188" t="s">
        <v>1462</v>
      </c>
      <c r="E744" s="188" t="s">
        <v>1124</v>
      </c>
      <c r="F744" s="188">
        <v>460</v>
      </c>
      <c r="G744" s="188" t="s">
        <v>22</v>
      </c>
      <c r="H744" s="188"/>
      <c r="I744" s="51">
        <v>0</v>
      </c>
      <c r="J744" s="51">
        <v>0</v>
      </c>
      <c r="K744" s="51">
        <f>+I744+J744</f>
        <v>0</v>
      </c>
      <c r="L744" s="51">
        <v>0</v>
      </c>
      <c r="M744" s="51">
        <v>0</v>
      </c>
      <c r="N744" s="51">
        <f t="shared" si="149"/>
        <v>0</v>
      </c>
      <c r="O744" s="51">
        <v>3</v>
      </c>
      <c r="P744" s="185" t="s">
        <v>1587</v>
      </c>
      <c r="Q744" s="179" t="s">
        <v>1382</v>
      </c>
      <c r="R744" s="179" t="s">
        <v>2131</v>
      </c>
      <c r="S744" s="52" t="s">
        <v>1383</v>
      </c>
      <c r="T744" s="54"/>
      <c r="U744" s="54"/>
      <c r="AA744">
        <f t="shared" si="140"/>
        <v>460</v>
      </c>
      <c r="AD744" t="str">
        <f t="shared" si="141"/>
        <v>306</v>
      </c>
      <c r="AE744">
        <f t="shared" si="142"/>
        <v>0</v>
      </c>
      <c r="AG744" s="50" t="str">
        <f t="shared" si="143"/>
        <v>EGOUTS FRAIS DU PERSONNEL</v>
      </c>
      <c r="AH744" s="244" t="str">
        <f t="shared" si="144"/>
        <v>61500</v>
      </c>
      <c r="AI744" s="219"/>
      <c r="AJ744" s="219"/>
      <c r="AK744" s="219" t="str">
        <f t="shared" si="145"/>
        <v>3049</v>
      </c>
      <c r="AL744" s="244" t="str">
        <f t="shared" si="146"/>
        <v>00</v>
      </c>
      <c r="AN744" s="219" t="str">
        <f t="shared" si="147"/>
        <v>Autres indemnités forfaitaires - natels</v>
      </c>
    </row>
    <row r="745" spans="1:40" ht="15" customHeight="1" x14ac:dyDescent="0.3">
      <c r="A745" s="48"/>
      <c r="B745" s="74" t="s">
        <v>1133</v>
      </c>
      <c r="C745" s="67" t="s">
        <v>1134</v>
      </c>
      <c r="D745" s="188" t="s">
        <v>1462</v>
      </c>
      <c r="E745" s="188" t="s">
        <v>1124</v>
      </c>
      <c r="F745" s="188">
        <v>460</v>
      </c>
      <c r="G745" s="188" t="s">
        <v>22</v>
      </c>
      <c r="H745" s="188"/>
      <c r="I745" s="51"/>
      <c r="J745" s="51"/>
      <c r="K745" s="51"/>
      <c r="L745" s="51"/>
      <c r="M745" s="51"/>
      <c r="N745" s="51">
        <f t="shared" si="149"/>
        <v>0</v>
      </c>
      <c r="O745" s="51"/>
      <c r="P745" s="185" t="s">
        <v>1587</v>
      </c>
      <c r="Q745" s="179" t="s">
        <v>1393</v>
      </c>
      <c r="R745" s="179" t="s">
        <v>2131</v>
      </c>
      <c r="S745" s="52" t="s">
        <v>2073</v>
      </c>
      <c r="T745" s="54"/>
      <c r="U745" s="54"/>
      <c r="AA745">
        <f t="shared" si="140"/>
        <v>460</v>
      </c>
      <c r="AD745" t="str">
        <f t="shared" si="141"/>
        <v>306</v>
      </c>
      <c r="AE745">
        <f t="shared" si="142"/>
        <v>0</v>
      </c>
      <c r="AG745" s="50" t="str">
        <f t="shared" si="143"/>
        <v>EGOUTS FRAIS DU PERSONNEL</v>
      </c>
      <c r="AH745" s="244" t="str">
        <f t="shared" si="144"/>
        <v>61500</v>
      </c>
      <c r="AI745" s="219"/>
      <c r="AJ745" s="219"/>
      <c r="AK745" s="219" t="str">
        <f t="shared" si="145"/>
        <v>3170</v>
      </c>
      <c r="AL745" s="244" t="str">
        <f t="shared" si="146"/>
        <v>00</v>
      </c>
      <c r="AN745" s="219" t="str">
        <f t="shared" si="147"/>
        <v>Remboursements de frais effectifs km</v>
      </c>
    </row>
    <row r="746" spans="1:40" ht="15" customHeight="1" x14ac:dyDescent="0.3">
      <c r="A746" s="48"/>
      <c r="B746" s="74" t="s">
        <v>1133</v>
      </c>
      <c r="C746" s="67" t="s">
        <v>1134</v>
      </c>
      <c r="D746" s="188" t="s">
        <v>1462</v>
      </c>
      <c r="E746" s="46"/>
      <c r="F746" s="188">
        <v>460</v>
      </c>
      <c r="G746" s="188" t="s">
        <v>22</v>
      </c>
      <c r="H746" s="46"/>
      <c r="I746" s="51"/>
      <c r="J746" s="51"/>
      <c r="K746" s="51"/>
      <c r="L746" s="51"/>
      <c r="M746" s="51"/>
      <c r="N746" s="51">
        <f t="shared" si="149"/>
        <v>0</v>
      </c>
      <c r="O746" s="51"/>
      <c r="P746" s="185" t="s">
        <v>1587</v>
      </c>
      <c r="Q746" s="179" t="s">
        <v>1368</v>
      </c>
      <c r="R746" s="179" t="s">
        <v>2131</v>
      </c>
      <c r="S746" s="47" t="s">
        <v>1392</v>
      </c>
      <c r="T746" s="54"/>
      <c r="U746" s="54"/>
      <c r="AA746">
        <f t="shared" si="140"/>
        <v>460</v>
      </c>
      <c r="AD746" t="str">
        <f t="shared" si="141"/>
        <v>306</v>
      </c>
      <c r="AE746">
        <f t="shared" si="142"/>
        <v>0</v>
      </c>
      <c r="AG746" s="50" t="str">
        <f t="shared" si="143"/>
        <v>EGOUTS FRAIS DU PERSONNEL</v>
      </c>
      <c r="AH746" s="244" t="str">
        <f t="shared" si="144"/>
        <v>61500</v>
      </c>
      <c r="AI746" s="219"/>
      <c r="AJ746" s="219"/>
      <c r="AK746" s="219" t="str">
        <f t="shared" si="145"/>
        <v>3090</v>
      </c>
      <c r="AL746" s="244" t="str">
        <f t="shared" si="146"/>
        <v>00</v>
      </c>
      <c r="AN746" s="219" t="str">
        <f t="shared" si="147"/>
        <v>Formation et perfectionnement</v>
      </c>
    </row>
    <row r="747" spans="1:40" ht="15" customHeight="1" x14ac:dyDescent="0.3">
      <c r="A747" s="48"/>
      <c r="B747" s="74" t="s">
        <v>1133</v>
      </c>
      <c r="C747" s="67" t="s">
        <v>1134</v>
      </c>
      <c r="D747" s="188" t="s">
        <v>1462</v>
      </c>
      <c r="E747" s="46"/>
      <c r="F747" s="188">
        <v>460</v>
      </c>
      <c r="G747" s="188" t="s">
        <v>22</v>
      </c>
      <c r="H747" s="46"/>
      <c r="I747" s="51"/>
      <c r="J747" s="51"/>
      <c r="K747" s="51"/>
      <c r="L747" s="51"/>
      <c r="M747" s="51"/>
      <c r="N747" s="51">
        <f t="shared" si="149"/>
        <v>0</v>
      </c>
      <c r="O747" s="51"/>
      <c r="P747" s="185" t="s">
        <v>1587</v>
      </c>
      <c r="Q747" s="179" t="s">
        <v>1540</v>
      </c>
      <c r="R747" s="179" t="s">
        <v>2131</v>
      </c>
      <c r="S747" s="52" t="s">
        <v>1543</v>
      </c>
      <c r="T747" s="54"/>
      <c r="U747" s="54"/>
      <c r="AA747">
        <f t="shared" si="140"/>
        <v>460</v>
      </c>
      <c r="AD747" t="str">
        <f t="shared" si="141"/>
        <v>306</v>
      </c>
      <c r="AE747">
        <f t="shared" si="142"/>
        <v>0</v>
      </c>
      <c r="AG747" s="50" t="str">
        <f t="shared" si="143"/>
        <v>EGOUTS FRAIS DU PERSONNEL</v>
      </c>
      <c r="AH747" s="244" t="str">
        <f t="shared" si="144"/>
        <v>61500</v>
      </c>
      <c r="AI747" s="219"/>
      <c r="AJ747" s="219"/>
      <c r="AK747" s="219" t="str">
        <f t="shared" si="145"/>
        <v>3091</v>
      </c>
      <c r="AL747" s="244" t="str">
        <f t="shared" si="146"/>
        <v>00</v>
      </c>
      <c r="AN747" s="219" t="str">
        <f t="shared" si="147"/>
        <v>Recrutement</v>
      </c>
    </row>
    <row r="748" spans="1:40" ht="15" customHeight="1" x14ac:dyDescent="0.3">
      <c r="A748" s="48"/>
      <c r="B748" s="74" t="s">
        <v>1133</v>
      </c>
      <c r="C748" s="67" t="s">
        <v>1134</v>
      </c>
      <c r="D748" s="188" t="s">
        <v>1462</v>
      </c>
      <c r="E748" s="46"/>
      <c r="F748" s="188">
        <v>460</v>
      </c>
      <c r="G748" s="188" t="s">
        <v>22</v>
      </c>
      <c r="H748" s="46"/>
      <c r="I748" s="51"/>
      <c r="J748" s="51"/>
      <c r="K748" s="51"/>
      <c r="L748" s="51"/>
      <c r="M748" s="51"/>
      <c r="N748" s="51">
        <f t="shared" si="149"/>
        <v>0</v>
      </c>
      <c r="O748" s="51"/>
      <c r="P748" s="185" t="s">
        <v>1587</v>
      </c>
      <c r="Q748" s="179" t="s">
        <v>1380</v>
      </c>
      <c r="R748" s="179" t="s">
        <v>2131</v>
      </c>
      <c r="S748" s="52" t="s">
        <v>1381</v>
      </c>
      <c r="T748" s="54"/>
      <c r="U748" s="54"/>
      <c r="AA748">
        <f t="shared" si="140"/>
        <v>460</v>
      </c>
      <c r="AD748" t="str">
        <f t="shared" si="141"/>
        <v>306</v>
      </c>
      <c r="AE748">
        <f t="shared" si="142"/>
        <v>0</v>
      </c>
      <c r="AG748" s="50" t="str">
        <f t="shared" si="143"/>
        <v>EGOUTS FRAIS DU PERSONNEL</v>
      </c>
      <c r="AH748" s="244" t="str">
        <f t="shared" si="144"/>
        <v>61500</v>
      </c>
      <c r="AI748" s="219"/>
      <c r="AJ748" s="219"/>
      <c r="AK748" s="219" t="str">
        <f t="shared" si="145"/>
        <v>3099</v>
      </c>
      <c r="AL748" s="244" t="str">
        <f t="shared" si="146"/>
        <v>00</v>
      </c>
      <c r="AN748" s="219" t="str">
        <f t="shared" si="147"/>
        <v>Autres charges du personnel</v>
      </c>
    </row>
    <row r="749" spans="1:40" ht="15" customHeight="1" x14ac:dyDescent="0.3">
      <c r="A749" s="48">
        <v>0</v>
      </c>
      <c r="B749" s="49" t="s">
        <v>1135</v>
      </c>
      <c r="C749" s="50" t="s">
        <v>1136</v>
      </c>
      <c r="D749" s="46" t="s">
        <v>1462</v>
      </c>
      <c r="E749" s="46" t="s">
        <v>1124</v>
      </c>
      <c r="F749" s="188">
        <v>460</v>
      </c>
      <c r="G749" s="46" t="s">
        <v>25</v>
      </c>
      <c r="H749" s="46"/>
      <c r="I749" s="51">
        <v>0</v>
      </c>
      <c r="J749" s="51">
        <v>0</v>
      </c>
      <c r="K749" s="51">
        <f t="shared" ref="K749:K780" si="150">+I749+J749</f>
        <v>0</v>
      </c>
      <c r="L749" s="51">
        <v>0</v>
      </c>
      <c r="M749" s="51">
        <v>0</v>
      </c>
      <c r="N749" s="51">
        <f t="shared" si="149"/>
        <v>0</v>
      </c>
      <c r="O749" s="51">
        <v>0</v>
      </c>
      <c r="P749" s="179" t="s">
        <v>1489</v>
      </c>
      <c r="Q749" s="179" t="s">
        <v>1489</v>
      </c>
      <c r="R749" s="179" t="s">
        <v>1489</v>
      </c>
      <c r="S749" s="47" t="s">
        <v>1489</v>
      </c>
      <c r="T749" s="54"/>
      <c r="U749" s="54"/>
      <c r="AA749">
        <f t="shared" si="140"/>
        <v>460</v>
      </c>
      <c r="AD749" t="str">
        <f t="shared" si="141"/>
        <v>311</v>
      </c>
      <c r="AE749">
        <f t="shared" si="142"/>
        <v>0</v>
      </c>
      <c r="AG749" s="50" t="str">
        <f t="shared" si="143"/>
        <v>EGOUTS  ACHAT MACHINE MATERIEL</v>
      </c>
      <c r="AH749" s="244" t="str">
        <f t="shared" si="144"/>
        <v>-</v>
      </c>
      <c r="AI749" s="219"/>
      <c r="AJ749" s="219"/>
      <c r="AK749" s="219" t="str">
        <f t="shared" si="145"/>
        <v>-</v>
      </c>
      <c r="AL749" s="244" t="str">
        <f t="shared" si="146"/>
        <v>-</v>
      </c>
      <c r="AN749" s="219" t="str">
        <f t="shared" si="147"/>
        <v>-</v>
      </c>
    </row>
    <row r="750" spans="1:40" ht="15" customHeight="1" x14ac:dyDescent="0.3">
      <c r="A750" s="48">
        <v>0</v>
      </c>
      <c r="B750" s="49" t="s">
        <v>1137</v>
      </c>
      <c r="C750" s="50" t="s">
        <v>1138</v>
      </c>
      <c r="D750" s="46" t="s">
        <v>1462</v>
      </c>
      <c r="E750" s="46" t="s">
        <v>1124</v>
      </c>
      <c r="F750" s="188">
        <v>460</v>
      </c>
      <c r="G750" s="46" t="s">
        <v>159</v>
      </c>
      <c r="H750" s="46"/>
      <c r="I750" s="51">
        <v>141.01</v>
      </c>
      <c r="J750" s="51">
        <v>0</v>
      </c>
      <c r="K750" s="51">
        <f t="shared" si="150"/>
        <v>141.01</v>
      </c>
      <c r="L750" s="51">
        <v>0</v>
      </c>
      <c r="M750" s="51">
        <v>0</v>
      </c>
      <c r="N750" s="51">
        <f t="shared" si="149"/>
        <v>0</v>
      </c>
      <c r="O750" s="51">
        <v>71.83</v>
      </c>
      <c r="P750" s="179" t="s">
        <v>1689</v>
      </c>
      <c r="Q750" s="179" t="s">
        <v>1500</v>
      </c>
      <c r="R750" s="179" t="s">
        <v>2132</v>
      </c>
      <c r="S750" s="55" t="s">
        <v>1502</v>
      </c>
      <c r="T750" s="54">
        <f>+I750</f>
        <v>141.01</v>
      </c>
      <c r="U750" s="54"/>
      <c r="AA750">
        <f t="shared" si="140"/>
        <v>460</v>
      </c>
      <c r="AD750" t="str">
        <f t="shared" si="141"/>
        <v>312</v>
      </c>
      <c r="AE750">
        <f t="shared" si="142"/>
        <v>0</v>
      </c>
      <c r="AG750" s="50" t="str">
        <f t="shared" si="143"/>
        <v>EGOUTS  ACHATS ELECTRICITE</v>
      </c>
      <c r="AH750" s="244" t="str">
        <f t="shared" si="144"/>
        <v>72000</v>
      </c>
      <c r="AI750" s="219"/>
      <c r="AJ750" s="219"/>
      <c r="AK750" s="219" t="str">
        <f t="shared" si="145"/>
        <v>3120</v>
      </c>
      <c r="AL750" s="244" t="str">
        <f t="shared" si="146"/>
        <v>01</v>
      </c>
      <c r="AN750" s="219" t="str">
        <f t="shared" si="147"/>
        <v>Frais d'électricité</v>
      </c>
    </row>
    <row r="751" spans="1:40" ht="15" customHeight="1" x14ac:dyDescent="0.3">
      <c r="A751" s="48">
        <v>0</v>
      </c>
      <c r="B751" s="49" t="s">
        <v>1139</v>
      </c>
      <c r="C751" s="50" t="s">
        <v>1140</v>
      </c>
      <c r="D751" s="46" t="s">
        <v>1462</v>
      </c>
      <c r="E751" s="46" t="s">
        <v>1124</v>
      </c>
      <c r="F751" s="188">
        <v>460</v>
      </c>
      <c r="G751" s="46" t="s">
        <v>439</v>
      </c>
      <c r="H751" s="46"/>
      <c r="I751" s="51">
        <v>0</v>
      </c>
      <c r="J751" s="51">
        <v>0</v>
      </c>
      <c r="K751" s="51">
        <f t="shared" si="150"/>
        <v>0</v>
      </c>
      <c r="L751" s="51">
        <v>0</v>
      </c>
      <c r="M751" s="51">
        <v>0</v>
      </c>
      <c r="N751" s="51">
        <f t="shared" si="149"/>
        <v>0</v>
      </c>
      <c r="O751" s="51">
        <v>0</v>
      </c>
      <c r="P751" s="179" t="s">
        <v>1489</v>
      </c>
      <c r="Q751" s="179" t="s">
        <v>1489</v>
      </c>
      <c r="R751" s="179" t="s">
        <v>1489</v>
      </c>
      <c r="S751" s="47" t="s">
        <v>1489</v>
      </c>
      <c r="T751" s="54"/>
      <c r="U751" s="54"/>
      <c r="AA751">
        <f t="shared" si="140"/>
        <v>460</v>
      </c>
      <c r="AD751" t="str">
        <f t="shared" si="141"/>
        <v>313</v>
      </c>
      <c r="AE751">
        <f t="shared" si="142"/>
        <v>0</v>
      </c>
      <c r="AG751" s="50" t="str">
        <f t="shared" si="143"/>
        <v>EGOUTS  ACHATS MARCH PROD ENTRETIEN</v>
      </c>
      <c r="AH751" s="244" t="str">
        <f t="shared" si="144"/>
        <v>-</v>
      </c>
      <c r="AI751" s="219"/>
      <c r="AJ751" s="219"/>
      <c r="AK751" s="219" t="str">
        <f t="shared" si="145"/>
        <v>-</v>
      </c>
      <c r="AL751" s="244" t="str">
        <f t="shared" si="146"/>
        <v>-</v>
      </c>
      <c r="AN751" s="219" t="str">
        <f t="shared" si="147"/>
        <v>-</v>
      </c>
    </row>
    <row r="752" spans="1:40" ht="15" customHeight="1" x14ac:dyDescent="0.3">
      <c r="A752" s="48">
        <v>0</v>
      </c>
      <c r="B752" s="49" t="s">
        <v>1141</v>
      </c>
      <c r="C752" s="50" t="s">
        <v>1142</v>
      </c>
      <c r="D752" s="46" t="s">
        <v>1462</v>
      </c>
      <c r="E752" s="46" t="s">
        <v>1124</v>
      </c>
      <c r="F752" s="188">
        <v>460</v>
      </c>
      <c r="G752" s="46" t="s">
        <v>131</v>
      </c>
      <c r="H752" s="46"/>
      <c r="I752" s="51">
        <v>36072.57</v>
      </c>
      <c r="J752" s="51">
        <v>0</v>
      </c>
      <c r="K752" s="51">
        <f t="shared" si="150"/>
        <v>36072.57</v>
      </c>
      <c r="L752" s="51">
        <v>75000</v>
      </c>
      <c r="M752" s="51">
        <v>0</v>
      </c>
      <c r="N752" s="51">
        <f t="shared" si="149"/>
        <v>75000</v>
      </c>
      <c r="O752" s="51">
        <v>37969.24</v>
      </c>
      <c r="P752" s="179" t="s">
        <v>1689</v>
      </c>
      <c r="Q752" s="179" t="s">
        <v>1570</v>
      </c>
      <c r="R752" s="179" t="s">
        <v>2131</v>
      </c>
      <c r="S752" s="47" t="s">
        <v>1571</v>
      </c>
      <c r="T752" s="54">
        <f>+I752</f>
        <v>36072.57</v>
      </c>
      <c r="U752" s="54"/>
      <c r="AA752">
        <f t="shared" si="140"/>
        <v>460</v>
      </c>
      <c r="AD752" t="str">
        <f t="shared" si="141"/>
        <v>314</v>
      </c>
      <c r="AE752">
        <f t="shared" si="142"/>
        <v>0</v>
      </c>
      <c r="AG752" s="50" t="str">
        <f t="shared" si="143"/>
        <v>EGOUTS  ENTRETIEN RESEAU</v>
      </c>
      <c r="AH752" s="244" t="str">
        <f t="shared" si="144"/>
        <v>72000</v>
      </c>
      <c r="AI752" s="219"/>
      <c r="AJ752" s="219"/>
      <c r="AK752" s="219" t="str">
        <f t="shared" si="145"/>
        <v>3143</v>
      </c>
      <c r="AL752" s="244" t="str">
        <f t="shared" si="146"/>
        <v>00</v>
      </c>
      <c r="AN752" s="219" t="str">
        <f t="shared" si="147"/>
        <v>Entretien autres travaux de genie civil</v>
      </c>
    </row>
    <row r="753" spans="1:40" ht="15" customHeight="1" x14ac:dyDescent="0.3">
      <c r="A753" s="48">
        <v>0</v>
      </c>
      <c r="B753" s="49" t="s">
        <v>1143</v>
      </c>
      <c r="C753" s="50" t="s">
        <v>1144</v>
      </c>
      <c r="D753" s="46" t="s">
        <v>1462</v>
      </c>
      <c r="E753" s="46" t="s">
        <v>1124</v>
      </c>
      <c r="F753" s="188">
        <v>460</v>
      </c>
      <c r="G753" s="46" t="s">
        <v>48</v>
      </c>
      <c r="H753" s="46"/>
      <c r="I753" s="51">
        <v>26.55</v>
      </c>
      <c r="J753" s="51">
        <v>0</v>
      </c>
      <c r="K753" s="51">
        <f t="shared" si="150"/>
        <v>26.55</v>
      </c>
      <c r="L753" s="51">
        <v>30</v>
      </c>
      <c r="M753" s="51">
        <v>0</v>
      </c>
      <c r="N753" s="51">
        <f t="shared" si="149"/>
        <v>30</v>
      </c>
      <c r="O753" s="51">
        <v>26.9</v>
      </c>
      <c r="P753" s="179" t="s">
        <v>1689</v>
      </c>
      <c r="Q753" s="179" t="s">
        <v>1418</v>
      </c>
      <c r="R753" s="179" t="s">
        <v>2131</v>
      </c>
      <c r="S753" s="47" t="s">
        <v>2091</v>
      </c>
      <c r="T753" s="54">
        <f>+I753</f>
        <v>26.55</v>
      </c>
      <c r="U753" s="54"/>
      <c r="AA753">
        <f t="shared" si="140"/>
        <v>460</v>
      </c>
      <c r="AD753" t="str">
        <f t="shared" si="141"/>
        <v>318</v>
      </c>
      <c r="AE753">
        <f t="shared" si="142"/>
        <v>0</v>
      </c>
      <c r="AG753" s="50" t="str">
        <f t="shared" si="143"/>
        <v>EGOUTS  PREST SERVICES HONORAIRES EXPERTISES</v>
      </c>
      <c r="AH753" s="244" t="str">
        <f t="shared" si="144"/>
        <v>72000</v>
      </c>
      <c r="AI753" s="219"/>
      <c r="AJ753" s="219"/>
      <c r="AK753" s="219" t="str">
        <f t="shared" si="145"/>
        <v>3134</v>
      </c>
      <c r="AL753" s="244" t="str">
        <f t="shared" si="146"/>
        <v>00</v>
      </c>
      <c r="AN753" s="219" t="str">
        <f t="shared" si="147"/>
        <v>Frais assurances</v>
      </c>
    </row>
    <row r="754" spans="1:40" ht="15" customHeight="1" x14ac:dyDescent="0.3">
      <c r="A754" s="48">
        <v>0</v>
      </c>
      <c r="B754" s="49" t="s">
        <v>1145</v>
      </c>
      <c r="C754" s="50" t="s">
        <v>1146</v>
      </c>
      <c r="D754" s="46" t="s">
        <v>1462</v>
      </c>
      <c r="E754" s="46" t="s">
        <v>1124</v>
      </c>
      <c r="F754" s="188">
        <v>460</v>
      </c>
      <c r="G754" s="46" t="s">
        <v>53</v>
      </c>
      <c r="H754" s="46"/>
      <c r="I754" s="51">
        <v>0</v>
      </c>
      <c r="J754" s="51">
        <v>0</v>
      </c>
      <c r="K754" s="51">
        <f t="shared" si="150"/>
        <v>0</v>
      </c>
      <c r="L754" s="51">
        <v>0</v>
      </c>
      <c r="M754" s="51">
        <v>0</v>
      </c>
      <c r="N754" s="51">
        <f t="shared" si="149"/>
        <v>0</v>
      </c>
      <c r="O754" s="51">
        <v>0</v>
      </c>
      <c r="P754" s="179" t="s">
        <v>1489</v>
      </c>
      <c r="Q754" s="179" t="s">
        <v>1489</v>
      </c>
      <c r="R754" s="179" t="s">
        <v>1489</v>
      </c>
      <c r="S754" s="47" t="s">
        <v>1489</v>
      </c>
      <c r="T754" s="54"/>
      <c r="U754" s="54"/>
      <c r="AA754">
        <f t="shared" si="140"/>
        <v>460</v>
      </c>
      <c r="AD754" t="str">
        <f t="shared" si="141"/>
        <v>330</v>
      </c>
      <c r="AE754">
        <f t="shared" si="142"/>
        <v>0</v>
      </c>
      <c r="AG754" s="50" t="str">
        <f t="shared" si="143"/>
        <v>EGOUTS  AMORTISSEMENT CREANCES et DEBITEURS</v>
      </c>
      <c r="AH754" s="244" t="str">
        <f t="shared" si="144"/>
        <v>-</v>
      </c>
      <c r="AI754" s="219"/>
      <c r="AJ754" s="219"/>
      <c r="AK754" s="219" t="str">
        <f t="shared" si="145"/>
        <v>-</v>
      </c>
      <c r="AL754" s="244" t="str">
        <f t="shared" si="146"/>
        <v>-</v>
      </c>
      <c r="AN754" s="219" t="str">
        <f t="shared" si="147"/>
        <v>-</v>
      </c>
    </row>
    <row r="755" spans="1:40" ht="15" customHeight="1" x14ac:dyDescent="0.3">
      <c r="A755" s="48">
        <v>0</v>
      </c>
      <c r="B755" s="49" t="s">
        <v>1147</v>
      </c>
      <c r="C755" s="50" t="s">
        <v>1148</v>
      </c>
      <c r="D755" s="46" t="s">
        <v>1462</v>
      </c>
      <c r="E755" s="46" t="s">
        <v>1124</v>
      </c>
      <c r="F755" s="188">
        <v>460</v>
      </c>
      <c r="G755" s="46" t="s">
        <v>164</v>
      </c>
      <c r="H755" s="46"/>
      <c r="I755" s="51">
        <v>0</v>
      </c>
      <c r="J755" s="51">
        <v>0</v>
      </c>
      <c r="K755" s="51">
        <f t="shared" si="150"/>
        <v>0</v>
      </c>
      <c r="L755" s="51">
        <v>0</v>
      </c>
      <c r="M755" s="51">
        <v>0</v>
      </c>
      <c r="N755" s="51">
        <f t="shared" si="149"/>
        <v>0</v>
      </c>
      <c r="O755" s="51">
        <v>0</v>
      </c>
      <c r="P755" s="179" t="s">
        <v>1489</v>
      </c>
      <c r="Q755" s="179" t="s">
        <v>1489</v>
      </c>
      <c r="R755" s="179" t="s">
        <v>1489</v>
      </c>
      <c r="S755" s="47" t="s">
        <v>1489</v>
      </c>
      <c r="T755" s="54"/>
      <c r="U755" s="54"/>
      <c r="AA755">
        <f t="shared" si="140"/>
        <v>460</v>
      </c>
      <c r="AD755" t="str">
        <f t="shared" si="141"/>
        <v>331</v>
      </c>
      <c r="AE755">
        <f t="shared" si="142"/>
        <v>0</v>
      </c>
      <c r="AG755" s="50" t="str">
        <f t="shared" si="143"/>
        <v>EGOUTS  Amortissement obligatoire Patr.Administratif</v>
      </c>
      <c r="AH755" s="244" t="str">
        <f t="shared" si="144"/>
        <v>-</v>
      </c>
      <c r="AI755" s="219"/>
      <c r="AJ755" s="219"/>
      <c r="AK755" s="219" t="str">
        <f t="shared" si="145"/>
        <v>-</v>
      </c>
      <c r="AL755" s="244" t="str">
        <f t="shared" si="146"/>
        <v>-</v>
      </c>
      <c r="AN755" s="219" t="str">
        <f t="shared" si="147"/>
        <v>-</v>
      </c>
    </row>
    <row r="756" spans="1:40" ht="15" customHeight="1" x14ac:dyDescent="0.3">
      <c r="A756" s="48">
        <v>0</v>
      </c>
      <c r="B756" s="49" t="s">
        <v>1149</v>
      </c>
      <c r="C756" s="50" t="s">
        <v>1150</v>
      </c>
      <c r="D756" s="46" t="s">
        <v>1462</v>
      </c>
      <c r="E756" s="46" t="s">
        <v>1124</v>
      </c>
      <c r="F756" s="188">
        <v>460</v>
      </c>
      <c r="G756" s="46" t="s">
        <v>96</v>
      </c>
      <c r="H756" s="46"/>
      <c r="I756" s="51">
        <v>498873.96</v>
      </c>
      <c r="J756" s="51">
        <v>0</v>
      </c>
      <c r="K756" s="51">
        <f t="shared" si="150"/>
        <v>498873.96</v>
      </c>
      <c r="L756" s="51">
        <v>0</v>
      </c>
      <c r="M756" s="51">
        <v>0</v>
      </c>
      <c r="N756" s="51">
        <f t="shared" si="149"/>
        <v>0</v>
      </c>
      <c r="O756" s="51">
        <v>0</v>
      </c>
      <c r="P756" s="179" t="s">
        <v>1689</v>
      </c>
      <c r="Q756" s="179" t="s">
        <v>1607</v>
      </c>
      <c r="R756" s="179" t="s">
        <v>2139</v>
      </c>
      <c r="S756" s="47" t="s">
        <v>1608</v>
      </c>
      <c r="T756" s="54">
        <f>+I756</f>
        <v>498873.96</v>
      </c>
      <c r="U756" s="54"/>
      <c r="W756" t="s">
        <v>2166</v>
      </c>
      <c r="AA756">
        <f t="shared" si="140"/>
        <v>460</v>
      </c>
      <c r="AD756" t="str">
        <f t="shared" si="141"/>
        <v>332</v>
      </c>
      <c r="AE756">
        <f t="shared" si="142"/>
        <v>0</v>
      </c>
      <c r="AG756" s="50" t="str">
        <f t="shared" si="143"/>
        <v>EGOUTS  AMORTISSEMENT SUPPL P ADM</v>
      </c>
      <c r="AH756" s="244" t="str">
        <f t="shared" si="144"/>
        <v>72000</v>
      </c>
      <c r="AI756" s="219"/>
      <c r="AJ756" s="219"/>
      <c r="AK756" s="219" t="str">
        <f t="shared" si="145"/>
        <v>3301</v>
      </c>
      <c r="AL756" s="244" t="str">
        <f t="shared" si="146"/>
        <v>09</v>
      </c>
      <c r="AN756" s="219" t="str">
        <f t="shared" si="147"/>
        <v>Amortissements non planifiés des immobilisations corporelles PA</v>
      </c>
    </row>
    <row r="757" spans="1:40" ht="15" customHeight="1" x14ac:dyDescent="0.3">
      <c r="A757" s="48">
        <v>0</v>
      </c>
      <c r="B757" s="49" t="s">
        <v>1151</v>
      </c>
      <c r="C757" s="50" t="s">
        <v>1152</v>
      </c>
      <c r="D757" s="46" t="s">
        <v>1462</v>
      </c>
      <c r="E757" s="46" t="s">
        <v>1124</v>
      </c>
      <c r="F757" s="188">
        <v>460</v>
      </c>
      <c r="G757" s="46" t="s">
        <v>5</v>
      </c>
      <c r="H757" s="46"/>
      <c r="I757" s="51">
        <v>231937.83</v>
      </c>
      <c r="J757" s="51">
        <v>0</v>
      </c>
      <c r="K757" s="51">
        <f t="shared" si="150"/>
        <v>231937.83</v>
      </c>
      <c r="L757" s="51">
        <v>395000</v>
      </c>
      <c r="M757" s="51">
        <v>0</v>
      </c>
      <c r="N757" s="51">
        <f t="shared" si="149"/>
        <v>395000</v>
      </c>
      <c r="O757" s="51">
        <v>0</v>
      </c>
      <c r="P757" s="179" t="s">
        <v>1689</v>
      </c>
      <c r="Q757" s="179" t="s">
        <v>1398</v>
      </c>
      <c r="R757" s="179" t="s">
        <v>2131</v>
      </c>
      <c r="S757" s="47" t="s">
        <v>2049</v>
      </c>
      <c r="T757" s="54">
        <f>+I757</f>
        <v>231937.83</v>
      </c>
      <c r="U757" s="54"/>
      <c r="W757" t="s">
        <v>1690</v>
      </c>
      <c r="AA757">
        <f t="shared" si="140"/>
        <v>460</v>
      </c>
      <c r="AD757" t="str">
        <f t="shared" si="141"/>
        <v>352</v>
      </c>
      <c r="AE757">
        <f t="shared" si="142"/>
        <v>0</v>
      </c>
      <c r="AG757" s="50" t="str">
        <f t="shared" si="143"/>
        <v>EGOUTS  Epuration eaux usées par APEC</v>
      </c>
      <c r="AH757" s="244" t="str">
        <f t="shared" si="144"/>
        <v>72000</v>
      </c>
      <c r="AI757" s="219"/>
      <c r="AJ757" s="219"/>
      <c r="AK757" s="219" t="str">
        <f t="shared" si="145"/>
        <v>3612</v>
      </c>
      <c r="AL757" s="244" t="str">
        <f t="shared" si="146"/>
        <v>00</v>
      </c>
      <c r="AN757" s="219" t="str">
        <f t="shared" si="147"/>
        <v>Parts aux communes et assoc intercomm - APEC</v>
      </c>
    </row>
    <row r="758" spans="1:40" ht="15" customHeight="1" x14ac:dyDescent="0.3">
      <c r="A758" s="48">
        <v>0</v>
      </c>
      <c r="B758" s="49" t="s">
        <v>1153</v>
      </c>
      <c r="C758" s="50" t="s">
        <v>1154</v>
      </c>
      <c r="D758" s="46" t="s">
        <v>1462</v>
      </c>
      <c r="E758" s="46" t="s">
        <v>1124</v>
      </c>
      <c r="F758" s="188">
        <v>460</v>
      </c>
      <c r="G758" s="46" t="s">
        <v>5</v>
      </c>
      <c r="H758" s="46">
        <v>1</v>
      </c>
      <c r="I758" s="51">
        <v>0</v>
      </c>
      <c r="J758" s="51">
        <v>0</v>
      </c>
      <c r="K758" s="51">
        <f t="shared" si="150"/>
        <v>0</v>
      </c>
      <c r="L758" s="51">
        <v>0</v>
      </c>
      <c r="M758" s="51">
        <v>0</v>
      </c>
      <c r="N758" s="51">
        <f t="shared" si="149"/>
        <v>0</v>
      </c>
      <c r="O758" s="51">
        <v>0</v>
      </c>
      <c r="P758" s="179" t="s">
        <v>1489</v>
      </c>
      <c r="Q758" s="179" t="s">
        <v>1489</v>
      </c>
      <c r="R758" s="179" t="s">
        <v>1489</v>
      </c>
      <c r="S758" s="47" t="s">
        <v>1489</v>
      </c>
      <c r="T758" s="54"/>
      <c r="U758" s="54"/>
      <c r="AA758">
        <f t="shared" si="140"/>
        <v>460</v>
      </c>
      <c r="AD758" t="str">
        <f t="shared" si="141"/>
        <v>352</v>
      </c>
      <c r="AE758">
        <f t="shared" si="142"/>
        <v>1</v>
      </c>
      <c r="AG758" s="50" t="str">
        <f t="shared" si="143"/>
        <v>EGOUTS  Financement élimination composés organiques, micropolluants (dès 2020 soumis TVA)</v>
      </c>
      <c r="AH758" s="244" t="str">
        <f t="shared" si="144"/>
        <v>-</v>
      </c>
      <c r="AI758" s="219"/>
      <c r="AJ758" s="219"/>
      <c r="AK758" s="219" t="str">
        <f t="shared" si="145"/>
        <v>-</v>
      </c>
      <c r="AL758" s="244" t="str">
        <f t="shared" si="146"/>
        <v>-</v>
      </c>
      <c r="AN758" s="219" t="str">
        <f t="shared" si="147"/>
        <v>-</v>
      </c>
    </row>
    <row r="759" spans="1:40" ht="15" customHeight="1" x14ac:dyDescent="0.3">
      <c r="A759" s="48">
        <v>0</v>
      </c>
      <c r="B759" s="49" t="s">
        <v>1155</v>
      </c>
      <c r="C759" s="50" t="s">
        <v>1156</v>
      </c>
      <c r="D759" s="46" t="s">
        <v>1462</v>
      </c>
      <c r="E759" s="46" t="s">
        <v>1124</v>
      </c>
      <c r="F759" s="188">
        <v>460</v>
      </c>
      <c r="G759" s="46" t="s">
        <v>138</v>
      </c>
      <c r="H759" s="46"/>
      <c r="I759" s="51">
        <v>80319.990000000005</v>
      </c>
      <c r="J759" s="51">
        <v>0</v>
      </c>
      <c r="K759" s="51">
        <f t="shared" si="150"/>
        <v>80319.990000000005</v>
      </c>
      <c r="L759" s="51">
        <v>0</v>
      </c>
      <c r="M759" s="51">
        <v>0</v>
      </c>
      <c r="N759" s="51">
        <f t="shared" si="149"/>
        <v>0</v>
      </c>
      <c r="O759" s="51">
        <v>0</v>
      </c>
      <c r="P759" s="179" t="s">
        <v>1689</v>
      </c>
      <c r="Q759" s="179" t="s">
        <v>765</v>
      </c>
      <c r="R759" s="179" t="s">
        <v>2131</v>
      </c>
      <c r="S759" s="47" t="s">
        <v>2039</v>
      </c>
      <c r="T759" s="54">
        <f>+I759</f>
        <v>80319.990000000005</v>
      </c>
      <c r="U759" s="54"/>
      <c r="AA759">
        <f t="shared" si="140"/>
        <v>460</v>
      </c>
      <c r="AD759" t="str">
        <f t="shared" si="141"/>
        <v>381</v>
      </c>
      <c r="AE759">
        <f t="shared" si="142"/>
        <v>0</v>
      </c>
      <c r="AG759" s="50" t="str">
        <f t="shared" si="143"/>
        <v>EGOUTS  ATTRIB FINANC SPECIAUX (9280.2)</v>
      </c>
      <c r="AH759" s="244" t="str">
        <f t="shared" si="144"/>
        <v>72000</v>
      </c>
      <c r="AI759" s="219"/>
      <c r="AJ759" s="219"/>
      <c r="AK759" s="219" t="str">
        <f t="shared" si="145"/>
        <v>3510</v>
      </c>
      <c r="AL759" s="244" t="str">
        <f t="shared" si="146"/>
        <v>00</v>
      </c>
      <c r="AN759" s="219" t="str">
        <f t="shared" si="147"/>
        <v>Attributions aux fonds et financements spéciaux</v>
      </c>
    </row>
    <row r="760" spans="1:40" ht="15" customHeight="1" x14ac:dyDescent="0.3">
      <c r="A760" s="48"/>
      <c r="B760" s="49"/>
      <c r="C760" s="50"/>
      <c r="D760" s="46"/>
      <c r="E760" s="46"/>
      <c r="F760" s="46"/>
      <c r="G760" s="46"/>
      <c r="H760" s="46"/>
      <c r="I760" s="51">
        <v>0</v>
      </c>
      <c r="J760" s="51">
        <v>0</v>
      </c>
      <c r="K760" s="51">
        <f t="shared" si="150"/>
        <v>0</v>
      </c>
      <c r="L760" s="51">
        <v>0</v>
      </c>
      <c r="M760" s="51">
        <v>0</v>
      </c>
      <c r="N760" s="51">
        <f t="shared" ref="N760:N791" si="151">+L760+M760</f>
        <v>0</v>
      </c>
      <c r="O760" s="51"/>
      <c r="P760" s="179" t="s">
        <v>1689</v>
      </c>
      <c r="Q760" s="179" t="s">
        <v>1686</v>
      </c>
      <c r="R760" s="179" t="s">
        <v>2131</v>
      </c>
      <c r="S760" s="58" t="s">
        <v>1687</v>
      </c>
      <c r="T760" s="54"/>
      <c r="U760" s="54"/>
      <c r="AA760">
        <f t="shared" si="140"/>
        <v>0</v>
      </c>
      <c r="AD760">
        <f t="shared" si="141"/>
        <v>0</v>
      </c>
      <c r="AE760">
        <f t="shared" si="142"/>
        <v>0</v>
      </c>
      <c r="AG760" s="50">
        <f t="shared" si="143"/>
        <v>0</v>
      </c>
      <c r="AH760" s="244" t="str">
        <f t="shared" si="144"/>
        <v>72000</v>
      </c>
      <c r="AI760" s="219"/>
      <c r="AJ760" s="219"/>
      <c r="AK760" s="219" t="str">
        <f t="shared" si="145"/>
        <v>4510</v>
      </c>
      <c r="AL760" s="244" t="str">
        <f t="shared" si="146"/>
        <v>00</v>
      </c>
      <c r="AN760" s="219" t="str">
        <f t="shared" si="147"/>
        <v>Prélèvements aux fonds et financement spéciaux</v>
      </c>
    </row>
    <row r="761" spans="1:40" ht="15" customHeight="1" x14ac:dyDescent="0.3">
      <c r="A761" s="48">
        <v>0</v>
      </c>
      <c r="B761" s="49" t="s">
        <v>1157</v>
      </c>
      <c r="C761" s="50" t="s">
        <v>1158</v>
      </c>
      <c r="D761" s="46" t="s">
        <v>1462</v>
      </c>
      <c r="E761" s="46" t="s">
        <v>1124</v>
      </c>
      <c r="F761" s="46">
        <v>460</v>
      </c>
      <c r="G761" s="46" t="s">
        <v>138</v>
      </c>
      <c r="H761" s="46">
        <v>1</v>
      </c>
      <c r="I761" s="51">
        <v>0</v>
      </c>
      <c r="J761" s="51">
        <v>0</v>
      </c>
      <c r="K761" s="51">
        <f t="shared" si="150"/>
        <v>0</v>
      </c>
      <c r="L761" s="51">
        <v>0</v>
      </c>
      <c r="M761" s="51">
        <v>0</v>
      </c>
      <c r="N761" s="51">
        <f t="shared" si="151"/>
        <v>0</v>
      </c>
      <c r="O761" s="51">
        <v>0</v>
      </c>
      <c r="P761" s="179" t="s">
        <v>1489</v>
      </c>
      <c r="Q761" s="179" t="s">
        <v>1489</v>
      </c>
      <c r="R761" s="179" t="s">
        <v>1489</v>
      </c>
      <c r="S761" s="47" t="s">
        <v>1489</v>
      </c>
      <c r="T761" s="54"/>
      <c r="U761" s="54"/>
      <c r="AA761">
        <f t="shared" si="140"/>
        <v>460</v>
      </c>
      <c r="AD761" t="str">
        <f t="shared" si="141"/>
        <v>381</v>
      </c>
      <c r="AE761">
        <f t="shared" si="142"/>
        <v>1</v>
      </c>
      <c r="AG761" s="50" t="str">
        <f t="shared" si="143"/>
        <v>EGOUTS  ATTRIB FINANC SPECIAUX PGEE (9280.4)</v>
      </c>
      <c r="AH761" s="244" t="str">
        <f t="shared" si="144"/>
        <v>-</v>
      </c>
      <c r="AI761" s="219"/>
      <c r="AJ761" s="219"/>
      <c r="AK761" s="219" t="str">
        <f t="shared" si="145"/>
        <v>-</v>
      </c>
      <c r="AL761" s="244" t="str">
        <f t="shared" si="146"/>
        <v>-</v>
      </c>
      <c r="AN761" s="219" t="str">
        <f t="shared" si="147"/>
        <v>-</v>
      </c>
    </row>
    <row r="762" spans="1:40" ht="15" customHeight="1" x14ac:dyDescent="0.3">
      <c r="A762" s="48">
        <v>0</v>
      </c>
      <c r="B762" s="49" t="s">
        <v>1159</v>
      </c>
      <c r="C762" s="50" t="s">
        <v>1160</v>
      </c>
      <c r="D762" s="46" t="s">
        <v>1462</v>
      </c>
      <c r="E762" s="46" t="s">
        <v>1124</v>
      </c>
      <c r="F762" s="46">
        <v>460</v>
      </c>
      <c r="G762" s="46" t="s">
        <v>28</v>
      </c>
      <c r="H762" s="46">
        <v>1</v>
      </c>
      <c r="I762" s="51">
        <v>0</v>
      </c>
      <c r="J762" s="51">
        <v>0</v>
      </c>
      <c r="K762" s="51">
        <f t="shared" si="150"/>
        <v>0</v>
      </c>
      <c r="L762" s="51">
        <v>0</v>
      </c>
      <c r="M762" s="51">
        <v>0</v>
      </c>
      <c r="N762" s="51">
        <f t="shared" si="151"/>
        <v>0</v>
      </c>
      <c r="O762" s="51">
        <v>0</v>
      </c>
      <c r="P762" s="179" t="s">
        <v>1489</v>
      </c>
      <c r="Q762" s="179" t="s">
        <v>1489</v>
      </c>
      <c r="R762" s="179" t="s">
        <v>1489</v>
      </c>
      <c r="S762" s="47" t="s">
        <v>1489</v>
      </c>
      <c r="T762" s="54"/>
      <c r="U762" s="54"/>
      <c r="AA762">
        <f t="shared" si="140"/>
        <v>460</v>
      </c>
      <c r="AD762" t="str">
        <f t="shared" si="141"/>
        <v>390</v>
      </c>
      <c r="AE762">
        <f t="shared" si="142"/>
        <v>1</v>
      </c>
      <c r="AG762" s="50" t="str">
        <f t="shared" si="143"/>
        <v>EGOUTS  IMPUTATIONS INT SALAIRES</v>
      </c>
      <c r="AH762" s="244" t="str">
        <f t="shared" si="144"/>
        <v>-</v>
      </c>
      <c r="AI762" s="219"/>
      <c r="AJ762" s="219"/>
      <c r="AK762" s="219" t="str">
        <f t="shared" si="145"/>
        <v>-</v>
      </c>
      <c r="AL762" s="244" t="str">
        <f t="shared" si="146"/>
        <v>-</v>
      </c>
      <c r="AN762" s="219" t="str">
        <f t="shared" si="147"/>
        <v>-</v>
      </c>
    </row>
    <row r="763" spans="1:40" ht="15" customHeight="1" x14ac:dyDescent="0.3">
      <c r="A763" s="48">
        <v>0</v>
      </c>
      <c r="B763" s="49" t="s">
        <v>1161</v>
      </c>
      <c r="C763" s="50" t="s">
        <v>1162</v>
      </c>
      <c r="D763" s="46" t="s">
        <v>1462</v>
      </c>
      <c r="E763" s="46" t="s">
        <v>1124</v>
      </c>
      <c r="F763" s="46">
        <v>460</v>
      </c>
      <c r="G763" s="46" t="s">
        <v>338</v>
      </c>
      <c r="H763" s="46"/>
      <c r="I763" s="51">
        <v>0</v>
      </c>
      <c r="J763" s="51">
        <v>-298104.90000000002</v>
      </c>
      <c r="K763" s="51">
        <f t="shared" si="150"/>
        <v>-298104.90000000002</v>
      </c>
      <c r="L763" s="51">
        <v>0</v>
      </c>
      <c r="M763" s="51">
        <v>-312500</v>
      </c>
      <c r="N763" s="51">
        <f t="shared" si="151"/>
        <v>-312500</v>
      </c>
      <c r="O763" s="51">
        <v>-21.3</v>
      </c>
      <c r="P763" s="179" t="s">
        <v>1689</v>
      </c>
      <c r="Q763" s="179" t="s">
        <v>1487</v>
      </c>
      <c r="R763" s="179" t="s">
        <v>2131</v>
      </c>
      <c r="S763" s="47" t="s">
        <v>1692</v>
      </c>
      <c r="T763" s="54">
        <f>+J763</f>
        <v>-298104.90000000002</v>
      </c>
      <c r="U763" s="54"/>
      <c r="W763" t="s">
        <v>1691</v>
      </c>
      <c r="AA763">
        <f t="shared" si="140"/>
        <v>460</v>
      </c>
      <c r="AD763" t="str">
        <f t="shared" si="141"/>
        <v>434</v>
      </c>
      <c r="AE763">
        <f t="shared" si="142"/>
        <v>0</v>
      </c>
      <c r="AG763" s="50" t="str">
        <f t="shared" si="143"/>
        <v>EGOUTS  TAXES EPURATION (TVA CHE 112.556.374 - 8.1 %)</v>
      </c>
      <c r="AH763" s="244" t="str">
        <f t="shared" si="144"/>
        <v>72000</v>
      </c>
      <c r="AI763" s="219"/>
      <c r="AJ763" s="219"/>
      <c r="AK763" s="219" t="str">
        <f t="shared" si="145"/>
        <v>4240</v>
      </c>
      <c r="AL763" s="244" t="str">
        <f t="shared" si="146"/>
        <v>00</v>
      </c>
      <c r="AN763" s="219" t="str">
        <f t="shared" si="147"/>
        <v>Taxes d'utilisation et prestations de service - épuration</v>
      </c>
    </row>
    <row r="764" spans="1:40" ht="15" customHeight="1" x14ac:dyDescent="0.3">
      <c r="A764" s="48">
        <v>0</v>
      </c>
      <c r="B764" s="49" t="s">
        <v>1163</v>
      </c>
      <c r="C764" s="50" t="s">
        <v>1164</v>
      </c>
      <c r="D764" s="46" t="s">
        <v>1462</v>
      </c>
      <c r="E764" s="46" t="s">
        <v>1124</v>
      </c>
      <c r="F764" s="46">
        <v>460</v>
      </c>
      <c r="G764" s="46" t="s">
        <v>338</v>
      </c>
      <c r="H764" s="46">
        <v>1</v>
      </c>
      <c r="I764" s="51">
        <v>0</v>
      </c>
      <c r="J764" s="51">
        <v>-57143.199999999997</v>
      </c>
      <c r="K764" s="51">
        <f t="shared" si="150"/>
        <v>-57143.199999999997</v>
      </c>
      <c r="L764" s="51">
        <v>0</v>
      </c>
      <c r="M764" s="51">
        <v>0</v>
      </c>
      <c r="N764" s="51">
        <f t="shared" si="151"/>
        <v>0</v>
      </c>
      <c r="O764" s="51">
        <v>-243</v>
      </c>
      <c r="P764" s="179" t="s">
        <v>1689</v>
      </c>
      <c r="Q764" s="179" t="s">
        <v>1487</v>
      </c>
      <c r="R764" s="179" t="s">
        <v>2132</v>
      </c>
      <c r="S764" s="47" t="s">
        <v>1576</v>
      </c>
      <c r="T764" s="54">
        <f>+J764</f>
        <v>-57143.199999999997</v>
      </c>
      <c r="U764" s="54"/>
      <c r="AA764">
        <f t="shared" si="140"/>
        <v>460</v>
      </c>
      <c r="AD764" t="str">
        <f t="shared" si="141"/>
        <v>434</v>
      </c>
      <c r="AE764">
        <f t="shared" si="142"/>
        <v>1</v>
      </c>
      <c r="AG764" s="50" t="str">
        <f t="shared" si="143"/>
        <v>EGOUTS  TAXES RACCORDEMENTS</v>
      </c>
      <c r="AH764" s="244" t="str">
        <f t="shared" si="144"/>
        <v>72000</v>
      </c>
      <c r="AI764" s="219"/>
      <c r="AJ764" s="219"/>
      <c r="AK764" s="219" t="str">
        <f t="shared" si="145"/>
        <v>4240</v>
      </c>
      <c r="AL764" s="244" t="str">
        <f t="shared" si="146"/>
        <v>01</v>
      </c>
      <c r="AN764" s="219" t="str">
        <f t="shared" si="147"/>
        <v>Taxes d'utilisation et prestations de service - raccordement</v>
      </c>
    </row>
    <row r="765" spans="1:40" ht="15" customHeight="1" x14ac:dyDescent="0.3">
      <c r="A765" s="48">
        <v>0</v>
      </c>
      <c r="B765" s="49" t="s">
        <v>1165</v>
      </c>
      <c r="C765" s="50" t="s">
        <v>1166</v>
      </c>
      <c r="D765" s="46" t="s">
        <v>1462</v>
      </c>
      <c r="E765" s="46" t="s">
        <v>1124</v>
      </c>
      <c r="F765" s="46">
        <v>460</v>
      </c>
      <c r="G765" s="46" t="s">
        <v>338</v>
      </c>
      <c r="H765" s="46">
        <v>3</v>
      </c>
      <c r="I765" s="51">
        <v>0</v>
      </c>
      <c r="J765" s="51">
        <v>0</v>
      </c>
      <c r="K765" s="51">
        <f t="shared" si="150"/>
        <v>0</v>
      </c>
      <c r="L765" s="51">
        <v>0</v>
      </c>
      <c r="M765" s="51">
        <v>0</v>
      </c>
      <c r="N765" s="51">
        <f t="shared" si="151"/>
        <v>0</v>
      </c>
      <c r="O765" s="51">
        <v>0</v>
      </c>
      <c r="P765" s="179" t="s">
        <v>1489</v>
      </c>
      <c r="Q765" s="179" t="s">
        <v>1489</v>
      </c>
      <c r="R765" s="179" t="s">
        <v>1489</v>
      </c>
      <c r="S765" s="47" t="s">
        <v>1489</v>
      </c>
      <c r="T765" s="54"/>
      <c r="U765" s="54"/>
      <c r="AA765">
        <f t="shared" si="140"/>
        <v>460</v>
      </c>
      <c r="AD765" t="str">
        <f t="shared" si="141"/>
        <v>434</v>
      </c>
      <c r="AE765">
        <f t="shared" si="142"/>
        <v>3</v>
      </c>
      <c r="AG765" s="50" t="str">
        <f t="shared" si="143"/>
        <v>EGOUTS  TAXES PERIODIQUES RESERVE PGEE</v>
      </c>
      <c r="AH765" s="244" t="str">
        <f t="shared" si="144"/>
        <v>-</v>
      </c>
      <c r="AI765" s="219"/>
      <c r="AJ765" s="219"/>
      <c r="AK765" s="219" t="str">
        <f t="shared" si="145"/>
        <v>-</v>
      </c>
      <c r="AL765" s="244" t="str">
        <f t="shared" si="146"/>
        <v>-</v>
      </c>
      <c r="AN765" s="219" t="str">
        <f t="shared" si="147"/>
        <v>-</v>
      </c>
    </row>
    <row r="766" spans="1:40" ht="15" customHeight="1" x14ac:dyDescent="0.3">
      <c r="A766" s="48">
        <v>0</v>
      </c>
      <c r="B766" s="49" t="s">
        <v>1167</v>
      </c>
      <c r="C766" s="50" t="s">
        <v>1168</v>
      </c>
      <c r="D766" s="46" t="s">
        <v>1462</v>
      </c>
      <c r="E766" s="46" t="s">
        <v>1124</v>
      </c>
      <c r="F766" s="46">
        <v>460</v>
      </c>
      <c r="G766" s="46" t="s">
        <v>338</v>
      </c>
      <c r="H766" s="46">
        <v>4</v>
      </c>
      <c r="I766" s="51">
        <v>0</v>
      </c>
      <c r="J766" s="51">
        <v>0</v>
      </c>
      <c r="K766" s="51">
        <f t="shared" si="150"/>
        <v>0</v>
      </c>
      <c r="L766" s="51">
        <v>0</v>
      </c>
      <c r="M766" s="51">
        <v>0</v>
      </c>
      <c r="N766" s="51">
        <f t="shared" si="151"/>
        <v>0</v>
      </c>
      <c r="O766" s="51">
        <v>0</v>
      </c>
      <c r="P766" s="179" t="s">
        <v>1489</v>
      </c>
      <c r="Q766" s="179" t="s">
        <v>1489</v>
      </c>
      <c r="R766" s="179" t="s">
        <v>1489</v>
      </c>
      <c r="S766" s="47" t="s">
        <v>1489</v>
      </c>
      <c r="T766" s="54"/>
      <c r="U766" s="54"/>
      <c r="AA766">
        <f t="shared" si="140"/>
        <v>460</v>
      </c>
      <c r="AD766" t="str">
        <f t="shared" si="141"/>
        <v>434</v>
      </c>
      <c r="AE766">
        <f t="shared" si="142"/>
        <v>4</v>
      </c>
      <c r="AG766" s="50" t="str">
        <f t="shared" si="143"/>
        <v>EGOUTS TAXE MICROPOLLUANTS</v>
      </c>
      <c r="AH766" s="244" t="str">
        <f t="shared" si="144"/>
        <v>-</v>
      </c>
      <c r="AI766" s="219"/>
      <c r="AJ766" s="219"/>
      <c r="AK766" s="219" t="str">
        <f t="shared" si="145"/>
        <v>-</v>
      </c>
      <c r="AL766" s="244" t="str">
        <f t="shared" si="146"/>
        <v>-</v>
      </c>
      <c r="AN766" s="219" t="str">
        <f t="shared" si="147"/>
        <v>-</v>
      </c>
    </row>
    <row r="767" spans="1:40" ht="15" customHeight="1" x14ac:dyDescent="0.3">
      <c r="A767" s="48">
        <v>0</v>
      </c>
      <c r="B767" s="49" t="s">
        <v>1169</v>
      </c>
      <c r="C767" s="50" t="s">
        <v>1170</v>
      </c>
      <c r="D767" s="46" t="s">
        <v>1462</v>
      </c>
      <c r="E767" s="46" t="s">
        <v>1124</v>
      </c>
      <c r="F767" s="46">
        <v>460</v>
      </c>
      <c r="G767" s="46" t="s">
        <v>61</v>
      </c>
      <c r="H767" s="46"/>
      <c r="I767" s="51">
        <v>0</v>
      </c>
      <c r="J767" s="51">
        <v>0</v>
      </c>
      <c r="K767" s="51">
        <f t="shared" si="150"/>
        <v>0</v>
      </c>
      <c r="L767" s="51">
        <v>0</v>
      </c>
      <c r="M767" s="51">
        <v>0</v>
      </c>
      <c r="N767" s="51">
        <f t="shared" si="151"/>
        <v>0</v>
      </c>
      <c r="O767" s="51">
        <v>0</v>
      </c>
      <c r="P767" s="179" t="s">
        <v>1489</v>
      </c>
      <c r="Q767" s="179" t="s">
        <v>1489</v>
      </c>
      <c r="R767" s="179" t="s">
        <v>1489</v>
      </c>
      <c r="S767" s="47" t="s">
        <v>1489</v>
      </c>
      <c r="T767" s="54"/>
      <c r="U767" s="54"/>
      <c r="AA767">
        <f t="shared" si="140"/>
        <v>460</v>
      </c>
      <c r="AD767" t="str">
        <f t="shared" si="141"/>
        <v>436</v>
      </c>
      <c r="AE767">
        <f t="shared" si="142"/>
        <v>0</v>
      </c>
      <c r="AG767" s="50" t="str">
        <f t="shared" si="143"/>
        <v>EGOUTS  PART DE TIERS</v>
      </c>
      <c r="AH767" s="244" t="str">
        <f t="shared" si="144"/>
        <v>-</v>
      </c>
      <c r="AI767" s="219"/>
      <c r="AJ767" s="219"/>
      <c r="AK767" s="219" t="str">
        <f t="shared" si="145"/>
        <v>-</v>
      </c>
      <c r="AL767" s="244" t="str">
        <f t="shared" si="146"/>
        <v>-</v>
      </c>
      <c r="AN767" s="219" t="str">
        <f t="shared" si="147"/>
        <v>-</v>
      </c>
    </row>
    <row r="768" spans="1:40" ht="15" customHeight="1" x14ac:dyDescent="0.3">
      <c r="A768" s="48">
        <v>0</v>
      </c>
      <c r="B768" s="49" t="s">
        <v>1171</v>
      </c>
      <c r="C768" s="50" t="s">
        <v>1172</v>
      </c>
      <c r="D768" s="46" t="s">
        <v>1462</v>
      </c>
      <c r="E768" s="46" t="s">
        <v>1124</v>
      </c>
      <c r="F768" s="46">
        <v>460</v>
      </c>
      <c r="G768" s="46" t="s">
        <v>345</v>
      </c>
      <c r="H768" s="46"/>
      <c r="I768" s="51">
        <v>0</v>
      </c>
      <c r="J768" s="51">
        <v>0</v>
      </c>
      <c r="K768" s="51">
        <f t="shared" si="150"/>
        <v>0</v>
      </c>
      <c r="L768" s="51">
        <v>0</v>
      </c>
      <c r="M768" s="51">
        <v>0</v>
      </c>
      <c r="N768" s="51">
        <f t="shared" si="151"/>
        <v>0</v>
      </c>
      <c r="O768" s="51">
        <v>0</v>
      </c>
      <c r="P768" s="179" t="s">
        <v>1489</v>
      </c>
      <c r="Q768" s="179" t="s">
        <v>1489</v>
      </c>
      <c r="R768" s="179" t="s">
        <v>1489</v>
      </c>
      <c r="S768" s="47" t="s">
        <v>1489</v>
      </c>
      <c r="T768" s="54"/>
      <c r="U768" s="54"/>
      <c r="AA768">
        <f t="shared" si="140"/>
        <v>460</v>
      </c>
      <c r="AD768" t="str">
        <f t="shared" si="141"/>
        <v>452</v>
      </c>
      <c r="AE768">
        <f t="shared" si="142"/>
        <v>0</v>
      </c>
      <c r="AG768" s="50" t="str">
        <f t="shared" si="143"/>
        <v>EGOUTS  APEC RISTOURNE</v>
      </c>
      <c r="AH768" s="244" t="str">
        <f t="shared" si="144"/>
        <v>-</v>
      </c>
      <c r="AI768" s="219"/>
      <c r="AJ768" s="219"/>
      <c r="AK768" s="219" t="str">
        <f t="shared" si="145"/>
        <v>-</v>
      </c>
      <c r="AL768" s="244" t="str">
        <f t="shared" si="146"/>
        <v>-</v>
      </c>
      <c r="AN768" s="219" t="str">
        <f t="shared" si="147"/>
        <v>-</v>
      </c>
    </row>
    <row r="769" spans="1:40" ht="15" customHeight="1" x14ac:dyDescent="0.3">
      <c r="A769" s="48">
        <v>0</v>
      </c>
      <c r="B769" s="49" t="s">
        <v>1173</v>
      </c>
      <c r="C769" s="50" t="s">
        <v>1174</v>
      </c>
      <c r="D769" s="46" t="s">
        <v>1462</v>
      </c>
      <c r="E769" s="46" t="s">
        <v>1124</v>
      </c>
      <c r="F769" s="46">
        <v>460</v>
      </c>
      <c r="G769" s="46" t="s">
        <v>64</v>
      </c>
      <c r="H769" s="46"/>
      <c r="I769" s="51">
        <v>0</v>
      </c>
      <c r="J769" s="51">
        <v>0</v>
      </c>
      <c r="K769" s="51">
        <f t="shared" si="150"/>
        <v>0</v>
      </c>
      <c r="L769" s="51">
        <v>0</v>
      </c>
      <c r="M769" s="51">
        <v>0</v>
      </c>
      <c r="N769" s="51">
        <f t="shared" si="151"/>
        <v>0</v>
      </c>
      <c r="O769" s="51">
        <v>0</v>
      </c>
      <c r="P769" s="179" t="s">
        <v>1489</v>
      </c>
      <c r="Q769" s="179" t="s">
        <v>1489</v>
      </c>
      <c r="R769" s="179" t="s">
        <v>1489</v>
      </c>
      <c r="S769" s="47" t="s">
        <v>1489</v>
      </c>
      <c r="T769" s="54"/>
      <c r="U769" s="54"/>
      <c r="AA769">
        <f t="shared" si="140"/>
        <v>460</v>
      </c>
      <c r="AD769" t="str">
        <f t="shared" si="141"/>
        <v>480</v>
      </c>
      <c r="AE769">
        <f t="shared" si="142"/>
        <v>0</v>
      </c>
      <c r="AG769" s="50" t="str">
        <f t="shared" si="143"/>
        <v>Prélèvement au fonds de réserve SP EGOUTS/EPURATION (9280.2)</v>
      </c>
      <c r="AH769" s="244" t="str">
        <f t="shared" si="144"/>
        <v>-</v>
      </c>
      <c r="AI769" s="219"/>
      <c r="AJ769" s="219"/>
      <c r="AK769" s="219" t="str">
        <f t="shared" si="145"/>
        <v>-</v>
      </c>
      <c r="AL769" s="244" t="str">
        <f t="shared" si="146"/>
        <v>-</v>
      </c>
      <c r="AN769" s="219" t="str">
        <f t="shared" si="147"/>
        <v>-</v>
      </c>
    </row>
    <row r="770" spans="1:40" ht="15" customHeight="1" x14ac:dyDescent="0.3">
      <c r="A770" s="48">
        <v>0</v>
      </c>
      <c r="B770" s="49" t="s">
        <v>1175</v>
      </c>
      <c r="C770" s="50" t="s">
        <v>1176</v>
      </c>
      <c r="D770" s="46" t="s">
        <v>1462</v>
      </c>
      <c r="E770" s="46" t="s">
        <v>1124</v>
      </c>
      <c r="F770" s="46">
        <v>460</v>
      </c>
      <c r="G770" s="46" t="s">
        <v>144</v>
      </c>
      <c r="H770" s="46"/>
      <c r="I770" s="51">
        <v>0</v>
      </c>
      <c r="J770" s="51">
        <v>-498873.96</v>
      </c>
      <c r="K770" s="51">
        <f t="shared" si="150"/>
        <v>-498873.96</v>
      </c>
      <c r="L770" s="51">
        <v>0</v>
      </c>
      <c r="M770" s="51">
        <v>-164865</v>
      </c>
      <c r="N770" s="51">
        <f t="shared" si="151"/>
        <v>-164865</v>
      </c>
      <c r="O770" s="51">
        <v>0</v>
      </c>
      <c r="P770" s="179" t="s">
        <v>1689</v>
      </c>
      <c r="Q770" s="179" t="s">
        <v>1686</v>
      </c>
      <c r="R770" s="179" t="s">
        <v>2131</v>
      </c>
      <c r="S770" s="58" t="s">
        <v>1687</v>
      </c>
      <c r="T770" s="54">
        <f>+J770</f>
        <v>-498873.96</v>
      </c>
      <c r="U770" s="54"/>
      <c r="AA770">
        <f t="shared" si="140"/>
        <v>460</v>
      </c>
      <c r="AD770" t="str">
        <f t="shared" si="141"/>
        <v>481</v>
      </c>
      <c r="AE770">
        <f t="shared" si="142"/>
        <v>0</v>
      </c>
      <c r="AG770" s="50" t="str">
        <f t="shared" si="143"/>
        <v>EGOUTS  PRELEV FINANC SPECIAUX (9280.2)</v>
      </c>
      <c r="AH770" s="244" t="str">
        <f t="shared" si="144"/>
        <v>72000</v>
      </c>
      <c r="AI770" s="219"/>
      <c r="AJ770" s="219"/>
      <c r="AK770" s="219" t="str">
        <f t="shared" si="145"/>
        <v>4510</v>
      </c>
      <c r="AL770" s="244" t="str">
        <f t="shared" si="146"/>
        <v>00</v>
      </c>
      <c r="AN770" s="219" t="str">
        <f t="shared" si="147"/>
        <v>Prélèvements aux fonds et financement spéciaux</v>
      </c>
    </row>
    <row r="771" spans="1:40" ht="15" customHeight="1" x14ac:dyDescent="0.3">
      <c r="A771" s="48"/>
      <c r="B771" s="49"/>
      <c r="C771" s="50"/>
      <c r="D771" s="46"/>
      <c r="E771" s="46"/>
      <c r="F771" s="46"/>
      <c r="G771" s="46"/>
      <c r="H771" s="46"/>
      <c r="I771" s="51">
        <v>0</v>
      </c>
      <c r="J771" s="51">
        <v>0</v>
      </c>
      <c r="K771" s="51">
        <f t="shared" si="150"/>
        <v>0</v>
      </c>
      <c r="L771" s="51">
        <v>0</v>
      </c>
      <c r="M771" s="51">
        <v>0</v>
      </c>
      <c r="N771" s="51">
        <f t="shared" si="151"/>
        <v>0</v>
      </c>
      <c r="O771" s="51"/>
      <c r="P771" s="179" t="s">
        <v>1689</v>
      </c>
      <c r="Q771" s="179" t="s">
        <v>765</v>
      </c>
      <c r="R771" s="179" t="s">
        <v>2131</v>
      </c>
      <c r="S771" s="47" t="s">
        <v>2039</v>
      </c>
      <c r="T771" s="54"/>
      <c r="U771" s="54"/>
      <c r="AA771">
        <f t="shared" si="140"/>
        <v>0</v>
      </c>
      <c r="AD771">
        <f t="shared" si="141"/>
        <v>0</v>
      </c>
      <c r="AE771">
        <f t="shared" si="142"/>
        <v>0</v>
      </c>
      <c r="AG771" s="50">
        <f t="shared" si="143"/>
        <v>0</v>
      </c>
      <c r="AH771" s="244" t="str">
        <f t="shared" si="144"/>
        <v>72000</v>
      </c>
      <c r="AI771" s="219"/>
      <c r="AJ771" s="219"/>
      <c r="AK771" s="219" t="str">
        <f t="shared" si="145"/>
        <v>3510</v>
      </c>
      <c r="AL771" s="244" t="str">
        <f t="shared" si="146"/>
        <v>00</v>
      </c>
      <c r="AN771" s="219" t="str">
        <f t="shared" si="147"/>
        <v>Attributions aux fonds et financements spéciaux</v>
      </c>
    </row>
    <row r="772" spans="1:40" ht="15" customHeight="1" x14ac:dyDescent="0.3">
      <c r="A772" s="48">
        <v>0</v>
      </c>
      <c r="B772" s="49" t="s">
        <v>1178</v>
      </c>
      <c r="C772" s="50" t="s">
        <v>1179</v>
      </c>
      <c r="D772" s="46" t="s">
        <v>1458</v>
      </c>
      <c r="E772" s="46" t="s">
        <v>1177</v>
      </c>
      <c r="F772" s="46">
        <v>470</v>
      </c>
      <c r="G772" s="46" t="s">
        <v>131</v>
      </c>
      <c r="H772" s="46"/>
      <c r="I772" s="51">
        <v>0</v>
      </c>
      <c r="J772" s="51">
        <v>0</v>
      </c>
      <c r="K772" s="51">
        <f t="shared" si="150"/>
        <v>0</v>
      </c>
      <c r="L772" s="51">
        <v>0</v>
      </c>
      <c r="M772" s="51">
        <v>0</v>
      </c>
      <c r="N772" s="51">
        <f t="shared" si="151"/>
        <v>0</v>
      </c>
      <c r="O772" s="51">
        <v>0</v>
      </c>
      <c r="P772" s="179" t="s">
        <v>1489</v>
      </c>
      <c r="Q772" s="179" t="s">
        <v>1489</v>
      </c>
      <c r="R772" s="179" t="s">
        <v>1489</v>
      </c>
      <c r="S772" s="47" t="s">
        <v>1489</v>
      </c>
      <c r="T772" s="54"/>
      <c r="U772" s="54"/>
      <c r="AA772">
        <f t="shared" ref="AA772:AA835" si="152">+F772</f>
        <v>470</v>
      </c>
      <c r="AD772" t="str">
        <f t="shared" ref="AD772:AD835" si="153">+G772</f>
        <v>314</v>
      </c>
      <c r="AE772">
        <f t="shared" ref="AE772:AE835" si="154">+H772</f>
        <v>0</v>
      </c>
      <c r="AG772" s="50" t="str">
        <f t="shared" ref="AG772:AG835" si="155">+C772</f>
        <v>COURS D'EAU  ENTRETIEN</v>
      </c>
      <c r="AH772" s="244" t="str">
        <f t="shared" ref="AH772:AH835" si="156">+P772</f>
        <v>-</v>
      </c>
      <c r="AI772" s="219"/>
      <c r="AJ772" s="219"/>
      <c r="AK772" s="219" t="str">
        <f t="shared" ref="AK772:AK835" si="157">+Q772</f>
        <v>-</v>
      </c>
      <c r="AL772" s="244" t="str">
        <f t="shared" ref="AL772:AL835" si="158">+R772</f>
        <v>-</v>
      </c>
      <c r="AN772" s="219" t="str">
        <f t="shared" ref="AN772:AN835" si="159">+S772</f>
        <v>-</v>
      </c>
    </row>
    <row r="773" spans="1:40" ht="15" customHeight="1" x14ac:dyDescent="0.3">
      <c r="A773" s="48">
        <v>0</v>
      </c>
      <c r="B773" s="49" t="s">
        <v>1180</v>
      </c>
      <c r="C773" s="50" t="s">
        <v>1181</v>
      </c>
      <c r="D773" s="46" t="s">
        <v>1458</v>
      </c>
      <c r="E773" s="46" t="s">
        <v>1177</v>
      </c>
      <c r="F773" s="46">
        <v>470</v>
      </c>
      <c r="G773" s="46" t="s">
        <v>164</v>
      </c>
      <c r="H773" s="46"/>
      <c r="I773" s="51">
        <v>0</v>
      </c>
      <c r="J773" s="51">
        <v>0</v>
      </c>
      <c r="K773" s="51">
        <f t="shared" si="150"/>
        <v>0</v>
      </c>
      <c r="L773" s="51">
        <v>0</v>
      </c>
      <c r="M773" s="51">
        <v>0</v>
      </c>
      <c r="N773" s="51">
        <f t="shared" si="151"/>
        <v>0</v>
      </c>
      <c r="O773" s="51">
        <v>0</v>
      </c>
      <c r="P773" s="179" t="s">
        <v>1489</v>
      </c>
      <c r="Q773" s="179" t="s">
        <v>1489</v>
      </c>
      <c r="R773" s="179" t="s">
        <v>1489</v>
      </c>
      <c r="S773" s="47" t="s">
        <v>1489</v>
      </c>
      <c r="T773" s="54"/>
      <c r="U773" s="54"/>
      <c r="AA773">
        <f t="shared" si="152"/>
        <v>470</v>
      </c>
      <c r="AD773" t="str">
        <f t="shared" si="153"/>
        <v>331</v>
      </c>
      <c r="AE773">
        <f t="shared" si="154"/>
        <v>0</v>
      </c>
      <c r="AG773" s="50" t="str">
        <f t="shared" si="155"/>
        <v>COURS D'EAU  Amortissement obligatoire Patr.Administratif</v>
      </c>
      <c r="AH773" s="244" t="str">
        <f t="shared" si="156"/>
        <v>-</v>
      </c>
      <c r="AI773" s="219"/>
      <c r="AJ773" s="219"/>
      <c r="AK773" s="219" t="str">
        <f t="shared" si="157"/>
        <v>-</v>
      </c>
      <c r="AL773" s="244" t="str">
        <f t="shared" si="158"/>
        <v>-</v>
      </c>
      <c r="AN773" s="219" t="str">
        <f t="shared" si="159"/>
        <v>-</v>
      </c>
    </row>
    <row r="774" spans="1:40" ht="15" customHeight="1" x14ac:dyDescent="0.3">
      <c r="A774" s="48">
        <v>0</v>
      </c>
      <c r="B774" s="49" t="s">
        <v>1182</v>
      </c>
      <c r="C774" s="50" t="s">
        <v>1183</v>
      </c>
      <c r="D774" s="46" t="s">
        <v>1458</v>
      </c>
      <c r="E774" s="46" t="s">
        <v>1177</v>
      </c>
      <c r="F774" s="46">
        <v>470</v>
      </c>
      <c r="G774" s="46" t="s">
        <v>61</v>
      </c>
      <c r="H774" s="46"/>
      <c r="I774" s="51">
        <v>0</v>
      </c>
      <c r="J774" s="51">
        <v>0</v>
      </c>
      <c r="K774" s="51">
        <f t="shared" si="150"/>
        <v>0</v>
      </c>
      <c r="L774" s="51">
        <v>0</v>
      </c>
      <c r="M774" s="51">
        <v>0</v>
      </c>
      <c r="N774" s="51">
        <f t="shared" si="151"/>
        <v>0</v>
      </c>
      <c r="O774" s="51">
        <v>0</v>
      </c>
      <c r="P774" s="179" t="s">
        <v>1489</v>
      </c>
      <c r="Q774" s="179" t="s">
        <v>1489</v>
      </c>
      <c r="R774" s="179" t="s">
        <v>1489</v>
      </c>
      <c r="S774" s="47" t="s">
        <v>1489</v>
      </c>
      <c r="T774" s="54"/>
      <c r="U774" s="54"/>
      <c r="AA774">
        <f t="shared" si="152"/>
        <v>470</v>
      </c>
      <c r="AD774" t="str">
        <f t="shared" si="153"/>
        <v>436</v>
      </c>
      <c r="AE774">
        <f t="shared" si="154"/>
        <v>0</v>
      </c>
      <c r="AG774" s="50" t="str">
        <f t="shared" si="155"/>
        <v>COURS D'EAU  PART DE TIERS</v>
      </c>
      <c r="AH774" s="244" t="str">
        <f t="shared" si="156"/>
        <v>-</v>
      </c>
      <c r="AI774" s="219"/>
      <c r="AJ774" s="219"/>
      <c r="AK774" s="219" t="str">
        <f t="shared" si="157"/>
        <v>-</v>
      </c>
      <c r="AL774" s="244" t="str">
        <f t="shared" si="158"/>
        <v>-</v>
      </c>
      <c r="AN774" s="219" t="str">
        <f t="shared" si="159"/>
        <v>-</v>
      </c>
    </row>
    <row r="775" spans="1:40" ht="15" customHeight="1" x14ac:dyDescent="0.3">
      <c r="A775" s="48">
        <v>0</v>
      </c>
      <c r="B775" s="49" t="s">
        <v>1184</v>
      </c>
      <c r="C775" s="50" t="s">
        <v>1185</v>
      </c>
      <c r="D775" s="46" t="s">
        <v>1458</v>
      </c>
      <c r="E775" s="46" t="s">
        <v>1177</v>
      </c>
      <c r="F775" s="46">
        <v>470</v>
      </c>
      <c r="G775" s="46" t="s">
        <v>175</v>
      </c>
      <c r="H775" s="46"/>
      <c r="I775" s="51">
        <v>0</v>
      </c>
      <c r="J775" s="51">
        <v>0</v>
      </c>
      <c r="K775" s="51">
        <f t="shared" si="150"/>
        <v>0</v>
      </c>
      <c r="L775" s="51">
        <v>0</v>
      </c>
      <c r="M775" s="51">
        <v>0</v>
      </c>
      <c r="N775" s="51">
        <f t="shared" si="151"/>
        <v>0</v>
      </c>
      <c r="O775" s="51">
        <v>0</v>
      </c>
      <c r="P775" s="179" t="s">
        <v>1489</v>
      </c>
      <c r="Q775" s="179" t="s">
        <v>1489</v>
      </c>
      <c r="R775" s="179" t="s">
        <v>1489</v>
      </c>
      <c r="S775" s="47" t="s">
        <v>1489</v>
      </c>
      <c r="T775" s="54"/>
      <c r="U775" s="54"/>
      <c r="AA775">
        <f t="shared" si="152"/>
        <v>470</v>
      </c>
      <c r="AD775" t="str">
        <f t="shared" si="153"/>
        <v>451</v>
      </c>
      <c r="AE775">
        <f t="shared" si="154"/>
        <v>0</v>
      </c>
      <c r="AG775" s="50" t="str">
        <f t="shared" si="155"/>
        <v>COURS D'EAU  PART CANTON Subvention</v>
      </c>
      <c r="AH775" s="244" t="str">
        <f t="shared" si="156"/>
        <v>-</v>
      </c>
      <c r="AI775" s="219"/>
      <c r="AJ775" s="219"/>
      <c r="AK775" s="219" t="str">
        <f t="shared" si="157"/>
        <v>-</v>
      </c>
      <c r="AL775" s="244" t="str">
        <f t="shared" si="158"/>
        <v>-</v>
      </c>
      <c r="AN775" s="219" t="str">
        <f t="shared" si="159"/>
        <v>-</v>
      </c>
    </row>
    <row r="776" spans="1:40" ht="15" customHeight="1" x14ac:dyDescent="0.3">
      <c r="A776" s="48">
        <v>0</v>
      </c>
      <c r="B776" s="49" t="s">
        <v>1186</v>
      </c>
      <c r="C776" s="50" t="s">
        <v>1187</v>
      </c>
      <c r="D776" s="46" t="s">
        <v>1458</v>
      </c>
      <c r="E776" s="46" t="s">
        <v>1177</v>
      </c>
      <c r="F776" s="46">
        <v>470</v>
      </c>
      <c r="G776" s="46" t="s">
        <v>64</v>
      </c>
      <c r="H776" s="46"/>
      <c r="I776" s="51">
        <v>0</v>
      </c>
      <c r="J776" s="51">
        <v>0</v>
      </c>
      <c r="K776" s="51">
        <f t="shared" si="150"/>
        <v>0</v>
      </c>
      <c r="L776" s="51">
        <v>0</v>
      </c>
      <c r="M776" s="51">
        <v>0</v>
      </c>
      <c r="N776" s="51">
        <f t="shared" si="151"/>
        <v>0</v>
      </c>
      <c r="O776" s="51">
        <v>0</v>
      </c>
      <c r="P776" s="179" t="s">
        <v>1489</v>
      </c>
      <c r="Q776" s="179" t="s">
        <v>1489</v>
      </c>
      <c r="R776" s="179" t="s">
        <v>1489</v>
      </c>
      <c r="S776" s="47" t="s">
        <v>1489</v>
      </c>
      <c r="T776" s="54"/>
      <c r="U776" s="54"/>
      <c r="AA776">
        <f t="shared" si="152"/>
        <v>470</v>
      </c>
      <c r="AD776" t="str">
        <f t="shared" si="153"/>
        <v>480</v>
      </c>
      <c r="AE776">
        <f t="shared" si="154"/>
        <v>0</v>
      </c>
      <c r="AG776" s="50" t="str">
        <f t="shared" si="155"/>
        <v>COURS D'EAU  PREL FONDS RENOUV (9282.1)</v>
      </c>
      <c r="AH776" s="244" t="str">
        <f t="shared" si="156"/>
        <v>-</v>
      </c>
      <c r="AI776" s="219"/>
      <c r="AJ776" s="219"/>
      <c r="AK776" s="219" t="str">
        <f t="shared" si="157"/>
        <v>-</v>
      </c>
      <c r="AL776" s="244" t="str">
        <f t="shared" si="158"/>
        <v>-</v>
      </c>
      <c r="AN776" s="219" t="str">
        <f t="shared" si="159"/>
        <v>-</v>
      </c>
    </row>
    <row r="777" spans="1:40" ht="15" customHeight="1" x14ac:dyDescent="0.3">
      <c r="A777" s="48">
        <v>0</v>
      </c>
      <c r="B777" s="49" t="s">
        <v>1189</v>
      </c>
      <c r="C777" s="50" t="s">
        <v>1190</v>
      </c>
      <c r="D777" s="46" t="s">
        <v>1460</v>
      </c>
      <c r="E777" s="46" t="s">
        <v>1188</v>
      </c>
      <c r="F777" s="46">
        <v>500</v>
      </c>
      <c r="G777" s="46" t="s">
        <v>5</v>
      </c>
      <c r="H777" s="46"/>
      <c r="I777" s="51">
        <v>164443.34</v>
      </c>
      <c r="J777" s="51">
        <v>0</v>
      </c>
      <c r="K777" s="51">
        <f t="shared" si="150"/>
        <v>164443.34</v>
      </c>
      <c r="L777" s="51">
        <v>194945</v>
      </c>
      <c r="M777" s="51">
        <v>0</v>
      </c>
      <c r="N777" s="51">
        <f t="shared" si="151"/>
        <v>194945</v>
      </c>
      <c r="O777" s="51">
        <v>0</v>
      </c>
      <c r="P777" s="179" t="s">
        <v>1511</v>
      </c>
      <c r="Q777" s="179" t="s">
        <v>1398</v>
      </c>
      <c r="R777" s="179" t="s">
        <v>2133</v>
      </c>
      <c r="S777" s="68" t="s">
        <v>2050</v>
      </c>
      <c r="T777" s="54">
        <f>+I777</f>
        <v>164443.34</v>
      </c>
      <c r="U777" s="54"/>
      <c r="AA777">
        <f t="shared" si="152"/>
        <v>500</v>
      </c>
      <c r="AD777" t="str">
        <f t="shared" si="153"/>
        <v>352</v>
      </c>
      <c r="AE777">
        <f t="shared" si="154"/>
        <v>0</v>
      </c>
      <c r="AG777" s="50" t="str">
        <f t="shared" si="155"/>
        <v>ENSEIGNEMENT FRAIS AMDINISTRATIF PRIMAIRE et SECONDAIRE</v>
      </c>
      <c r="AH777" s="244" t="str">
        <f t="shared" si="156"/>
        <v>21990</v>
      </c>
      <c r="AI777" s="219"/>
      <c r="AJ777" s="219"/>
      <c r="AK777" s="219" t="str">
        <f t="shared" si="157"/>
        <v>3612</v>
      </c>
      <c r="AL777" s="244" t="str">
        <f t="shared" si="158"/>
        <v>02</v>
      </c>
      <c r="AN777" s="219" t="str">
        <f t="shared" si="159"/>
        <v>Parts aux communes et assoc intercomm - AISGE - Coûts scolaires</v>
      </c>
    </row>
    <row r="778" spans="1:40" ht="15" customHeight="1" x14ac:dyDescent="0.3">
      <c r="A778" s="48">
        <v>0</v>
      </c>
      <c r="B778" s="49" t="s">
        <v>1192</v>
      </c>
      <c r="C778" s="50" t="s">
        <v>1193</v>
      </c>
      <c r="D778" s="46" t="s">
        <v>1460</v>
      </c>
      <c r="E778" s="46" t="s">
        <v>1191</v>
      </c>
      <c r="F778" s="46">
        <v>510</v>
      </c>
      <c r="G778" s="46" t="s">
        <v>5</v>
      </c>
      <c r="H778" s="46"/>
      <c r="I778" s="65">
        <v>675033.19</v>
      </c>
      <c r="J778" s="51">
        <v>0</v>
      </c>
      <c r="K778" s="51">
        <f t="shared" si="150"/>
        <v>675033.19</v>
      </c>
      <c r="L778" s="51">
        <v>894868</v>
      </c>
      <c r="M778" s="51">
        <v>0</v>
      </c>
      <c r="N778" s="51">
        <f t="shared" si="151"/>
        <v>894868</v>
      </c>
      <c r="O778" s="51">
        <v>0</v>
      </c>
      <c r="P778" s="179" t="s">
        <v>1512</v>
      </c>
      <c r="Q778" s="179" t="s">
        <v>1398</v>
      </c>
      <c r="R778" s="179" t="s">
        <v>2131</v>
      </c>
      <c r="S778" s="47" t="s">
        <v>2051</v>
      </c>
      <c r="T778" s="53">
        <v>608538.67000000004</v>
      </c>
      <c r="U778" s="54"/>
      <c r="AA778">
        <f t="shared" si="152"/>
        <v>510</v>
      </c>
      <c r="AD778" t="str">
        <f t="shared" si="153"/>
        <v>352</v>
      </c>
      <c r="AE778">
        <f t="shared" si="154"/>
        <v>0</v>
      </c>
      <c r="AG778" s="50" t="str">
        <f t="shared" si="155"/>
        <v>ENSEIGNEMENT PRIMAIRE  PART ESGE</v>
      </c>
      <c r="AH778" s="244" t="str">
        <f t="shared" si="156"/>
        <v>21991</v>
      </c>
      <c r="AI778" s="219"/>
      <c r="AJ778" s="219"/>
      <c r="AK778" s="219" t="str">
        <f t="shared" si="157"/>
        <v>3612</v>
      </c>
      <c r="AL778" s="244" t="str">
        <f t="shared" si="158"/>
        <v>00</v>
      </c>
      <c r="AN778" s="219" t="str">
        <f t="shared" si="159"/>
        <v>Parts aux communes et assoc intercomm - AISGE - Loyers</v>
      </c>
    </row>
    <row r="779" spans="1:40" ht="15" customHeight="1" x14ac:dyDescent="0.3">
      <c r="A779" s="48"/>
      <c r="B779" s="49" t="s">
        <v>1192</v>
      </c>
      <c r="C779" s="50" t="s">
        <v>1193</v>
      </c>
      <c r="D779" s="46" t="s">
        <v>1460</v>
      </c>
      <c r="E779" s="46" t="s">
        <v>1191</v>
      </c>
      <c r="F779" s="46">
        <v>510</v>
      </c>
      <c r="G779" s="46" t="s">
        <v>5</v>
      </c>
      <c r="H779" s="46"/>
      <c r="I779" s="51">
        <v>0</v>
      </c>
      <c r="J779" s="51">
        <v>0</v>
      </c>
      <c r="K779" s="51">
        <f t="shared" si="150"/>
        <v>0</v>
      </c>
      <c r="L779" s="51">
        <v>0</v>
      </c>
      <c r="M779" s="51">
        <v>0</v>
      </c>
      <c r="N779" s="51">
        <f t="shared" si="151"/>
        <v>0</v>
      </c>
      <c r="O779" s="51"/>
      <c r="P779" s="179" t="s">
        <v>1512</v>
      </c>
      <c r="Q779" s="179" t="s">
        <v>1398</v>
      </c>
      <c r="R779" s="179" t="s">
        <v>2133</v>
      </c>
      <c r="S779" s="68" t="s">
        <v>2050</v>
      </c>
      <c r="T779" s="53">
        <v>66494.53</v>
      </c>
      <c r="U779" s="54"/>
      <c r="AA779">
        <f t="shared" si="152"/>
        <v>510</v>
      </c>
      <c r="AD779" t="str">
        <f t="shared" si="153"/>
        <v>352</v>
      </c>
      <c r="AE779">
        <f t="shared" si="154"/>
        <v>0</v>
      </c>
      <c r="AG779" s="50" t="str">
        <f t="shared" si="155"/>
        <v>ENSEIGNEMENT PRIMAIRE  PART ESGE</v>
      </c>
      <c r="AH779" s="244" t="str">
        <f t="shared" si="156"/>
        <v>21991</v>
      </c>
      <c r="AI779" s="219"/>
      <c r="AJ779" s="219"/>
      <c r="AK779" s="219" t="str">
        <f t="shared" si="157"/>
        <v>3612</v>
      </c>
      <c r="AL779" s="244" t="str">
        <f t="shared" si="158"/>
        <v>02</v>
      </c>
      <c r="AN779" s="219" t="str">
        <f t="shared" si="159"/>
        <v>Parts aux communes et assoc intercomm - AISGE - Coûts scolaires</v>
      </c>
    </row>
    <row r="780" spans="1:40" ht="15" customHeight="1" x14ac:dyDescent="0.3">
      <c r="A780" s="48">
        <v>0</v>
      </c>
      <c r="B780" s="49" t="s">
        <v>1194</v>
      </c>
      <c r="C780" s="50" t="s">
        <v>1195</v>
      </c>
      <c r="D780" s="46" t="s">
        <v>1460</v>
      </c>
      <c r="E780" s="46" t="s">
        <v>1191</v>
      </c>
      <c r="F780" s="46">
        <v>510</v>
      </c>
      <c r="G780" s="46" t="s">
        <v>1196</v>
      </c>
      <c r="H780" s="46"/>
      <c r="I780" s="51">
        <v>139196.22</v>
      </c>
      <c r="J780" s="51">
        <v>0</v>
      </c>
      <c r="K780" s="51">
        <f t="shared" si="150"/>
        <v>139196.22</v>
      </c>
      <c r="L780" s="51">
        <v>175795</v>
      </c>
      <c r="M780" s="51">
        <v>0</v>
      </c>
      <c r="N780" s="51">
        <f t="shared" si="151"/>
        <v>175795</v>
      </c>
      <c r="O780" s="51">
        <v>0</v>
      </c>
      <c r="P780" s="179" t="s">
        <v>1512</v>
      </c>
      <c r="Q780" s="179" t="s">
        <v>1398</v>
      </c>
      <c r="R780" s="179" t="s">
        <v>2132</v>
      </c>
      <c r="S780" s="68" t="s">
        <v>2052</v>
      </c>
      <c r="T780" s="54">
        <f>+I780</f>
        <v>139196.22</v>
      </c>
      <c r="U780" s="54"/>
      <c r="AA780">
        <f t="shared" si="152"/>
        <v>510</v>
      </c>
      <c r="AD780" t="str">
        <f t="shared" si="153"/>
        <v>366</v>
      </c>
      <c r="AE780">
        <f t="shared" si="154"/>
        <v>0</v>
      </c>
      <c r="AG780" s="50" t="str">
        <f t="shared" si="155"/>
        <v>ENSEIGNEMENT PRIMAIRE Transports scolaires</v>
      </c>
      <c r="AH780" s="244" t="str">
        <f t="shared" si="156"/>
        <v>21991</v>
      </c>
      <c r="AI780" s="219"/>
      <c r="AJ780" s="219"/>
      <c r="AK780" s="219" t="str">
        <f t="shared" si="157"/>
        <v>3612</v>
      </c>
      <c r="AL780" s="244" t="str">
        <f t="shared" si="158"/>
        <v>01</v>
      </c>
      <c r="AN780" s="219" t="str">
        <f t="shared" si="159"/>
        <v>Parts aux communes et assoc intercomm - AISGE - Transports</v>
      </c>
    </row>
    <row r="781" spans="1:40" ht="15" customHeight="1" x14ac:dyDescent="0.3">
      <c r="A781" s="48">
        <v>0</v>
      </c>
      <c r="B781" s="49" t="s">
        <v>1198</v>
      </c>
      <c r="C781" s="50" t="s">
        <v>1199</v>
      </c>
      <c r="D781" s="46" t="s">
        <v>1460</v>
      </c>
      <c r="E781" s="46" t="s">
        <v>1197</v>
      </c>
      <c r="F781" s="46">
        <v>520</v>
      </c>
      <c r="G781" s="46" t="s">
        <v>48</v>
      </c>
      <c r="H781" s="46"/>
      <c r="I781" s="51">
        <v>0</v>
      </c>
      <c r="J781" s="51">
        <v>0</v>
      </c>
      <c r="K781" s="51">
        <f t="shared" ref="K781:K812" si="160">+I781+J781</f>
        <v>0</v>
      </c>
      <c r="L781" s="51">
        <v>0</v>
      </c>
      <c r="M781" s="51">
        <v>0</v>
      </c>
      <c r="N781" s="51">
        <f t="shared" si="151"/>
        <v>0</v>
      </c>
      <c r="O781" s="56">
        <v>700560</v>
      </c>
      <c r="P781" s="179" t="s">
        <v>1489</v>
      </c>
      <c r="Q781" s="179" t="s">
        <v>1489</v>
      </c>
      <c r="R781" s="179" t="s">
        <v>1489</v>
      </c>
      <c r="S781" s="47" t="s">
        <v>1489</v>
      </c>
      <c r="T781" s="54"/>
      <c r="U781" s="54"/>
      <c r="W781" t="s">
        <v>2130</v>
      </c>
      <c r="AA781">
        <f t="shared" si="152"/>
        <v>520</v>
      </c>
      <c r="AD781" t="str">
        <f t="shared" si="153"/>
        <v>318</v>
      </c>
      <c r="AE781">
        <f t="shared" si="154"/>
        <v>0</v>
      </c>
      <c r="AG781" s="50" t="str">
        <f t="shared" si="155"/>
        <v>ENSEIGNEMENT SECONDAIRE  Prestations / Acomptes</v>
      </c>
      <c r="AH781" s="244" t="str">
        <f t="shared" si="156"/>
        <v>-</v>
      </c>
      <c r="AI781" s="219"/>
      <c r="AJ781" s="219"/>
      <c r="AK781" s="219" t="str">
        <f t="shared" si="157"/>
        <v>-</v>
      </c>
      <c r="AL781" s="244" t="str">
        <f t="shared" si="158"/>
        <v>-</v>
      </c>
      <c r="AN781" s="219" t="str">
        <f t="shared" si="159"/>
        <v>-</v>
      </c>
    </row>
    <row r="782" spans="1:40" ht="15" customHeight="1" x14ac:dyDescent="0.3">
      <c r="A782" s="48">
        <v>0</v>
      </c>
      <c r="B782" s="49" t="s">
        <v>1200</v>
      </c>
      <c r="C782" s="50" t="s">
        <v>1201</v>
      </c>
      <c r="D782" s="46" t="s">
        <v>1460</v>
      </c>
      <c r="E782" s="46" t="s">
        <v>1197</v>
      </c>
      <c r="F782" s="46">
        <v>520</v>
      </c>
      <c r="G782" s="46" t="s">
        <v>5</v>
      </c>
      <c r="H782" s="46"/>
      <c r="I782" s="65">
        <v>266253.19</v>
      </c>
      <c r="J782" s="51">
        <v>0</v>
      </c>
      <c r="K782" s="51">
        <f t="shared" si="160"/>
        <v>266253.19</v>
      </c>
      <c r="L782" s="51">
        <v>259868</v>
      </c>
      <c r="M782" s="51">
        <v>0</v>
      </c>
      <c r="N782" s="51">
        <f t="shared" si="151"/>
        <v>259868</v>
      </c>
      <c r="O782" s="51">
        <v>0</v>
      </c>
      <c r="P782" s="179" t="s">
        <v>1515</v>
      </c>
      <c r="Q782" s="179" t="s">
        <v>1398</v>
      </c>
      <c r="R782" s="179" t="s">
        <v>2131</v>
      </c>
      <c r="S782" s="47" t="s">
        <v>2051</v>
      </c>
      <c r="T782" s="53">
        <v>208643.75</v>
      </c>
      <c r="U782" s="54"/>
      <c r="AA782">
        <f t="shared" si="152"/>
        <v>520</v>
      </c>
      <c r="AD782" t="str">
        <f t="shared" si="153"/>
        <v>352</v>
      </c>
      <c r="AE782">
        <f t="shared" si="154"/>
        <v>0</v>
      </c>
      <c r="AG782" s="50" t="str">
        <f t="shared" si="155"/>
        <v>ENSEIGNEMENT SECONDAIRE  PART AISGE</v>
      </c>
      <c r="AH782" s="244" t="str">
        <f t="shared" si="156"/>
        <v>21992</v>
      </c>
      <c r="AI782" s="219"/>
      <c r="AJ782" s="219"/>
      <c r="AK782" s="219" t="str">
        <f t="shared" si="157"/>
        <v>3612</v>
      </c>
      <c r="AL782" s="244" t="str">
        <f t="shared" si="158"/>
        <v>00</v>
      </c>
      <c r="AN782" s="219" t="str">
        <f t="shared" si="159"/>
        <v>Parts aux communes et assoc intercomm - AISGE - Loyers</v>
      </c>
    </row>
    <row r="783" spans="1:40" ht="15" customHeight="1" x14ac:dyDescent="0.3">
      <c r="A783" s="48"/>
      <c r="B783" s="49" t="s">
        <v>1200</v>
      </c>
      <c r="C783" s="50" t="s">
        <v>1201</v>
      </c>
      <c r="D783" s="46" t="s">
        <v>1460</v>
      </c>
      <c r="E783" s="46" t="s">
        <v>1197</v>
      </c>
      <c r="F783" s="46">
        <v>520</v>
      </c>
      <c r="G783" s="46" t="s">
        <v>5</v>
      </c>
      <c r="H783" s="46"/>
      <c r="I783" s="51">
        <v>0</v>
      </c>
      <c r="J783" s="51">
        <v>0</v>
      </c>
      <c r="K783" s="51">
        <f t="shared" si="160"/>
        <v>0</v>
      </c>
      <c r="L783" s="51">
        <v>0</v>
      </c>
      <c r="M783" s="51">
        <v>0</v>
      </c>
      <c r="N783" s="51">
        <f t="shared" si="151"/>
        <v>0</v>
      </c>
      <c r="O783" s="51"/>
      <c r="P783" s="179" t="s">
        <v>1515</v>
      </c>
      <c r="Q783" s="179" t="s">
        <v>1398</v>
      </c>
      <c r="R783" s="179" t="s">
        <v>2133</v>
      </c>
      <c r="S783" s="68" t="s">
        <v>2050</v>
      </c>
      <c r="T783" s="53">
        <v>57609.440000000002</v>
      </c>
      <c r="U783" s="54"/>
      <c r="AA783">
        <f t="shared" si="152"/>
        <v>520</v>
      </c>
      <c r="AD783" t="str">
        <f t="shared" si="153"/>
        <v>352</v>
      </c>
      <c r="AE783">
        <f t="shared" si="154"/>
        <v>0</v>
      </c>
      <c r="AG783" s="50" t="str">
        <f t="shared" si="155"/>
        <v>ENSEIGNEMENT SECONDAIRE  PART AISGE</v>
      </c>
      <c r="AH783" s="244" t="str">
        <f t="shared" si="156"/>
        <v>21992</v>
      </c>
      <c r="AI783" s="219"/>
      <c r="AJ783" s="219"/>
      <c r="AK783" s="219" t="str">
        <f t="shared" si="157"/>
        <v>3612</v>
      </c>
      <c r="AL783" s="244" t="str">
        <f t="shared" si="158"/>
        <v>02</v>
      </c>
      <c r="AN783" s="219" t="str">
        <f t="shared" si="159"/>
        <v>Parts aux communes et assoc intercomm - AISGE - Coûts scolaires</v>
      </c>
    </row>
    <row r="784" spans="1:40" ht="15" customHeight="1" x14ac:dyDescent="0.3">
      <c r="A784" s="48">
        <v>0</v>
      </c>
      <c r="B784" s="49" t="s">
        <v>1202</v>
      </c>
      <c r="C784" s="50" t="s">
        <v>1203</v>
      </c>
      <c r="D784" s="46" t="s">
        <v>1460</v>
      </c>
      <c r="E784" s="46" t="s">
        <v>1197</v>
      </c>
      <c r="F784" s="46">
        <v>520</v>
      </c>
      <c r="G784" s="46" t="s">
        <v>1196</v>
      </c>
      <c r="H784" s="46"/>
      <c r="I784" s="51">
        <v>35449.4</v>
      </c>
      <c r="J784" s="51">
        <v>0</v>
      </c>
      <c r="K784" s="51">
        <f t="shared" si="160"/>
        <v>35449.4</v>
      </c>
      <c r="L784" s="51">
        <v>30704</v>
      </c>
      <c r="M784" s="51">
        <v>0</v>
      </c>
      <c r="N784" s="51">
        <f t="shared" si="151"/>
        <v>30704</v>
      </c>
      <c r="O784" s="51">
        <v>0</v>
      </c>
      <c r="P784" s="179" t="s">
        <v>1515</v>
      </c>
      <c r="Q784" s="179" t="s">
        <v>1398</v>
      </c>
      <c r="R784" s="179" t="s">
        <v>2132</v>
      </c>
      <c r="S784" s="68" t="s">
        <v>2052</v>
      </c>
      <c r="T784" s="54">
        <f>+I784</f>
        <v>35449.4</v>
      </c>
      <c r="U784" s="54"/>
      <c r="AA784">
        <f t="shared" si="152"/>
        <v>520</v>
      </c>
      <c r="AD784" t="str">
        <f t="shared" si="153"/>
        <v>366</v>
      </c>
      <c r="AE784">
        <f t="shared" si="154"/>
        <v>0</v>
      </c>
      <c r="AG784" s="50" t="str">
        <f t="shared" si="155"/>
        <v>ENSEIGNEMENT SECONDAIRE  Transports scolaires</v>
      </c>
      <c r="AH784" s="244" t="str">
        <f t="shared" si="156"/>
        <v>21992</v>
      </c>
      <c r="AI784" s="219"/>
      <c r="AJ784" s="219"/>
      <c r="AK784" s="219" t="str">
        <f t="shared" si="157"/>
        <v>3612</v>
      </c>
      <c r="AL784" s="244" t="str">
        <f t="shared" si="158"/>
        <v>01</v>
      </c>
      <c r="AN784" s="219" t="str">
        <f t="shared" si="159"/>
        <v>Parts aux communes et assoc intercomm - AISGE - Transports</v>
      </c>
    </row>
    <row r="785" spans="1:40" ht="15" customHeight="1" x14ac:dyDescent="0.3">
      <c r="A785" s="48">
        <v>0</v>
      </c>
      <c r="B785" s="49" t="s">
        <v>1205</v>
      </c>
      <c r="C785" s="50" t="s">
        <v>1206</v>
      </c>
      <c r="D785" s="46" t="s">
        <v>1460</v>
      </c>
      <c r="E785" s="46" t="s">
        <v>1204</v>
      </c>
      <c r="F785" s="46">
        <v>530</v>
      </c>
      <c r="G785" s="46" t="s">
        <v>183</v>
      </c>
      <c r="H785" s="46"/>
      <c r="I785" s="51">
        <v>33479.67</v>
      </c>
      <c r="J785" s="51">
        <v>0</v>
      </c>
      <c r="K785" s="51">
        <f t="shared" si="160"/>
        <v>33479.67</v>
      </c>
      <c r="L785" s="51">
        <v>36512</v>
      </c>
      <c r="M785" s="51">
        <v>0</v>
      </c>
      <c r="N785" s="51">
        <f t="shared" si="151"/>
        <v>36512</v>
      </c>
      <c r="O785" s="51">
        <v>0</v>
      </c>
      <c r="P785" s="179" t="s">
        <v>1517</v>
      </c>
      <c r="Q785" s="179" t="s">
        <v>1398</v>
      </c>
      <c r="R785" s="179" t="s">
        <v>2133</v>
      </c>
      <c r="S785" s="68" t="s">
        <v>2050</v>
      </c>
      <c r="T785" s="54">
        <f>+I785</f>
        <v>33479.67</v>
      </c>
      <c r="U785" s="54"/>
      <c r="AA785">
        <f t="shared" si="152"/>
        <v>530</v>
      </c>
      <c r="AD785" t="str">
        <f t="shared" si="153"/>
        <v>351</v>
      </c>
      <c r="AE785">
        <f t="shared" si="154"/>
        <v>0</v>
      </c>
      <c r="AG785" s="50" t="str">
        <f t="shared" si="155"/>
        <v>ENSEIGNEMENT SPECIALISE  PART AU CANTON</v>
      </c>
      <c r="AH785" s="244" t="str">
        <f t="shared" si="156"/>
        <v>21993</v>
      </c>
      <c r="AI785" s="219"/>
      <c r="AJ785" s="219"/>
      <c r="AK785" s="219" t="str">
        <f t="shared" si="157"/>
        <v>3612</v>
      </c>
      <c r="AL785" s="244" t="str">
        <f t="shared" si="158"/>
        <v>02</v>
      </c>
      <c r="AN785" s="219" t="str">
        <f t="shared" si="159"/>
        <v>Parts aux communes et assoc intercomm - AISGE - Coûts scolaires</v>
      </c>
    </row>
    <row r="786" spans="1:40" ht="15" customHeight="1" x14ac:dyDescent="0.3">
      <c r="A786" s="48">
        <v>0</v>
      </c>
      <c r="B786" s="49" t="s">
        <v>1207</v>
      </c>
      <c r="C786" s="50" t="s">
        <v>1208</v>
      </c>
      <c r="D786" s="46" t="s">
        <v>1460</v>
      </c>
      <c r="E786" s="46" t="s">
        <v>1204</v>
      </c>
      <c r="F786" s="46">
        <v>530</v>
      </c>
      <c r="G786" s="46" t="s">
        <v>175</v>
      </c>
      <c r="H786" s="46"/>
      <c r="I786" s="51">
        <v>0</v>
      </c>
      <c r="J786" s="51">
        <v>0</v>
      </c>
      <c r="K786" s="51">
        <f t="shared" si="160"/>
        <v>0</v>
      </c>
      <c r="L786" s="51">
        <v>0</v>
      </c>
      <c r="M786" s="51">
        <v>0</v>
      </c>
      <c r="N786" s="51">
        <f t="shared" si="151"/>
        <v>0</v>
      </c>
      <c r="O786" s="51">
        <v>0</v>
      </c>
      <c r="P786" s="179" t="s">
        <v>1489</v>
      </c>
      <c r="Q786" s="179" t="s">
        <v>1489</v>
      </c>
      <c r="R786" s="179" t="s">
        <v>1489</v>
      </c>
      <c r="S786" s="47" t="s">
        <v>1489</v>
      </c>
      <c r="T786" s="54"/>
      <c r="U786" s="54"/>
      <c r="AA786">
        <f t="shared" si="152"/>
        <v>530</v>
      </c>
      <c r="AD786" t="str">
        <f t="shared" si="153"/>
        <v>451</v>
      </c>
      <c r="AE786">
        <f t="shared" si="154"/>
        <v>0</v>
      </c>
      <c r="AG786" s="50" t="str">
        <f t="shared" si="155"/>
        <v>ENSEIGNEMENT SPECIALISE  RB DU CANTON</v>
      </c>
      <c r="AH786" s="244" t="str">
        <f t="shared" si="156"/>
        <v>-</v>
      </c>
      <c r="AI786" s="219"/>
      <c r="AJ786" s="219"/>
      <c r="AK786" s="219" t="str">
        <f t="shared" si="157"/>
        <v>-</v>
      </c>
      <c r="AL786" s="244" t="str">
        <f t="shared" si="158"/>
        <v>-</v>
      </c>
      <c r="AN786" s="219" t="str">
        <f t="shared" si="159"/>
        <v>-</v>
      </c>
    </row>
    <row r="787" spans="1:40" ht="15" customHeight="1" x14ac:dyDescent="0.3">
      <c r="A787" s="48">
        <v>0</v>
      </c>
      <c r="B787" s="49" t="s">
        <v>1210</v>
      </c>
      <c r="C787" s="50" t="s">
        <v>1211</v>
      </c>
      <c r="D787" s="46" t="s">
        <v>1460</v>
      </c>
      <c r="E787" s="46" t="s">
        <v>1209</v>
      </c>
      <c r="F787" s="46">
        <v>540</v>
      </c>
      <c r="G787" s="46" t="s">
        <v>5</v>
      </c>
      <c r="H787" s="46"/>
      <c r="I787" s="51">
        <v>2901</v>
      </c>
      <c r="J787" s="51">
        <v>0</v>
      </c>
      <c r="K787" s="51">
        <f t="shared" si="160"/>
        <v>2901</v>
      </c>
      <c r="L787" s="51">
        <v>2870.2</v>
      </c>
      <c r="M787" s="51">
        <v>0</v>
      </c>
      <c r="N787" s="51">
        <f t="shared" si="151"/>
        <v>2870.2</v>
      </c>
      <c r="O787" s="51">
        <v>0</v>
      </c>
      <c r="P787" s="179" t="s">
        <v>1529</v>
      </c>
      <c r="Q787" s="179" t="s">
        <v>1398</v>
      </c>
      <c r="R787" s="179" t="s">
        <v>2131</v>
      </c>
      <c r="S787" s="47" t="s">
        <v>2053</v>
      </c>
      <c r="T787" s="54">
        <f>+I787</f>
        <v>2901</v>
      </c>
      <c r="U787" s="54"/>
      <c r="W787" t="s">
        <v>1530</v>
      </c>
      <c r="AA787">
        <f t="shared" si="152"/>
        <v>540</v>
      </c>
      <c r="AD787" t="str">
        <f t="shared" si="153"/>
        <v>352</v>
      </c>
      <c r="AE787">
        <f t="shared" si="154"/>
        <v>0</v>
      </c>
      <c r="AG787" s="50" t="str">
        <f t="shared" si="155"/>
        <v>ORIENTATION PROFESSIONNELLE</v>
      </c>
      <c r="AH787" s="244" t="str">
        <f t="shared" si="156"/>
        <v>29900</v>
      </c>
      <c r="AI787" s="219"/>
      <c r="AJ787" s="219"/>
      <c r="AK787" s="219" t="str">
        <f t="shared" si="157"/>
        <v>3612</v>
      </c>
      <c r="AL787" s="244" t="str">
        <f t="shared" si="158"/>
        <v>00</v>
      </c>
      <c r="AN787" s="219" t="str">
        <f t="shared" si="159"/>
        <v>Parts aux communes et assoc intercomm - Ville de Nyon - orientation</v>
      </c>
    </row>
    <row r="788" spans="1:40" ht="15" customHeight="1" x14ac:dyDescent="0.3">
      <c r="A788" s="48">
        <v>0</v>
      </c>
      <c r="B788" s="49" t="s">
        <v>1213</v>
      </c>
      <c r="C788" s="50" t="s">
        <v>1214</v>
      </c>
      <c r="D788" s="46" t="s">
        <v>1460</v>
      </c>
      <c r="E788" s="46" t="s">
        <v>1212</v>
      </c>
      <c r="F788" s="46">
        <v>550</v>
      </c>
      <c r="G788" s="46" t="s">
        <v>5</v>
      </c>
      <c r="H788" s="46"/>
      <c r="I788" s="51">
        <v>66236.63</v>
      </c>
      <c r="J788" s="51">
        <v>0</v>
      </c>
      <c r="K788" s="51">
        <f t="shared" si="160"/>
        <v>66236.63</v>
      </c>
      <c r="L788" s="51">
        <v>93577</v>
      </c>
      <c r="M788" s="51">
        <v>0</v>
      </c>
      <c r="N788" s="51">
        <f t="shared" si="151"/>
        <v>93577</v>
      </c>
      <c r="O788" s="51">
        <v>0</v>
      </c>
      <c r="P788" s="179" t="s">
        <v>1519</v>
      </c>
      <c r="Q788" s="179" t="s">
        <v>1398</v>
      </c>
      <c r="R788" s="179" t="s">
        <v>2133</v>
      </c>
      <c r="S788" s="68" t="s">
        <v>2050</v>
      </c>
      <c r="T788" s="54">
        <f>+I788</f>
        <v>66236.63</v>
      </c>
      <c r="U788" s="54"/>
      <c r="AA788">
        <f t="shared" si="152"/>
        <v>550</v>
      </c>
      <c r="AD788" t="str">
        <f t="shared" si="153"/>
        <v>352</v>
      </c>
      <c r="AE788">
        <f t="shared" si="154"/>
        <v>0</v>
      </c>
      <c r="AG788" s="50" t="str">
        <f t="shared" si="155"/>
        <v>Centre de Jeunes AISGE</v>
      </c>
      <c r="AH788" s="244" t="str">
        <f t="shared" si="156"/>
        <v>21994</v>
      </c>
      <c r="AI788" s="219"/>
      <c r="AJ788" s="219"/>
      <c r="AK788" s="219" t="str">
        <f t="shared" si="157"/>
        <v>3612</v>
      </c>
      <c r="AL788" s="244" t="str">
        <f t="shared" si="158"/>
        <v>02</v>
      </c>
      <c r="AN788" s="219" t="str">
        <f t="shared" si="159"/>
        <v>Parts aux communes et assoc intercomm - AISGE - Coûts scolaires</v>
      </c>
    </row>
    <row r="789" spans="1:40" ht="15" customHeight="1" x14ac:dyDescent="0.3">
      <c r="A789" s="48">
        <v>0</v>
      </c>
      <c r="B789" s="49" t="s">
        <v>1216</v>
      </c>
      <c r="C789" s="50" t="s">
        <v>1217</v>
      </c>
      <c r="D789" s="46" t="s">
        <v>1460</v>
      </c>
      <c r="E789" s="46" t="s">
        <v>1215</v>
      </c>
      <c r="F789" s="46">
        <v>560</v>
      </c>
      <c r="G789" s="46" t="s">
        <v>5</v>
      </c>
      <c r="H789" s="46"/>
      <c r="I789" s="51">
        <v>9078.19</v>
      </c>
      <c r="J789" s="51">
        <v>0</v>
      </c>
      <c r="K789" s="51">
        <f t="shared" si="160"/>
        <v>9078.19</v>
      </c>
      <c r="L789" s="51">
        <v>9556</v>
      </c>
      <c r="M789" s="51">
        <v>0</v>
      </c>
      <c r="N789" s="51">
        <f t="shared" si="151"/>
        <v>9556</v>
      </c>
      <c r="O789" s="51">
        <v>0</v>
      </c>
      <c r="P789" s="179" t="s">
        <v>1528</v>
      </c>
      <c r="Q789" s="179" t="s">
        <v>1398</v>
      </c>
      <c r="R789" s="179" t="s">
        <v>2133</v>
      </c>
      <c r="S789" s="68" t="s">
        <v>2050</v>
      </c>
      <c r="T789" s="54">
        <v>1030.19</v>
      </c>
      <c r="U789" s="54"/>
      <c r="AA789">
        <f t="shared" si="152"/>
        <v>560</v>
      </c>
      <c r="AD789" t="str">
        <f t="shared" si="153"/>
        <v>352</v>
      </c>
      <c r="AE789">
        <f t="shared" si="154"/>
        <v>0</v>
      </c>
      <c r="AG789" s="50" t="str">
        <f t="shared" si="155"/>
        <v>SERVICE MEDICAL  AISGE + DENTAIRE</v>
      </c>
      <c r="AH789" s="244" t="str">
        <f t="shared" si="156"/>
        <v>43300</v>
      </c>
      <c r="AI789" s="219"/>
      <c r="AJ789" s="219"/>
      <c r="AK789" s="219" t="str">
        <f t="shared" si="157"/>
        <v>3612</v>
      </c>
      <c r="AL789" s="244" t="str">
        <f t="shared" si="158"/>
        <v>02</v>
      </c>
      <c r="AN789" s="219" t="str">
        <f t="shared" si="159"/>
        <v>Parts aux communes et assoc intercomm - AISGE - Coûts scolaires</v>
      </c>
    </row>
    <row r="790" spans="1:40" ht="15" customHeight="1" x14ac:dyDescent="0.3">
      <c r="A790" s="48"/>
      <c r="B790" s="49" t="s">
        <v>1216</v>
      </c>
      <c r="C790" s="50" t="s">
        <v>1217</v>
      </c>
      <c r="D790" s="46" t="s">
        <v>1460</v>
      </c>
      <c r="E790" s="46" t="s">
        <v>1215</v>
      </c>
      <c r="F790" s="46">
        <v>560</v>
      </c>
      <c r="G790" s="46" t="s">
        <v>5</v>
      </c>
      <c r="H790" s="46"/>
      <c r="I790" s="51">
        <v>0</v>
      </c>
      <c r="J790" s="51">
        <v>0</v>
      </c>
      <c r="K790" s="51">
        <f t="shared" si="160"/>
        <v>0</v>
      </c>
      <c r="L790" s="51">
        <v>0</v>
      </c>
      <c r="M790" s="51">
        <v>0</v>
      </c>
      <c r="N790" s="51">
        <f t="shared" si="151"/>
        <v>0</v>
      </c>
      <c r="O790" s="51"/>
      <c r="P790" s="179" t="s">
        <v>1528</v>
      </c>
      <c r="Q790" s="179" t="s">
        <v>1390</v>
      </c>
      <c r="R790" s="179" t="s">
        <v>2136</v>
      </c>
      <c r="S790" s="68" t="s">
        <v>2078</v>
      </c>
      <c r="T790" s="54">
        <v>8048</v>
      </c>
      <c r="U790" s="54"/>
      <c r="AA790">
        <f t="shared" si="152"/>
        <v>560</v>
      </c>
      <c r="AD790" t="str">
        <f t="shared" si="153"/>
        <v>352</v>
      </c>
      <c r="AE790">
        <f t="shared" si="154"/>
        <v>0</v>
      </c>
      <c r="AG790" s="50" t="str">
        <f t="shared" si="155"/>
        <v>SERVICE MEDICAL  AISGE + DENTAIRE</v>
      </c>
      <c r="AH790" s="244" t="str">
        <f t="shared" si="156"/>
        <v>43300</v>
      </c>
      <c r="AI790" s="219"/>
      <c r="AJ790" s="219"/>
      <c r="AK790" s="219" t="str">
        <f t="shared" si="157"/>
        <v>3130</v>
      </c>
      <c r="AL790" s="244" t="str">
        <f t="shared" si="158"/>
        <v>05</v>
      </c>
      <c r="AN790" s="219" t="str">
        <f t="shared" si="159"/>
        <v>Prestations de services tiers - clinique dentaire</v>
      </c>
    </row>
    <row r="791" spans="1:40" ht="15" customHeight="1" x14ac:dyDescent="0.3">
      <c r="A791" s="48">
        <v>0</v>
      </c>
      <c r="B791" s="49" t="s">
        <v>1219</v>
      </c>
      <c r="C791" s="50" t="s">
        <v>1220</v>
      </c>
      <c r="D791" s="46" t="s">
        <v>1460</v>
      </c>
      <c r="E791" s="46" t="s">
        <v>1218</v>
      </c>
      <c r="F791" s="46">
        <v>570</v>
      </c>
      <c r="G791" s="46" t="s">
        <v>5</v>
      </c>
      <c r="H791" s="46"/>
      <c r="I791" s="51">
        <v>28583.02</v>
      </c>
      <c r="J791" s="51">
        <v>0</v>
      </c>
      <c r="K791" s="51">
        <f t="shared" si="160"/>
        <v>28583.02</v>
      </c>
      <c r="L791" s="51">
        <v>27603</v>
      </c>
      <c r="M791" s="51">
        <v>0</v>
      </c>
      <c r="N791" s="51">
        <f t="shared" si="151"/>
        <v>27603</v>
      </c>
      <c r="O791" s="51">
        <v>0</v>
      </c>
      <c r="P791" s="179" t="s">
        <v>1520</v>
      </c>
      <c r="Q791" s="179" t="s">
        <v>1398</v>
      </c>
      <c r="R791" s="179" t="s">
        <v>2133</v>
      </c>
      <c r="S791" s="68" t="s">
        <v>2050</v>
      </c>
      <c r="T791" s="54">
        <f>+I791</f>
        <v>28583.02</v>
      </c>
      <c r="U791" s="54"/>
      <c r="AA791">
        <f t="shared" si="152"/>
        <v>570</v>
      </c>
      <c r="AD791" t="str">
        <f t="shared" si="153"/>
        <v>352</v>
      </c>
      <c r="AE791">
        <f t="shared" si="154"/>
        <v>0</v>
      </c>
      <c r="AG791" s="50" t="str">
        <f t="shared" si="155"/>
        <v>CAMPS Scolaire AISGE</v>
      </c>
      <c r="AH791" s="244" t="str">
        <f t="shared" si="156"/>
        <v>21995</v>
      </c>
      <c r="AI791" s="219"/>
      <c r="AJ791" s="219"/>
      <c r="AK791" s="219" t="str">
        <f t="shared" si="157"/>
        <v>3612</v>
      </c>
      <c r="AL791" s="244" t="str">
        <f t="shared" si="158"/>
        <v>02</v>
      </c>
      <c r="AN791" s="219" t="str">
        <f t="shared" si="159"/>
        <v>Parts aux communes et assoc intercomm - AISGE - Coûts scolaires</v>
      </c>
    </row>
    <row r="792" spans="1:40" ht="15" customHeight="1" x14ac:dyDescent="0.3">
      <c r="A792" s="48">
        <v>0</v>
      </c>
      <c r="B792" s="49" t="s">
        <v>1222</v>
      </c>
      <c r="C792" s="50" t="s">
        <v>1223</v>
      </c>
      <c r="D792" s="46" t="s">
        <v>1460</v>
      </c>
      <c r="E792" s="46" t="s">
        <v>1221</v>
      </c>
      <c r="F792" s="46">
        <v>580</v>
      </c>
      <c r="G792" s="46" t="s">
        <v>48</v>
      </c>
      <c r="H792" s="46"/>
      <c r="I792" s="51">
        <v>0</v>
      </c>
      <c r="J792" s="51">
        <v>0</v>
      </c>
      <c r="K792" s="51">
        <f t="shared" si="160"/>
        <v>0</v>
      </c>
      <c r="L792" s="51">
        <v>0</v>
      </c>
      <c r="M792" s="51">
        <v>0</v>
      </c>
      <c r="N792" s="51">
        <f t="shared" ref="N792:N812" si="161">+L792+M792</f>
        <v>0</v>
      </c>
      <c r="O792" s="51">
        <v>0</v>
      </c>
      <c r="P792" s="179" t="s">
        <v>1489</v>
      </c>
      <c r="Q792" s="179" t="s">
        <v>1489</v>
      </c>
      <c r="R792" s="179" t="s">
        <v>1489</v>
      </c>
      <c r="S792" s="47" t="s">
        <v>1489</v>
      </c>
      <c r="T792" s="54"/>
      <c r="U792" s="54"/>
      <c r="AA792">
        <f t="shared" si="152"/>
        <v>580</v>
      </c>
      <c r="AD792" t="str">
        <f t="shared" si="153"/>
        <v>318</v>
      </c>
      <c r="AE792">
        <f t="shared" si="154"/>
        <v>0</v>
      </c>
      <c r="AG792" s="50" t="str">
        <f t="shared" si="155"/>
        <v>EGLISE  CULTES  PREST SERVICES, ORGUE, SONO</v>
      </c>
      <c r="AH792" s="244" t="str">
        <f t="shared" si="156"/>
        <v>-</v>
      </c>
      <c r="AI792" s="219"/>
      <c r="AJ792" s="219"/>
      <c r="AK792" s="219" t="str">
        <f t="shared" si="157"/>
        <v>-</v>
      </c>
      <c r="AL792" s="244" t="str">
        <f t="shared" si="158"/>
        <v>-</v>
      </c>
      <c r="AN792" s="219" t="str">
        <f t="shared" si="159"/>
        <v>-</v>
      </c>
    </row>
    <row r="793" spans="1:40" ht="15" customHeight="1" x14ac:dyDescent="0.3">
      <c r="A793" s="48">
        <v>0</v>
      </c>
      <c r="B793" s="49" t="s">
        <v>1224</v>
      </c>
      <c r="C793" s="50" t="s">
        <v>1225</v>
      </c>
      <c r="D793" s="46" t="s">
        <v>1460</v>
      </c>
      <c r="E793" s="46" t="s">
        <v>1221</v>
      </c>
      <c r="F793" s="46">
        <v>580</v>
      </c>
      <c r="G793" s="46" t="s">
        <v>164</v>
      </c>
      <c r="H793" s="46"/>
      <c r="I793" s="51">
        <v>0</v>
      </c>
      <c r="J793" s="51">
        <v>0</v>
      </c>
      <c r="K793" s="51">
        <f t="shared" si="160"/>
        <v>0</v>
      </c>
      <c r="L793" s="51">
        <v>0</v>
      </c>
      <c r="M793" s="51">
        <v>0</v>
      </c>
      <c r="N793" s="51">
        <f t="shared" si="161"/>
        <v>0</v>
      </c>
      <c r="O793" s="51">
        <v>0</v>
      </c>
      <c r="P793" s="179" t="s">
        <v>1489</v>
      </c>
      <c r="Q793" s="179" t="s">
        <v>1489</v>
      </c>
      <c r="R793" s="179" t="s">
        <v>1489</v>
      </c>
      <c r="S793" s="47" t="s">
        <v>1489</v>
      </c>
      <c r="T793" s="54"/>
      <c r="U793" s="54"/>
      <c r="AA793">
        <f t="shared" si="152"/>
        <v>580</v>
      </c>
      <c r="AD793" t="str">
        <f t="shared" si="153"/>
        <v>331</v>
      </c>
      <c r="AE793">
        <f t="shared" si="154"/>
        <v>0</v>
      </c>
      <c r="AG793" s="50" t="str">
        <f t="shared" si="155"/>
        <v>EGLISE  AMORTISSSEMENT P ADMIN</v>
      </c>
      <c r="AH793" s="244" t="str">
        <f t="shared" si="156"/>
        <v>-</v>
      </c>
      <c r="AI793" s="219"/>
      <c r="AJ793" s="219"/>
      <c r="AK793" s="219" t="str">
        <f t="shared" si="157"/>
        <v>-</v>
      </c>
      <c r="AL793" s="244" t="str">
        <f t="shared" si="158"/>
        <v>-</v>
      </c>
      <c r="AN793" s="219" t="str">
        <f t="shared" si="159"/>
        <v>-</v>
      </c>
    </row>
    <row r="794" spans="1:40" ht="15" customHeight="1" x14ac:dyDescent="0.3">
      <c r="A794" s="48">
        <v>0</v>
      </c>
      <c r="B794" s="49" t="s">
        <v>1226</v>
      </c>
      <c r="C794" s="50" t="s">
        <v>1227</v>
      </c>
      <c r="D794" s="46" t="s">
        <v>1460</v>
      </c>
      <c r="E794" s="46" t="s">
        <v>1221</v>
      </c>
      <c r="F794" s="46">
        <v>580</v>
      </c>
      <c r="G794" s="46" t="s">
        <v>96</v>
      </c>
      <c r="H794" s="46"/>
      <c r="I794" s="51">
        <v>0</v>
      </c>
      <c r="J794" s="51">
        <v>0</v>
      </c>
      <c r="K794" s="51">
        <f t="shared" si="160"/>
        <v>0</v>
      </c>
      <c r="L794" s="51">
        <v>0</v>
      </c>
      <c r="M794" s="51">
        <v>0</v>
      </c>
      <c r="N794" s="51">
        <f t="shared" si="161"/>
        <v>0</v>
      </c>
      <c r="O794" s="51">
        <v>0</v>
      </c>
      <c r="P794" s="179" t="s">
        <v>1489</v>
      </c>
      <c r="Q794" s="179" t="s">
        <v>1489</v>
      </c>
      <c r="R794" s="179" t="s">
        <v>1489</v>
      </c>
      <c r="S794" s="47" t="s">
        <v>1489</v>
      </c>
      <c r="T794" s="54"/>
      <c r="U794" s="54"/>
      <c r="AA794">
        <f t="shared" si="152"/>
        <v>580</v>
      </c>
      <c r="AD794" t="str">
        <f t="shared" si="153"/>
        <v>332</v>
      </c>
      <c r="AE794">
        <f t="shared" si="154"/>
        <v>0</v>
      </c>
      <c r="AG794" s="50" t="str">
        <f t="shared" si="155"/>
        <v>EGLISE  AMORTISSSEMENT P ADM SUPPL</v>
      </c>
      <c r="AH794" s="244" t="str">
        <f t="shared" si="156"/>
        <v>-</v>
      </c>
      <c r="AI794" s="219"/>
      <c r="AJ794" s="219"/>
      <c r="AK794" s="219" t="str">
        <f t="shared" si="157"/>
        <v>-</v>
      </c>
      <c r="AL794" s="244" t="str">
        <f t="shared" si="158"/>
        <v>-</v>
      </c>
      <c r="AN794" s="219" t="str">
        <f t="shared" si="159"/>
        <v>-</v>
      </c>
    </row>
    <row r="795" spans="1:40" ht="15" customHeight="1" x14ac:dyDescent="0.3">
      <c r="A795" s="48">
        <v>0</v>
      </c>
      <c r="B795" s="49" t="s">
        <v>1228</v>
      </c>
      <c r="C795" s="50" t="s">
        <v>1229</v>
      </c>
      <c r="D795" s="46" t="s">
        <v>1460</v>
      </c>
      <c r="E795" s="46" t="s">
        <v>1221</v>
      </c>
      <c r="F795" s="46">
        <v>580</v>
      </c>
      <c r="G795" s="46" t="s">
        <v>5</v>
      </c>
      <c r="H795" s="46"/>
      <c r="I795" s="51">
        <v>11608.05</v>
      </c>
      <c r="J795" s="51">
        <v>0</v>
      </c>
      <c r="K795" s="51">
        <f t="shared" si="160"/>
        <v>11608.05</v>
      </c>
      <c r="L795" s="51">
        <v>12236</v>
      </c>
      <c r="M795" s="51">
        <v>0</v>
      </c>
      <c r="N795" s="51">
        <f t="shared" si="161"/>
        <v>12236</v>
      </c>
      <c r="O795" s="51">
        <v>395.8</v>
      </c>
      <c r="P795" s="179" t="s">
        <v>1532</v>
      </c>
      <c r="Q795" s="179" t="s">
        <v>1398</v>
      </c>
      <c r="R795" s="179" t="s">
        <v>2131</v>
      </c>
      <c r="S795" s="47" t="s">
        <v>2054</v>
      </c>
      <c r="T795" s="54">
        <f>+I795</f>
        <v>11608.05</v>
      </c>
      <c r="U795" s="54"/>
      <c r="AA795">
        <f t="shared" si="152"/>
        <v>580</v>
      </c>
      <c r="AD795" t="str">
        <f t="shared" si="153"/>
        <v>352</v>
      </c>
      <c r="AE795">
        <f t="shared" si="154"/>
        <v>0</v>
      </c>
      <c r="AG795" s="50" t="str">
        <f t="shared" si="155"/>
        <v>CULTES PART AUTRE PAROISSE</v>
      </c>
      <c r="AH795" s="244" t="str">
        <f t="shared" si="156"/>
        <v>35000</v>
      </c>
      <c r="AI795" s="219"/>
      <c r="AJ795" s="219"/>
      <c r="AK795" s="219" t="str">
        <f t="shared" si="157"/>
        <v>3612</v>
      </c>
      <c r="AL795" s="244" t="str">
        <f t="shared" si="158"/>
        <v>00</v>
      </c>
      <c r="AN795" s="219" t="str">
        <f t="shared" si="159"/>
        <v>Parts aux communes et assoc intercomm - Parts aux communes et assoc intercomm</v>
      </c>
    </row>
    <row r="796" spans="1:40" ht="15" customHeight="1" x14ac:dyDescent="0.3">
      <c r="A796" s="48">
        <v>0</v>
      </c>
      <c r="B796" s="49" t="s">
        <v>1231</v>
      </c>
      <c r="C796" s="50" t="s">
        <v>1232</v>
      </c>
      <c r="D796" s="46" t="s">
        <v>1458</v>
      </c>
      <c r="E796" s="46" t="s">
        <v>1230</v>
      </c>
      <c r="F796" s="46">
        <v>600</v>
      </c>
      <c r="G796" s="46" t="s">
        <v>48</v>
      </c>
      <c r="H796" s="46"/>
      <c r="I796" s="51">
        <v>0</v>
      </c>
      <c r="J796" s="51">
        <v>0</v>
      </c>
      <c r="K796" s="51">
        <f t="shared" si="160"/>
        <v>0</v>
      </c>
      <c r="L796" s="51">
        <v>0</v>
      </c>
      <c r="M796" s="51">
        <v>0</v>
      </c>
      <c r="N796" s="51">
        <f t="shared" si="161"/>
        <v>0</v>
      </c>
      <c r="O796" s="51">
        <v>0</v>
      </c>
      <c r="P796" s="179" t="s">
        <v>1489</v>
      </c>
      <c r="Q796" s="179" t="s">
        <v>1489</v>
      </c>
      <c r="R796" s="179" t="s">
        <v>1489</v>
      </c>
      <c r="S796" s="47" t="s">
        <v>1489</v>
      </c>
      <c r="T796" s="54"/>
      <c r="U796" s="54"/>
      <c r="AA796">
        <f t="shared" si="152"/>
        <v>600</v>
      </c>
      <c r="AD796" t="str">
        <f t="shared" si="153"/>
        <v>318</v>
      </c>
      <c r="AE796">
        <f t="shared" si="154"/>
        <v>0</v>
      </c>
      <c r="AG796" s="50" t="str">
        <f t="shared" si="155"/>
        <v>POLICE  PREST SERVICES</v>
      </c>
      <c r="AH796" s="244" t="str">
        <f t="shared" si="156"/>
        <v>-</v>
      </c>
      <c r="AI796" s="219"/>
      <c r="AJ796" s="219"/>
      <c r="AK796" s="219" t="str">
        <f t="shared" si="157"/>
        <v>-</v>
      </c>
      <c r="AL796" s="244" t="str">
        <f t="shared" si="158"/>
        <v>-</v>
      </c>
      <c r="AN796" s="219" t="str">
        <f t="shared" si="159"/>
        <v>-</v>
      </c>
    </row>
    <row r="797" spans="1:40" ht="15" customHeight="1" x14ac:dyDescent="0.3">
      <c r="A797" s="48">
        <v>0</v>
      </c>
      <c r="B797" s="74" t="s">
        <v>1233</v>
      </c>
      <c r="C797" s="67" t="s">
        <v>1234</v>
      </c>
      <c r="D797" s="188" t="s">
        <v>1458</v>
      </c>
      <c r="E797" s="188" t="s">
        <v>1230</v>
      </c>
      <c r="F797" s="46">
        <v>600</v>
      </c>
      <c r="G797" s="188" t="s">
        <v>183</v>
      </c>
      <c r="H797" s="188"/>
      <c r="I797" s="51">
        <v>326477</v>
      </c>
      <c r="J797" s="51">
        <v>0</v>
      </c>
      <c r="K797" s="51">
        <f t="shared" si="160"/>
        <v>326477</v>
      </c>
      <c r="L797" s="51">
        <v>324000</v>
      </c>
      <c r="M797" s="51">
        <v>0</v>
      </c>
      <c r="N797" s="51">
        <f t="shared" si="161"/>
        <v>324000</v>
      </c>
      <c r="O797" s="51">
        <v>162009</v>
      </c>
      <c r="P797" s="179" t="s">
        <v>1533</v>
      </c>
      <c r="Q797" s="179" t="s">
        <v>1535</v>
      </c>
      <c r="R797" s="179" t="s">
        <v>2131</v>
      </c>
      <c r="S797" s="47" t="s">
        <v>1761</v>
      </c>
      <c r="T797" s="54">
        <f>+I797</f>
        <v>326477</v>
      </c>
      <c r="U797" s="218">
        <v>335562</v>
      </c>
      <c r="W797" t="s">
        <v>1534</v>
      </c>
      <c r="AA797">
        <f t="shared" si="152"/>
        <v>600</v>
      </c>
      <c r="AD797" t="str">
        <f t="shared" si="153"/>
        <v>351</v>
      </c>
      <c r="AE797">
        <f t="shared" si="154"/>
        <v>0</v>
      </c>
      <c r="AG797" s="50" t="str">
        <f t="shared" si="155"/>
        <v>POLICE  PART AU CANTON  FRAIS POLICE CANTONALE</v>
      </c>
      <c r="AH797" s="244" t="str">
        <f t="shared" si="156"/>
        <v>11100</v>
      </c>
      <c r="AI797" s="219"/>
      <c r="AJ797" s="219"/>
      <c r="AK797" s="219" t="str">
        <f t="shared" si="157"/>
        <v>3611</v>
      </c>
      <c r="AL797" s="244" t="str">
        <f t="shared" si="158"/>
        <v>00</v>
      </c>
      <c r="AN797" s="219" t="str">
        <f t="shared" si="159"/>
        <v>Péréquation - Parts aux Cantons (Réforme)</v>
      </c>
    </row>
    <row r="798" spans="1:40" ht="15" customHeight="1" x14ac:dyDescent="0.3">
      <c r="A798" s="48"/>
      <c r="B798" s="74" t="s">
        <v>1233</v>
      </c>
      <c r="C798" s="67" t="s">
        <v>1234</v>
      </c>
      <c r="D798" s="188" t="s">
        <v>1458</v>
      </c>
      <c r="E798" s="188" t="s">
        <v>1230</v>
      </c>
      <c r="F798" s="46">
        <v>600</v>
      </c>
      <c r="G798" s="188" t="s">
        <v>183</v>
      </c>
      <c r="H798" s="188"/>
      <c r="I798" s="51"/>
      <c r="J798" s="51"/>
      <c r="K798" s="51">
        <f t="shared" si="160"/>
        <v>0</v>
      </c>
      <c r="L798" s="51"/>
      <c r="M798" s="51"/>
      <c r="N798" s="51">
        <f t="shared" si="161"/>
        <v>0</v>
      </c>
      <c r="O798" s="51"/>
      <c r="P798" s="179" t="s">
        <v>1533</v>
      </c>
      <c r="Q798" s="179" t="s">
        <v>1535</v>
      </c>
      <c r="R798" s="179" t="s">
        <v>2132</v>
      </c>
      <c r="S798" s="47" t="s">
        <v>1762</v>
      </c>
      <c r="T798" s="54"/>
      <c r="U798" s="54"/>
      <c r="AA798">
        <f t="shared" si="152"/>
        <v>600</v>
      </c>
      <c r="AD798" t="str">
        <f t="shared" si="153"/>
        <v>351</v>
      </c>
      <c r="AE798">
        <f t="shared" si="154"/>
        <v>0</v>
      </c>
      <c r="AG798" s="50" t="str">
        <f t="shared" si="155"/>
        <v>POLICE  PART AU CANTON  FRAIS POLICE CANTONALE</v>
      </c>
      <c r="AH798" s="244" t="str">
        <f t="shared" si="156"/>
        <v>11100</v>
      </c>
      <c r="AI798" s="219"/>
      <c r="AJ798" s="219"/>
      <c r="AK798" s="219" t="str">
        <f t="shared" si="157"/>
        <v>3611</v>
      </c>
      <c r="AL798" s="244" t="str">
        <f t="shared" si="158"/>
        <v>01</v>
      </c>
      <c r="AN798" s="219" t="str">
        <f t="shared" si="159"/>
        <v>Péréquation - Parts aux Cantons (Réforme) N-1</v>
      </c>
    </row>
    <row r="799" spans="1:40" ht="15" customHeight="1" x14ac:dyDescent="0.3">
      <c r="A799" s="48"/>
      <c r="B799" s="74" t="s">
        <v>1233</v>
      </c>
      <c r="C799" s="67" t="s">
        <v>1234</v>
      </c>
      <c r="D799" s="188" t="s">
        <v>1458</v>
      </c>
      <c r="E799" s="188" t="s">
        <v>1230</v>
      </c>
      <c r="F799" s="46">
        <v>600</v>
      </c>
      <c r="G799" s="188" t="s">
        <v>183</v>
      </c>
      <c r="H799" s="188"/>
      <c r="I799" s="51"/>
      <c r="J799" s="51"/>
      <c r="K799" s="51">
        <f t="shared" si="160"/>
        <v>0</v>
      </c>
      <c r="L799" s="51"/>
      <c r="M799" s="51"/>
      <c r="N799" s="51">
        <f t="shared" si="161"/>
        <v>0</v>
      </c>
      <c r="O799" s="51"/>
      <c r="P799" s="179" t="s">
        <v>1533</v>
      </c>
      <c r="Q799" s="179" t="s">
        <v>1705</v>
      </c>
      <c r="R799" s="179" t="s">
        <v>2131</v>
      </c>
      <c r="S799" s="47" t="s">
        <v>1761</v>
      </c>
      <c r="T799" s="54"/>
      <c r="U799" s="54"/>
      <c r="AA799">
        <f t="shared" si="152"/>
        <v>600</v>
      </c>
      <c r="AD799" t="str">
        <f t="shared" si="153"/>
        <v>351</v>
      </c>
      <c r="AE799">
        <f t="shared" si="154"/>
        <v>0</v>
      </c>
      <c r="AG799" s="50" t="str">
        <f t="shared" si="155"/>
        <v>POLICE  PART AU CANTON  FRAIS POLICE CANTONALE</v>
      </c>
      <c r="AH799" s="244" t="str">
        <f t="shared" si="156"/>
        <v>11100</v>
      </c>
      <c r="AI799" s="219"/>
      <c r="AJ799" s="219"/>
      <c r="AK799" s="219" t="str">
        <f t="shared" si="157"/>
        <v>4611</v>
      </c>
      <c r="AL799" s="244" t="str">
        <f t="shared" si="158"/>
        <v>00</v>
      </c>
      <c r="AN799" s="219" t="str">
        <f t="shared" si="159"/>
        <v>Péréquation - Parts aux Cantons (Réforme)</v>
      </c>
    </row>
    <row r="800" spans="1:40" ht="15" customHeight="1" x14ac:dyDescent="0.3">
      <c r="A800" s="48"/>
      <c r="B800" s="74" t="s">
        <v>1233</v>
      </c>
      <c r="C800" s="67" t="s">
        <v>1234</v>
      </c>
      <c r="D800" s="188" t="s">
        <v>1458</v>
      </c>
      <c r="E800" s="188" t="s">
        <v>1230</v>
      </c>
      <c r="F800" s="46">
        <v>600</v>
      </c>
      <c r="G800" s="188" t="s">
        <v>183</v>
      </c>
      <c r="H800" s="188"/>
      <c r="I800" s="51"/>
      <c r="J800" s="51"/>
      <c r="K800" s="51">
        <f t="shared" si="160"/>
        <v>0</v>
      </c>
      <c r="L800" s="51"/>
      <c r="M800" s="51"/>
      <c r="N800" s="51">
        <f t="shared" si="161"/>
        <v>0</v>
      </c>
      <c r="O800" s="51"/>
      <c r="P800" s="179" t="s">
        <v>1533</v>
      </c>
      <c r="Q800" s="179" t="s">
        <v>1705</v>
      </c>
      <c r="R800" s="179" t="s">
        <v>2132</v>
      </c>
      <c r="S800" s="47" t="s">
        <v>1762</v>
      </c>
      <c r="T800" s="54"/>
      <c r="U800" s="54"/>
      <c r="AA800">
        <f t="shared" si="152"/>
        <v>600</v>
      </c>
      <c r="AD800" t="str">
        <f t="shared" si="153"/>
        <v>351</v>
      </c>
      <c r="AE800">
        <f t="shared" si="154"/>
        <v>0</v>
      </c>
      <c r="AG800" s="50" t="str">
        <f t="shared" si="155"/>
        <v>POLICE  PART AU CANTON  FRAIS POLICE CANTONALE</v>
      </c>
      <c r="AH800" s="244" t="str">
        <f t="shared" si="156"/>
        <v>11100</v>
      </c>
      <c r="AI800" s="219"/>
      <c r="AJ800" s="219"/>
      <c r="AK800" s="219" t="str">
        <f t="shared" si="157"/>
        <v>4611</v>
      </c>
      <c r="AL800" s="244" t="str">
        <f t="shared" si="158"/>
        <v>01</v>
      </c>
      <c r="AN800" s="219" t="str">
        <f t="shared" si="159"/>
        <v>Péréquation - Parts aux Cantons (Réforme) N-1</v>
      </c>
    </row>
    <row r="801" spans="1:40" ht="15" customHeight="1" x14ac:dyDescent="0.3">
      <c r="A801" s="48">
        <v>0</v>
      </c>
      <c r="B801" s="49" t="s">
        <v>1235</v>
      </c>
      <c r="C801" s="50" t="s">
        <v>1236</v>
      </c>
      <c r="D801" s="46" t="s">
        <v>1458</v>
      </c>
      <c r="E801" s="46" t="s">
        <v>1230</v>
      </c>
      <c r="F801" s="46">
        <v>600</v>
      </c>
      <c r="G801" s="46" t="s">
        <v>183</v>
      </c>
      <c r="H801" s="46">
        <v>1</v>
      </c>
      <c r="I801" s="51">
        <v>0</v>
      </c>
      <c r="J801" s="51">
        <v>0</v>
      </c>
      <c r="K801" s="51">
        <f t="shared" si="160"/>
        <v>0</v>
      </c>
      <c r="L801" s="51">
        <v>0</v>
      </c>
      <c r="M801" s="51">
        <v>0</v>
      </c>
      <c r="N801" s="51">
        <f t="shared" si="161"/>
        <v>0</v>
      </c>
      <c r="O801" s="51">
        <v>0</v>
      </c>
      <c r="P801" s="179" t="s">
        <v>1489</v>
      </c>
      <c r="Q801" s="179" t="s">
        <v>1489</v>
      </c>
      <c r="R801" s="179" t="s">
        <v>1489</v>
      </c>
      <c r="S801" s="47" t="s">
        <v>1489</v>
      </c>
      <c r="T801" s="54"/>
      <c r="U801" s="54"/>
      <c r="AA801">
        <f t="shared" si="152"/>
        <v>600</v>
      </c>
      <c r="AD801" t="str">
        <f t="shared" si="153"/>
        <v>351</v>
      </c>
      <c r="AE801">
        <f t="shared" si="154"/>
        <v>1</v>
      </c>
      <c r="AG801" s="50" t="str">
        <f t="shared" si="155"/>
        <v>POLICE  PART AU CANTON SOLDE ANNEE PRECEDENTE</v>
      </c>
      <c r="AH801" s="244" t="str">
        <f t="shared" si="156"/>
        <v>-</v>
      </c>
      <c r="AI801" s="219"/>
      <c r="AJ801" s="219"/>
      <c r="AK801" s="219" t="str">
        <f t="shared" si="157"/>
        <v>-</v>
      </c>
      <c r="AL801" s="244" t="str">
        <f t="shared" si="158"/>
        <v>-</v>
      </c>
      <c r="AN801" s="219" t="str">
        <f t="shared" si="159"/>
        <v>-</v>
      </c>
    </row>
    <row r="802" spans="1:40" ht="15" customHeight="1" x14ac:dyDescent="0.3">
      <c r="A802" s="48">
        <v>0</v>
      </c>
      <c r="B802" s="49" t="s">
        <v>1237</v>
      </c>
      <c r="C802" s="50" t="s">
        <v>1238</v>
      </c>
      <c r="D802" s="46" t="s">
        <v>1458</v>
      </c>
      <c r="E802" s="46" t="s">
        <v>1230</v>
      </c>
      <c r="F802" s="46">
        <v>600</v>
      </c>
      <c r="G802" s="46" t="s">
        <v>108</v>
      </c>
      <c r="H802" s="46"/>
      <c r="I802" s="51">
        <v>0</v>
      </c>
      <c r="J802" s="51">
        <v>0</v>
      </c>
      <c r="K802" s="51">
        <f t="shared" si="160"/>
        <v>0</v>
      </c>
      <c r="L802" s="51">
        <v>0</v>
      </c>
      <c r="M802" s="51">
        <v>0</v>
      </c>
      <c r="N802" s="51">
        <f t="shared" si="161"/>
        <v>0</v>
      </c>
      <c r="O802" s="51">
        <v>0</v>
      </c>
      <c r="P802" s="179" t="s">
        <v>1489</v>
      </c>
      <c r="Q802" s="179" t="s">
        <v>1489</v>
      </c>
      <c r="R802" s="179" t="s">
        <v>1489</v>
      </c>
      <c r="S802" s="47" t="s">
        <v>1489</v>
      </c>
      <c r="T802" s="54"/>
      <c r="U802" s="54"/>
      <c r="AA802">
        <f t="shared" si="152"/>
        <v>600</v>
      </c>
      <c r="AD802" t="str">
        <f t="shared" si="153"/>
        <v>431</v>
      </c>
      <c r="AE802">
        <f t="shared" si="154"/>
        <v>0</v>
      </c>
      <c r="AG802" s="50" t="str">
        <f t="shared" si="155"/>
        <v>POLICE  EMOLUMENTS</v>
      </c>
      <c r="AH802" s="244" t="str">
        <f t="shared" si="156"/>
        <v>-</v>
      </c>
      <c r="AI802" s="219"/>
      <c r="AJ802" s="219"/>
      <c r="AK802" s="219" t="str">
        <f t="shared" si="157"/>
        <v>-</v>
      </c>
      <c r="AL802" s="244" t="str">
        <f t="shared" si="158"/>
        <v>-</v>
      </c>
      <c r="AN802" s="219" t="str">
        <f t="shared" si="159"/>
        <v>-</v>
      </c>
    </row>
    <row r="803" spans="1:40" ht="15" customHeight="1" x14ac:dyDescent="0.3">
      <c r="A803" s="48">
        <v>0</v>
      </c>
      <c r="B803" s="49" t="s">
        <v>1239</v>
      </c>
      <c r="C803" s="50" t="s">
        <v>1240</v>
      </c>
      <c r="D803" s="46" t="s">
        <v>1458</v>
      </c>
      <c r="E803" s="46" t="s">
        <v>1230</v>
      </c>
      <c r="F803" s="46">
        <v>600</v>
      </c>
      <c r="G803" s="46" t="s">
        <v>1111</v>
      </c>
      <c r="H803" s="46"/>
      <c r="I803" s="51">
        <v>0</v>
      </c>
      <c r="J803" s="51">
        <v>-200</v>
      </c>
      <c r="K803" s="51">
        <f t="shared" si="160"/>
        <v>-200</v>
      </c>
      <c r="L803" s="51">
        <v>0</v>
      </c>
      <c r="M803" s="51">
        <v>0</v>
      </c>
      <c r="N803" s="51">
        <f t="shared" si="161"/>
        <v>0</v>
      </c>
      <c r="O803" s="51">
        <v>0</v>
      </c>
      <c r="P803" s="179" t="s">
        <v>1533</v>
      </c>
      <c r="Q803" s="179" t="s">
        <v>1537</v>
      </c>
      <c r="R803" s="179" t="s">
        <v>2131</v>
      </c>
      <c r="S803" s="47" t="s">
        <v>1538</v>
      </c>
      <c r="T803" s="54">
        <f>+J803</f>
        <v>-200</v>
      </c>
      <c r="U803" s="54"/>
      <c r="W803" t="s">
        <v>1536</v>
      </c>
      <c r="AA803">
        <f t="shared" si="152"/>
        <v>600</v>
      </c>
      <c r="AD803" t="str">
        <f t="shared" si="153"/>
        <v>437</v>
      </c>
      <c r="AE803">
        <f t="shared" si="154"/>
        <v>0</v>
      </c>
      <c r="AG803" s="50" t="str">
        <f t="shared" si="155"/>
        <v>POLICE  AMENDES</v>
      </c>
      <c r="AH803" s="244" t="str">
        <f t="shared" si="156"/>
        <v>11100</v>
      </c>
      <c r="AI803" s="219"/>
      <c r="AJ803" s="219"/>
      <c r="AK803" s="219" t="str">
        <f t="shared" si="157"/>
        <v>4270</v>
      </c>
      <c r="AL803" s="244" t="str">
        <f t="shared" si="158"/>
        <v>00</v>
      </c>
      <c r="AN803" s="219" t="str">
        <f t="shared" si="159"/>
        <v>Amendes (OP)</v>
      </c>
    </row>
    <row r="804" spans="1:40" ht="15" customHeight="1" x14ac:dyDescent="0.3">
      <c r="A804" s="48">
        <v>0</v>
      </c>
      <c r="B804" s="49" t="s">
        <v>1241</v>
      </c>
      <c r="C804" s="50" t="s">
        <v>1242</v>
      </c>
      <c r="D804" s="46" t="s">
        <v>1458</v>
      </c>
      <c r="E804" s="46" t="s">
        <v>1230</v>
      </c>
      <c r="F804" s="46">
        <v>600</v>
      </c>
      <c r="G804" s="46" t="s">
        <v>175</v>
      </c>
      <c r="H804" s="46"/>
      <c r="I804" s="51">
        <v>0</v>
      </c>
      <c r="J804" s="51">
        <v>0</v>
      </c>
      <c r="K804" s="51">
        <f t="shared" si="160"/>
        <v>0</v>
      </c>
      <c r="L804" s="51">
        <v>0</v>
      </c>
      <c r="M804" s="51">
        <v>0</v>
      </c>
      <c r="N804" s="51">
        <f t="shared" si="161"/>
        <v>0</v>
      </c>
      <c r="O804" s="51">
        <v>0</v>
      </c>
      <c r="P804" s="179" t="s">
        <v>1489</v>
      </c>
      <c r="Q804" s="179" t="s">
        <v>1489</v>
      </c>
      <c r="R804" s="179" t="s">
        <v>1489</v>
      </c>
      <c r="S804" s="47" t="s">
        <v>1489</v>
      </c>
      <c r="T804" s="54"/>
      <c r="U804" s="54"/>
      <c r="AA804">
        <f t="shared" si="152"/>
        <v>600</v>
      </c>
      <c r="AD804" t="str">
        <f t="shared" si="153"/>
        <v>451</v>
      </c>
      <c r="AE804">
        <f t="shared" si="154"/>
        <v>0</v>
      </c>
      <c r="AG804" s="50" t="str">
        <f t="shared" si="155"/>
        <v>POLICE  REMB DU CANTON ANNEE PRECEDENTE</v>
      </c>
      <c r="AH804" s="244" t="str">
        <f t="shared" si="156"/>
        <v>-</v>
      </c>
      <c r="AI804" s="219"/>
      <c r="AJ804" s="219"/>
      <c r="AK804" s="219" t="str">
        <f t="shared" si="157"/>
        <v>-</v>
      </c>
      <c r="AL804" s="244" t="str">
        <f t="shared" si="158"/>
        <v>-</v>
      </c>
      <c r="AN804" s="219" t="str">
        <f t="shared" si="159"/>
        <v>-</v>
      </c>
    </row>
    <row r="805" spans="1:40" ht="15" customHeight="1" x14ac:dyDescent="0.3">
      <c r="A805" s="48">
        <v>0</v>
      </c>
      <c r="B805" s="49" t="s">
        <v>1244</v>
      </c>
      <c r="C805" s="50" t="s">
        <v>1245</v>
      </c>
      <c r="D805" s="46" t="s">
        <v>1458</v>
      </c>
      <c r="E805" s="46" t="s">
        <v>1243</v>
      </c>
      <c r="F805" s="46">
        <v>620</v>
      </c>
      <c r="G805" s="46" t="s">
        <v>3</v>
      </c>
      <c r="H805" s="46"/>
      <c r="I805" s="51">
        <v>51802.400000000001</v>
      </c>
      <c r="J805" s="51">
        <v>0</v>
      </c>
      <c r="K805" s="51">
        <f t="shared" si="160"/>
        <v>51802.400000000001</v>
      </c>
      <c r="L805" s="51">
        <v>47000</v>
      </c>
      <c r="M805" s="51">
        <v>0</v>
      </c>
      <c r="N805" s="51">
        <f t="shared" si="161"/>
        <v>47000</v>
      </c>
      <c r="O805" s="51">
        <v>28172.9</v>
      </c>
      <c r="P805" s="179" t="s">
        <v>1539</v>
      </c>
      <c r="Q805" s="179" t="s">
        <v>1696</v>
      </c>
      <c r="R805" s="179" t="s">
        <v>2131</v>
      </c>
      <c r="S805" s="186" t="s">
        <v>1981</v>
      </c>
      <c r="T805" s="54">
        <f>+I805</f>
        <v>51802.400000000001</v>
      </c>
      <c r="U805" s="54"/>
      <c r="W805" t="s">
        <v>2018</v>
      </c>
      <c r="AA805">
        <f t="shared" si="152"/>
        <v>620</v>
      </c>
      <c r="AD805" t="str">
        <f t="shared" si="153"/>
        <v>301</v>
      </c>
      <c r="AE805">
        <f t="shared" si="154"/>
        <v>0</v>
      </c>
      <c r="AG805" s="50" t="str">
        <f t="shared" si="155"/>
        <v>CONTRÔLE HABITANTS SALAIRES</v>
      </c>
      <c r="AH805" s="244" t="str">
        <f t="shared" si="156"/>
        <v>02210</v>
      </c>
      <c r="AI805" s="219"/>
      <c r="AJ805" s="219"/>
      <c r="AK805" s="219" t="str">
        <f t="shared" si="157"/>
        <v>3910</v>
      </c>
      <c r="AL805" s="244" t="str">
        <f t="shared" si="158"/>
        <v>00</v>
      </c>
      <c r="AN805" s="219" t="str">
        <f t="shared" si="159"/>
        <v>Imputations internes  - Contrôle des habitants</v>
      </c>
    </row>
    <row r="806" spans="1:40" ht="15" customHeight="1" x14ac:dyDescent="0.3">
      <c r="A806" s="48">
        <v>0</v>
      </c>
      <c r="B806" s="49" t="s">
        <v>1246</v>
      </c>
      <c r="C806" s="50" t="s">
        <v>1247</v>
      </c>
      <c r="D806" s="46" t="s">
        <v>1458</v>
      </c>
      <c r="E806" s="46" t="s">
        <v>1243</v>
      </c>
      <c r="F806" s="46">
        <v>620</v>
      </c>
      <c r="G806" s="46" t="s">
        <v>16</v>
      </c>
      <c r="H806" s="46"/>
      <c r="I806" s="51">
        <v>4885.5</v>
      </c>
      <c r="J806" s="51">
        <v>0</v>
      </c>
      <c r="K806" s="51">
        <f t="shared" si="160"/>
        <v>4885.5</v>
      </c>
      <c r="L806" s="51">
        <v>4500</v>
      </c>
      <c r="M806" s="51">
        <v>0</v>
      </c>
      <c r="N806" s="51">
        <f t="shared" si="161"/>
        <v>4500</v>
      </c>
      <c r="O806" s="51">
        <v>2664.2</v>
      </c>
      <c r="P806" s="179" t="s">
        <v>1539</v>
      </c>
      <c r="Q806" s="179" t="s">
        <v>1696</v>
      </c>
      <c r="R806" s="179" t="s">
        <v>2131</v>
      </c>
      <c r="S806" s="186" t="s">
        <v>1981</v>
      </c>
      <c r="T806" s="54">
        <f>+I806</f>
        <v>4885.5</v>
      </c>
      <c r="U806" s="54"/>
      <c r="AA806">
        <f t="shared" si="152"/>
        <v>620</v>
      </c>
      <c r="AD806" t="str">
        <f t="shared" si="153"/>
        <v>303</v>
      </c>
      <c r="AE806">
        <f t="shared" si="154"/>
        <v>0</v>
      </c>
      <c r="AG806" s="50" t="str">
        <f t="shared" si="155"/>
        <v>CONTRÔLE HABITANTS COTISATIONS AVS AC AF</v>
      </c>
      <c r="AH806" s="244" t="str">
        <f t="shared" si="156"/>
        <v>02210</v>
      </c>
      <c r="AI806" s="219"/>
      <c r="AJ806" s="219"/>
      <c r="AK806" s="219" t="str">
        <f t="shared" si="157"/>
        <v>3910</v>
      </c>
      <c r="AL806" s="244" t="str">
        <f t="shared" si="158"/>
        <v>00</v>
      </c>
      <c r="AN806" s="219" t="str">
        <f t="shared" si="159"/>
        <v>Imputations internes  - Contrôle des habitants</v>
      </c>
    </row>
    <row r="807" spans="1:40" ht="15" customHeight="1" x14ac:dyDescent="0.3">
      <c r="A807" s="48">
        <v>0</v>
      </c>
      <c r="B807" s="49" t="s">
        <v>1248</v>
      </c>
      <c r="C807" s="50" t="s">
        <v>1249</v>
      </c>
      <c r="D807" s="46" t="s">
        <v>1458</v>
      </c>
      <c r="E807" s="46" t="s">
        <v>1243</v>
      </c>
      <c r="F807" s="46">
        <v>620</v>
      </c>
      <c r="G807" s="46" t="s">
        <v>38</v>
      </c>
      <c r="H807" s="46"/>
      <c r="I807" s="51">
        <v>5304.8</v>
      </c>
      <c r="J807" s="51">
        <v>0</v>
      </c>
      <c r="K807" s="51">
        <f t="shared" si="160"/>
        <v>5304.8</v>
      </c>
      <c r="L807" s="51">
        <v>6000</v>
      </c>
      <c r="M807" s="51">
        <v>0</v>
      </c>
      <c r="N807" s="51">
        <f t="shared" si="161"/>
        <v>6000</v>
      </c>
      <c r="O807" s="51">
        <v>4111.95</v>
      </c>
      <c r="P807" s="179" t="s">
        <v>1539</v>
      </c>
      <c r="Q807" s="179" t="s">
        <v>1696</v>
      </c>
      <c r="R807" s="179" t="s">
        <v>2131</v>
      </c>
      <c r="S807" s="186" t="s">
        <v>1981</v>
      </c>
      <c r="T807" s="54">
        <f>+I807</f>
        <v>5304.8</v>
      </c>
      <c r="U807" s="54"/>
      <c r="AA807">
        <f t="shared" si="152"/>
        <v>620</v>
      </c>
      <c r="AD807" t="str">
        <f t="shared" si="153"/>
        <v>304</v>
      </c>
      <c r="AE807">
        <f t="shared" si="154"/>
        <v>0</v>
      </c>
      <c r="AG807" s="50" t="str">
        <f t="shared" si="155"/>
        <v>CONTROLE HABITANTS CAISSE PREVOYANCE LPP</v>
      </c>
      <c r="AH807" s="244" t="str">
        <f t="shared" si="156"/>
        <v>02210</v>
      </c>
      <c r="AI807" s="219"/>
      <c r="AJ807" s="219"/>
      <c r="AK807" s="219" t="str">
        <f t="shared" si="157"/>
        <v>3910</v>
      </c>
      <c r="AL807" s="244" t="str">
        <f t="shared" si="158"/>
        <v>00</v>
      </c>
      <c r="AN807" s="219" t="str">
        <f t="shared" si="159"/>
        <v>Imputations internes  - Contrôle des habitants</v>
      </c>
    </row>
    <row r="808" spans="1:40" ht="15" customHeight="1" x14ac:dyDescent="0.3">
      <c r="A808" s="48">
        <v>0</v>
      </c>
      <c r="B808" s="49" t="s">
        <v>1250</v>
      </c>
      <c r="C808" s="50" t="s">
        <v>1251</v>
      </c>
      <c r="D808" s="46" t="s">
        <v>1458</v>
      </c>
      <c r="E808" s="46" t="s">
        <v>1243</v>
      </c>
      <c r="F808" s="46">
        <v>620</v>
      </c>
      <c r="G808" s="46" t="s">
        <v>19</v>
      </c>
      <c r="H808" s="46"/>
      <c r="I808" s="51">
        <v>1206.3</v>
      </c>
      <c r="J808" s="51">
        <v>0</v>
      </c>
      <c r="K808" s="51">
        <f t="shared" si="160"/>
        <v>1206.3</v>
      </c>
      <c r="L808" s="51">
        <v>1100</v>
      </c>
      <c r="M808" s="51">
        <v>0</v>
      </c>
      <c r="N808" s="51">
        <f t="shared" si="161"/>
        <v>1100</v>
      </c>
      <c r="O808" s="51">
        <v>675.85</v>
      </c>
      <c r="P808" s="179" t="s">
        <v>1539</v>
      </c>
      <c r="Q808" s="179" t="s">
        <v>1696</v>
      </c>
      <c r="R808" s="179" t="s">
        <v>2131</v>
      </c>
      <c r="S808" s="186" t="s">
        <v>1981</v>
      </c>
      <c r="T808" s="54">
        <f>+I808</f>
        <v>1206.3</v>
      </c>
      <c r="U808" s="54"/>
      <c r="AA808">
        <f t="shared" si="152"/>
        <v>620</v>
      </c>
      <c r="AD808" t="str">
        <f t="shared" si="153"/>
        <v>305</v>
      </c>
      <c r="AE808">
        <f t="shared" si="154"/>
        <v>0</v>
      </c>
      <c r="AG808" s="50" t="str">
        <f t="shared" si="155"/>
        <v>CONTRÔLE HABITANTS ASS ACCIDENTS et MALADIE</v>
      </c>
      <c r="AH808" s="244" t="str">
        <f t="shared" si="156"/>
        <v>02210</v>
      </c>
      <c r="AI808" s="219"/>
      <c r="AJ808" s="219"/>
      <c r="AK808" s="219" t="str">
        <f t="shared" si="157"/>
        <v>3910</v>
      </c>
      <c r="AL808" s="244" t="str">
        <f t="shared" si="158"/>
        <v>00</v>
      </c>
      <c r="AN808" s="219" t="str">
        <f t="shared" si="159"/>
        <v>Imputations internes  - Contrôle des habitants</v>
      </c>
    </row>
    <row r="809" spans="1:40" ht="15" customHeight="1" x14ac:dyDescent="0.3">
      <c r="A809" s="48">
        <v>0</v>
      </c>
      <c r="B809" s="77" t="s">
        <v>1252</v>
      </c>
      <c r="C809" s="78" t="s">
        <v>1253</v>
      </c>
      <c r="D809" s="182" t="s">
        <v>1458</v>
      </c>
      <c r="E809" s="46" t="s">
        <v>1243</v>
      </c>
      <c r="F809" s="46">
        <v>620</v>
      </c>
      <c r="G809" s="46" t="s">
        <v>22</v>
      </c>
      <c r="H809" s="46"/>
      <c r="I809" s="51">
        <v>32.25</v>
      </c>
      <c r="J809" s="51">
        <v>0</v>
      </c>
      <c r="K809" s="51">
        <f t="shared" si="160"/>
        <v>32.25</v>
      </c>
      <c r="L809" s="51">
        <v>0</v>
      </c>
      <c r="M809" s="51">
        <v>0</v>
      </c>
      <c r="N809" s="51">
        <f t="shared" si="161"/>
        <v>0</v>
      </c>
      <c r="O809" s="51">
        <v>66</v>
      </c>
      <c r="P809" s="179" t="s">
        <v>1539</v>
      </c>
      <c r="Q809" s="179" t="s">
        <v>1696</v>
      </c>
      <c r="R809" s="179" t="s">
        <v>2131</v>
      </c>
      <c r="S809" s="186" t="s">
        <v>1981</v>
      </c>
      <c r="T809" s="54">
        <f>+I809</f>
        <v>32.25</v>
      </c>
      <c r="U809" s="54"/>
      <c r="AA809">
        <f t="shared" si="152"/>
        <v>620</v>
      </c>
      <c r="AD809" t="str">
        <f t="shared" si="153"/>
        <v>306</v>
      </c>
      <c r="AE809">
        <f t="shared" si="154"/>
        <v>0</v>
      </c>
      <c r="AG809" s="50" t="str">
        <f t="shared" si="155"/>
        <v>CDH _ Frais du personnel</v>
      </c>
      <c r="AH809" s="244" t="str">
        <f t="shared" si="156"/>
        <v>02210</v>
      </c>
      <c r="AI809" s="219"/>
      <c r="AJ809" s="219"/>
      <c r="AK809" s="219" t="str">
        <f t="shared" si="157"/>
        <v>3910</v>
      </c>
      <c r="AL809" s="244" t="str">
        <f t="shared" si="158"/>
        <v>00</v>
      </c>
      <c r="AN809" s="219" t="str">
        <f t="shared" si="159"/>
        <v>Imputations internes  - Contrôle des habitants</v>
      </c>
    </row>
    <row r="810" spans="1:40" ht="15" customHeight="1" x14ac:dyDescent="0.3">
      <c r="A810" s="48"/>
      <c r="B810" s="77" t="s">
        <v>1252</v>
      </c>
      <c r="C810" s="78" t="s">
        <v>1253</v>
      </c>
      <c r="D810" s="182" t="s">
        <v>1458</v>
      </c>
      <c r="E810" s="46"/>
      <c r="F810" s="46">
        <v>620</v>
      </c>
      <c r="G810" s="46">
        <v>306</v>
      </c>
      <c r="H810" s="46"/>
      <c r="I810" s="51">
        <v>0</v>
      </c>
      <c r="J810" s="51">
        <v>0</v>
      </c>
      <c r="K810" s="51">
        <f t="shared" si="160"/>
        <v>0</v>
      </c>
      <c r="L810" s="51">
        <v>0</v>
      </c>
      <c r="M810" s="51">
        <v>0</v>
      </c>
      <c r="N810" s="51">
        <f t="shared" si="161"/>
        <v>0</v>
      </c>
      <c r="O810" s="51"/>
      <c r="P810" s="179" t="s">
        <v>1539</v>
      </c>
      <c r="Q810" s="179" t="s">
        <v>1368</v>
      </c>
      <c r="R810" s="179" t="s">
        <v>2131</v>
      </c>
      <c r="S810" s="47" t="s">
        <v>1392</v>
      </c>
      <c r="T810" s="54"/>
      <c r="U810" s="54"/>
      <c r="AA810">
        <f t="shared" si="152"/>
        <v>620</v>
      </c>
      <c r="AD810">
        <f t="shared" si="153"/>
        <v>306</v>
      </c>
      <c r="AE810">
        <f t="shared" si="154"/>
        <v>0</v>
      </c>
      <c r="AG810" s="50" t="str">
        <f t="shared" si="155"/>
        <v>CDH _ Frais du personnel</v>
      </c>
      <c r="AH810" s="244" t="str">
        <f t="shared" si="156"/>
        <v>02210</v>
      </c>
      <c r="AI810" s="219"/>
      <c r="AJ810" s="219"/>
      <c r="AK810" s="219" t="str">
        <f t="shared" si="157"/>
        <v>3090</v>
      </c>
      <c r="AL810" s="244" t="str">
        <f t="shared" si="158"/>
        <v>00</v>
      </c>
      <c r="AN810" s="219" t="str">
        <f t="shared" si="159"/>
        <v>Formation et perfectionnement</v>
      </c>
    </row>
    <row r="811" spans="1:40" ht="15" customHeight="1" x14ac:dyDescent="0.3">
      <c r="A811" s="48"/>
      <c r="B811" s="77" t="s">
        <v>1252</v>
      </c>
      <c r="C811" s="78" t="s">
        <v>1253</v>
      </c>
      <c r="D811" s="182" t="s">
        <v>1458</v>
      </c>
      <c r="E811" s="46"/>
      <c r="F811" s="46">
        <v>620</v>
      </c>
      <c r="G811" s="46">
        <v>306</v>
      </c>
      <c r="H811" s="46"/>
      <c r="I811" s="51">
        <v>0</v>
      </c>
      <c r="J811" s="51">
        <v>0</v>
      </c>
      <c r="K811" s="51">
        <f t="shared" si="160"/>
        <v>0</v>
      </c>
      <c r="L811" s="51">
        <v>0</v>
      </c>
      <c r="M811" s="51">
        <v>0</v>
      </c>
      <c r="N811" s="51">
        <f t="shared" si="161"/>
        <v>0</v>
      </c>
      <c r="O811" s="51"/>
      <c r="P811" s="179" t="s">
        <v>1539</v>
      </c>
      <c r="Q811" s="179" t="s">
        <v>1540</v>
      </c>
      <c r="R811" s="179" t="s">
        <v>2131</v>
      </c>
      <c r="S811" s="47" t="s">
        <v>1543</v>
      </c>
      <c r="T811" s="54"/>
      <c r="U811" s="54"/>
      <c r="AA811">
        <f t="shared" si="152"/>
        <v>620</v>
      </c>
      <c r="AD811">
        <f t="shared" si="153"/>
        <v>306</v>
      </c>
      <c r="AE811">
        <f t="shared" si="154"/>
        <v>0</v>
      </c>
      <c r="AG811" s="50" t="str">
        <f t="shared" si="155"/>
        <v>CDH _ Frais du personnel</v>
      </c>
      <c r="AH811" s="244" t="str">
        <f t="shared" si="156"/>
        <v>02210</v>
      </c>
      <c r="AI811" s="219"/>
      <c r="AJ811" s="219"/>
      <c r="AK811" s="219" t="str">
        <f t="shared" si="157"/>
        <v>3091</v>
      </c>
      <c r="AL811" s="244" t="str">
        <f t="shared" si="158"/>
        <v>00</v>
      </c>
      <c r="AN811" s="219" t="str">
        <f t="shared" si="159"/>
        <v>Recrutement</v>
      </c>
    </row>
    <row r="812" spans="1:40" ht="15" customHeight="1" x14ac:dyDescent="0.3">
      <c r="A812" s="48"/>
      <c r="B812" s="77" t="s">
        <v>1252</v>
      </c>
      <c r="C812" s="78" t="s">
        <v>1253</v>
      </c>
      <c r="D812" s="182" t="s">
        <v>1458</v>
      </c>
      <c r="E812" s="46"/>
      <c r="F812" s="46">
        <v>620</v>
      </c>
      <c r="G812" s="46">
        <v>306</v>
      </c>
      <c r="H812" s="46"/>
      <c r="I812" s="51">
        <v>0</v>
      </c>
      <c r="J812" s="51">
        <v>0</v>
      </c>
      <c r="K812" s="51">
        <f t="shared" si="160"/>
        <v>0</v>
      </c>
      <c r="L812" s="51">
        <v>0</v>
      </c>
      <c r="M812" s="51">
        <v>0</v>
      </c>
      <c r="N812" s="51">
        <f t="shared" si="161"/>
        <v>0</v>
      </c>
      <c r="O812" s="51"/>
      <c r="P812" s="179" t="s">
        <v>1539</v>
      </c>
      <c r="Q812" s="179" t="s">
        <v>1380</v>
      </c>
      <c r="R812" s="179" t="s">
        <v>2131</v>
      </c>
      <c r="S812" s="47" t="s">
        <v>1381</v>
      </c>
      <c r="T812" s="54"/>
      <c r="U812" s="54"/>
      <c r="W812" t="s">
        <v>1541</v>
      </c>
      <c r="AA812">
        <f t="shared" si="152"/>
        <v>620</v>
      </c>
      <c r="AD812">
        <f t="shared" si="153"/>
        <v>306</v>
      </c>
      <c r="AE812">
        <f t="shared" si="154"/>
        <v>0</v>
      </c>
      <c r="AG812" s="50" t="str">
        <f t="shared" si="155"/>
        <v>CDH _ Frais du personnel</v>
      </c>
      <c r="AH812" s="244" t="str">
        <f t="shared" si="156"/>
        <v>02210</v>
      </c>
      <c r="AI812" s="219"/>
      <c r="AJ812" s="219"/>
      <c r="AK812" s="219" t="str">
        <f t="shared" si="157"/>
        <v>3099</v>
      </c>
      <c r="AL812" s="244" t="str">
        <f t="shared" si="158"/>
        <v>00</v>
      </c>
      <c r="AN812" s="219" t="str">
        <f t="shared" si="159"/>
        <v>Autres charges du personnel</v>
      </c>
    </row>
    <row r="813" spans="1:40" ht="15" customHeight="1" x14ac:dyDescent="0.3">
      <c r="A813" s="48"/>
      <c r="B813" s="74" t="s">
        <v>91</v>
      </c>
      <c r="C813" s="67" t="s">
        <v>92</v>
      </c>
      <c r="D813" s="188" t="s">
        <v>1458</v>
      </c>
      <c r="E813" s="188" t="s">
        <v>68</v>
      </c>
      <c r="F813" s="188">
        <v>110</v>
      </c>
      <c r="G813" s="188" t="s">
        <v>93</v>
      </c>
      <c r="H813" s="188"/>
      <c r="I813" s="51"/>
      <c r="J813" s="51"/>
      <c r="K813" s="51"/>
      <c r="L813" s="51"/>
      <c r="M813" s="51"/>
      <c r="N813" s="51"/>
      <c r="O813" s="51"/>
      <c r="P813" s="179" t="s">
        <v>1539</v>
      </c>
      <c r="Q813" s="179" t="s">
        <v>1390</v>
      </c>
      <c r="R813" s="179" t="s">
        <v>2135</v>
      </c>
      <c r="S813" s="47" t="s">
        <v>1402</v>
      </c>
      <c r="T813" s="54"/>
      <c r="U813" s="54"/>
      <c r="W813" t="s">
        <v>1991</v>
      </c>
      <c r="AA813">
        <f t="shared" si="152"/>
        <v>110</v>
      </c>
      <c r="AD813" t="str">
        <f t="shared" si="153"/>
        <v>319</v>
      </c>
      <c r="AE813">
        <f t="shared" si="154"/>
        <v>0</v>
      </c>
      <c r="AG813" s="50" t="str">
        <f t="shared" si="155"/>
        <v>Cotisations à inst. Privées</v>
      </c>
      <c r="AH813" s="244" t="str">
        <f t="shared" si="156"/>
        <v>02210</v>
      </c>
      <c r="AI813" s="219"/>
      <c r="AJ813" s="219"/>
      <c r="AK813" s="219" t="str">
        <f t="shared" si="157"/>
        <v>3130</v>
      </c>
      <c r="AL813" s="244" t="str">
        <f t="shared" si="158"/>
        <v>04</v>
      </c>
      <c r="AN813" s="219" t="str">
        <f t="shared" si="159"/>
        <v>Prestations de services tiers - cotisations</v>
      </c>
    </row>
    <row r="814" spans="1:40" ht="15" customHeight="1" x14ac:dyDescent="0.3">
      <c r="A814" s="48">
        <v>0</v>
      </c>
      <c r="B814" s="74" t="s">
        <v>1254</v>
      </c>
      <c r="C814" s="67" t="s">
        <v>1255</v>
      </c>
      <c r="D814" s="188" t="s">
        <v>1458</v>
      </c>
      <c r="E814" s="188" t="s">
        <v>1243</v>
      </c>
      <c r="F814" s="188">
        <v>620</v>
      </c>
      <c r="G814" s="188" t="s">
        <v>48</v>
      </c>
      <c r="H814" s="188"/>
      <c r="I814" s="51">
        <v>11538.35</v>
      </c>
      <c r="J814" s="51">
        <v>0</v>
      </c>
      <c r="K814" s="51">
        <f t="shared" ref="K814:K843" si="162">+I814+J814</f>
        <v>11538.35</v>
      </c>
      <c r="L814" s="51">
        <v>16000</v>
      </c>
      <c r="M814" s="51">
        <v>0</v>
      </c>
      <c r="N814" s="51">
        <f t="shared" ref="N814:N845" si="163">+L814+M814</f>
        <v>16000</v>
      </c>
      <c r="O814" s="51">
        <v>6557.65</v>
      </c>
      <c r="P814" s="179" t="s">
        <v>1539</v>
      </c>
      <c r="Q814" s="179" t="s">
        <v>1546</v>
      </c>
      <c r="R814" s="179" t="s">
        <v>2131</v>
      </c>
      <c r="S814" s="47" t="s">
        <v>2070</v>
      </c>
      <c r="T814" s="54">
        <f>+I814</f>
        <v>11538.35</v>
      </c>
      <c r="U814" s="54"/>
      <c r="V814" s="7" t="s">
        <v>1448</v>
      </c>
      <c r="W814" t="s">
        <v>1545</v>
      </c>
      <c r="AA814">
        <f t="shared" si="152"/>
        <v>620</v>
      </c>
      <c r="AD814" t="str">
        <f t="shared" si="153"/>
        <v>318</v>
      </c>
      <c r="AE814">
        <f t="shared" si="154"/>
        <v>0</v>
      </c>
      <c r="AG814" s="50" t="str">
        <f t="shared" si="155"/>
        <v>CONTRÔLE HABITANTS  PREST SERVICES</v>
      </c>
      <c r="AH814" s="244" t="str">
        <f t="shared" si="156"/>
        <v>02210</v>
      </c>
      <c r="AI814" s="219"/>
      <c r="AJ814" s="219"/>
      <c r="AK814" s="219" t="str">
        <f t="shared" si="157"/>
        <v>3601</v>
      </c>
      <c r="AL814" s="244" t="str">
        <f t="shared" si="158"/>
        <v>00</v>
      </c>
      <c r="AN814" s="219" t="str">
        <f t="shared" si="159"/>
        <v>Parts des revenus destinés au canton - SPOP</v>
      </c>
    </row>
    <row r="815" spans="1:40" ht="15" customHeight="1" x14ac:dyDescent="0.3">
      <c r="A815" s="48"/>
      <c r="B815" s="74" t="s">
        <v>1254</v>
      </c>
      <c r="C815" s="67" t="s">
        <v>1255</v>
      </c>
      <c r="D815" s="188" t="s">
        <v>1458</v>
      </c>
      <c r="E815" s="188" t="s">
        <v>1243</v>
      </c>
      <c r="F815" s="188">
        <v>620</v>
      </c>
      <c r="G815" s="188" t="s">
        <v>48</v>
      </c>
      <c r="H815" s="188"/>
      <c r="I815" s="51">
        <v>0</v>
      </c>
      <c r="J815" s="51">
        <v>0</v>
      </c>
      <c r="K815" s="51">
        <f t="shared" si="162"/>
        <v>0</v>
      </c>
      <c r="L815" s="51">
        <v>0</v>
      </c>
      <c r="M815" s="51">
        <v>0</v>
      </c>
      <c r="N815" s="51">
        <f t="shared" si="163"/>
        <v>0</v>
      </c>
      <c r="O815" s="51"/>
      <c r="P815" s="179" t="s">
        <v>1408</v>
      </c>
      <c r="Q815" s="179" t="s">
        <v>1397</v>
      </c>
      <c r="R815" s="179" t="s">
        <v>2131</v>
      </c>
      <c r="S815" s="47" t="s">
        <v>1695</v>
      </c>
      <c r="T815" s="54"/>
      <c r="U815" s="54"/>
      <c r="W815" t="s">
        <v>1544</v>
      </c>
      <c r="AA815">
        <f t="shared" si="152"/>
        <v>620</v>
      </c>
      <c r="AD815" t="str">
        <f t="shared" si="153"/>
        <v>318</v>
      </c>
      <c r="AE815">
        <f t="shared" si="154"/>
        <v>0</v>
      </c>
      <c r="AG815" s="50" t="str">
        <f t="shared" si="155"/>
        <v>CONTRÔLE HABITANTS  PREST SERVICES</v>
      </c>
      <c r="AH815" s="244" t="str">
        <f t="shared" si="156"/>
        <v>02200</v>
      </c>
      <c r="AI815" s="219"/>
      <c r="AJ815" s="219"/>
      <c r="AK815" s="219" t="str">
        <f t="shared" si="157"/>
        <v>3132</v>
      </c>
      <c r="AL815" s="244" t="str">
        <f t="shared" si="158"/>
        <v>00</v>
      </c>
      <c r="AN815" s="219" t="str">
        <f t="shared" si="159"/>
        <v>Honoraires conseils externes, spécialistes - naturalisations</v>
      </c>
    </row>
    <row r="816" spans="1:40" ht="15" customHeight="1" x14ac:dyDescent="0.3">
      <c r="A816" s="48">
        <v>0</v>
      </c>
      <c r="B816" s="49" t="s">
        <v>1256</v>
      </c>
      <c r="C816" s="50" t="s">
        <v>1257</v>
      </c>
      <c r="D816" s="46" t="s">
        <v>1458</v>
      </c>
      <c r="E816" s="46" t="s">
        <v>1243</v>
      </c>
      <c r="F816" s="188">
        <v>620</v>
      </c>
      <c r="G816" s="46" t="s">
        <v>28</v>
      </c>
      <c r="H816" s="46">
        <v>1</v>
      </c>
      <c r="I816" s="51">
        <v>0</v>
      </c>
      <c r="J816" s="51">
        <v>0</v>
      </c>
      <c r="K816" s="51">
        <f t="shared" si="162"/>
        <v>0</v>
      </c>
      <c r="L816" s="51">
        <v>0</v>
      </c>
      <c r="M816" s="51">
        <v>0</v>
      </c>
      <c r="N816" s="51">
        <f t="shared" si="163"/>
        <v>0</v>
      </c>
      <c r="O816" s="51">
        <v>0</v>
      </c>
      <c r="P816" s="179" t="s">
        <v>1489</v>
      </c>
      <c r="Q816" s="179" t="s">
        <v>1489</v>
      </c>
      <c r="R816" s="179" t="s">
        <v>1489</v>
      </c>
      <c r="S816" s="47" t="s">
        <v>1489</v>
      </c>
      <c r="T816" s="54"/>
      <c r="U816" s="54"/>
      <c r="AA816">
        <f t="shared" si="152"/>
        <v>620</v>
      </c>
      <c r="AD816" t="str">
        <f t="shared" si="153"/>
        <v>390</v>
      </c>
      <c r="AE816">
        <f t="shared" si="154"/>
        <v>1</v>
      </c>
      <c r="AG816" s="50" t="str">
        <f t="shared" si="155"/>
        <v>CONTRÔLE HABITANTS  IMPUTATIONS INT SALAIRES</v>
      </c>
      <c r="AH816" s="244" t="str">
        <f t="shared" si="156"/>
        <v>-</v>
      </c>
      <c r="AI816" s="219"/>
      <c r="AJ816" s="219"/>
      <c r="AK816" s="219" t="str">
        <f t="shared" si="157"/>
        <v>-</v>
      </c>
      <c r="AL816" s="244" t="str">
        <f t="shared" si="158"/>
        <v>-</v>
      </c>
      <c r="AN816" s="219" t="str">
        <f t="shared" si="159"/>
        <v>-</v>
      </c>
    </row>
    <row r="817" spans="1:40" ht="15" customHeight="1" x14ac:dyDescent="0.3">
      <c r="A817" s="48">
        <v>0</v>
      </c>
      <c r="B817" s="74" t="s">
        <v>1258</v>
      </c>
      <c r="C817" s="67" t="s">
        <v>1259</v>
      </c>
      <c r="D817" s="188" t="s">
        <v>1458</v>
      </c>
      <c r="E817" s="188" t="s">
        <v>1243</v>
      </c>
      <c r="F817" s="188">
        <v>620</v>
      </c>
      <c r="G817" s="188" t="s">
        <v>108</v>
      </c>
      <c r="H817" s="188"/>
      <c r="I817" s="51">
        <v>0</v>
      </c>
      <c r="J817" s="51">
        <v>-21648</v>
      </c>
      <c r="K817" s="51">
        <f t="shared" si="162"/>
        <v>-21648</v>
      </c>
      <c r="L817" s="51">
        <v>0</v>
      </c>
      <c r="M817" s="51">
        <v>-29000</v>
      </c>
      <c r="N817" s="51">
        <f t="shared" si="163"/>
        <v>-29000</v>
      </c>
      <c r="O817" s="51">
        <v>-12451</v>
      </c>
      <c r="P817" s="179" t="s">
        <v>1539</v>
      </c>
      <c r="Q817" s="179" t="s">
        <v>1423</v>
      </c>
      <c r="R817" s="179" t="s">
        <v>2131</v>
      </c>
      <c r="S817" s="47" t="s">
        <v>2092</v>
      </c>
      <c r="T817" s="54">
        <f>+J817</f>
        <v>-21648</v>
      </c>
      <c r="U817" s="54"/>
      <c r="V817" s="7" t="s">
        <v>1448</v>
      </c>
      <c r="W817" t="s">
        <v>1545</v>
      </c>
      <c r="AA817">
        <f t="shared" si="152"/>
        <v>620</v>
      </c>
      <c r="AD817" t="str">
        <f t="shared" si="153"/>
        <v>431</v>
      </c>
      <c r="AE817">
        <f t="shared" si="154"/>
        <v>0</v>
      </c>
      <c r="AG817" s="50" t="str">
        <f t="shared" si="155"/>
        <v>CONTRÔLE HABITANTS  ACTES MOEURS+ATT DOMICILE+PERMIS HABIT.+ NATURALISATION</v>
      </c>
      <c r="AH817" s="244" t="str">
        <f t="shared" si="156"/>
        <v>02210</v>
      </c>
      <c r="AI817" s="219"/>
      <c r="AJ817" s="219"/>
      <c r="AK817" s="219" t="str">
        <f t="shared" si="157"/>
        <v>4210</v>
      </c>
      <c r="AL817" s="244" t="str">
        <f t="shared" si="158"/>
        <v>00</v>
      </c>
      <c r="AN817" s="219" t="str">
        <f t="shared" si="159"/>
        <v>Emoluments pour actes administratifs - permis SPOP</v>
      </c>
    </row>
    <row r="818" spans="1:40" ht="15" customHeight="1" x14ac:dyDescent="0.3">
      <c r="A818" s="48"/>
      <c r="B818" s="74" t="s">
        <v>1258</v>
      </c>
      <c r="C818" s="67" t="s">
        <v>1259</v>
      </c>
      <c r="D818" s="188" t="s">
        <v>1458</v>
      </c>
      <c r="E818" s="188" t="s">
        <v>1243</v>
      </c>
      <c r="F818" s="188">
        <v>620</v>
      </c>
      <c r="G818" s="188" t="s">
        <v>108</v>
      </c>
      <c r="H818" s="188"/>
      <c r="I818" s="51"/>
      <c r="J818" s="51"/>
      <c r="K818" s="51">
        <f t="shared" si="162"/>
        <v>0</v>
      </c>
      <c r="L818" s="51"/>
      <c r="M818" s="51"/>
      <c r="N818" s="51">
        <f t="shared" si="163"/>
        <v>0</v>
      </c>
      <c r="O818" s="51"/>
      <c r="P818" s="179" t="s">
        <v>1408</v>
      </c>
      <c r="Q818" s="179" t="s">
        <v>1423</v>
      </c>
      <c r="R818" s="179" t="s">
        <v>2131</v>
      </c>
      <c r="S818" s="47" t="s">
        <v>1694</v>
      </c>
      <c r="T818" s="54"/>
      <c r="U818" s="54"/>
      <c r="AA818">
        <f t="shared" si="152"/>
        <v>620</v>
      </c>
      <c r="AD818" t="str">
        <f t="shared" si="153"/>
        <v>431</v>
      </c>
      <c r="AE818">
        <f t="shared" si="154"/>
        <v>0</v>
      </c>
      <c r="AG818" s="50" t="str">
        <f t="shared" si="155"/>
        <v>CONTRÔLE HABITANTS  ACTES MOEURS+ATT DOMICILE+PERMIS HABIT.+ NATURALISATION</v>
      </c>
      <c r="AH818" s="244" t="str">
        <f t="shared" si="156"/>
        <v>02200</v>
      </c>
      <c r="AI818" s="219"/>
      <c r="AJ818" s="219"/>
      <c r="AK818" s="219" t="str">
        <f t="shared" si="157"/>
        <v>4210</v>
      </c>
      <c r="AL818" s="244" t="str">
        <f t="shared" si="158"/>
        <v>00</v>
      </c>
      <c r="AN818" s="219" t="str">
        <f t="shared" si="159"/>
        <v>Emoluments pour actes administratifs - naturalisations</v>
      </c>
    </row>
    <row r="819" spans="1:40" ht="15" customHeight="1" x14ac:dyDescent="0.3">
      <c r="A819" s="48">
        <v>0</v>
      </c>
      <c r="B819" s="49" t="s">
        <v>1260</v>
      </c>
      <c r="C819" s="50" t="s">
        <v>1261</v>
      </c>
      <c r="D819" s="46" t="s">
        <v>1458</v>
      </c>
      <c r="E819" s="46" t="s">
        <v>1243</v>
      </c>
      <c r="F819" s="188">
        <v>620</v>
      </c>
      <c r="G819" s="46" t="s">
        <v>272</v>
      </c>
      <c r="H819" s="46"/>
      <c r="I819" s="51">
        <v>0</v>
      </c>
      <c r="J819" s="51">
        <v>0</v>
      </c>
      <c r="K819" s="51">
        <f t="shared" si="162"/>
        <v>0</v>
      </c>
      <c r="L819" s="51">
        <v>0</v>
      </c>
      <c r="M819" s="51">
        <v>0</v>
      </c>
      <c r="N819" s="51">
        <f t="shared" si="163"/>
        <v>0</v>
      </c>
      <c r="O819" s="51">
        <v>0</v>
      </c>
      <c r="P819" s="179" t="s">
        <v>1489</v>
      </c>
      <c r="Q819" s="179" t="s">
        <v>1489</v>
      </c>
      <c r="R819" s="179" t="s">
        <v>1489</v>
      </c>
      <c r="S819" s="47" t="s">
        <v>1489</v>
      </c>
      <c r="T819" s="54"/>
      <c r="U819" s="54"/>
      <c r="AA819">
        <f t="shared" si="152"/>
        <v>620</v>
      </c>
      <c r="AD819" t="str">
        <f t="shared" si="153"/>
        <v>441</v>
      </c>
      <c r="AE819">
        <f t="shared" si="154"/>
        <v>0</v>
      </c>
      <c r="AG819" s="50" t="str">
        <f t="shared" si="155"/>
        <v>CONTRÔLE HABITANTS  PART TAXE CANT SEJOUR</v>
      </c>
      <c r="AH819" s="244" t="str">
        <f t="shared" si="156"/>
        <v>-</v>
      </c>
      <c r="AI819" s="219"/>
      <c r="AJ819" s="219"/>
      <c r="AK819" s="219" t="str">
        <f t="shared" si="157"/>
        <v>-</v>
      </c>
      <c r="AL819" s="244" t="str">
        <f t="shared" si="158"/>
        <v>-</v>
      </c>
      <c r="AN819" s="219" t="str">
        <f t="shared" si="159"/>
        <v>-</v>
      </c>
    </row>
    <row r="820" spans="1:40" ht="15" customHeight="1" x14ac:dyDescent="0.3">
      <c r="A820" s="48">
        <v>0</v>
      </c>
      <c r="B820" s="49" t="s">
        <v>1263</v>
      </c>
      <c r="C820" s="50" t="s">
        <v>1264</v>
      </c>
      <c r="D820" s="46" t="s">
        <v>1459</v>
      </c>
      <c r="E820" s="46" t="s">
        <v>1262</v>
      </c>
      <c r="F820" s="46">
        <v>650</v>
      </c>
      <c r="G820" s="46" t="s">
        <v>45</v>
      </c>
      <c r="H820" s="46"/>
      <c r="I820" s="51">
        <v>4250.45</v>
      </c>
      <c r="J820" s="51">
        <v>0</v>
      </c>
      <c r="K820" s="51">
        <f t="shared" si="162"/>
        <v>4250.45</v>
      </c>
      <c r="L820" s="51">
        <v>7500</v>
      </c>
      <c r="M820" s="51">
        <v>0</v>
      </c>
      <c r="N820" s="51">
        <f t="shared" si="163"/>
        <v>7500</v>
      </c>
      <c r="O820" s="51">
        <v>135.44999999999999</v>
      </c>
      <c r="P820" s="179" t="s">
        <v>1489</v>
      </c>
      <c r="Q820" s="179" t="s">
        <v>1489</v>
      </c>
      <c r="R820" s="179" t="s">
        <v>1489</v>
      </c>
      <c r="S820" s="47" t="s">
        <v>1994</v>
      </c>
      <c r="T820" s="53">
        <f>+I820</f>
        <v>4250.45</v>
      </c>
      <c r="U820" s="54">
        <v>0</v>
      </c>
      <c r="W820" s="35" t="s">
        <v>1548</v>
      </c>
      <c r="AA820">
        <f t="shared" si="152"/>
        <v>650</v>
      </c>
      <c r="AD820" t="str">
        <f t="shared" si="153"/>
        <v>317</v>
      </c>
      <c r="AE820">
        <f t="shared" si="154"/>
        <v>0</v>
      </c>
      <c r="AG820" s="50" t="str">
        <f t="shared" si="155"/>
        <v>SERVICE FEU  RECEPTION et MANIFESTATION</v>
      </c>
      <c r="AH820" s="244" t="str">
        <f t="shared" si="156"/>
        <v>-</v>
      </c>
      <c r="AI820" s="219"/>
      <c r="AJ820" s="219"/>
      <c r="AK820" s="219" t="str">
        <f t="shared" si="157"/>
        <v>-</v>
      </c>
      <c r="AL820" s="244" t="str">
        <f t="shared" si="158"/>
        <v>-</v>
      </c>
      <c r="AN820" s="219" t="str">
        <f t="shared" si="159"/>
        <v>Autres actifs de régularisation, refacturation SDIS Bilan</v>
      </c>
    </row>
    <row r="821" spans="1:40" ht="15" customHeight="1" x14ac:dyDescent="0.3">
      <c r="A821" s="48">
        <v>0</v>
      </c>
      <c r="B821" s="49" t="s">
        <v>1265</v>
      </c>
      <c r="C821" s="50" t="s">
        <v>1266</v>
      </c>
      <c r="D821" s="46" t="s">
        <v>1459</v>
      </c>
      <c r="E821" s="46" t="s">
        <v>1262</v>
      </c>
      <c r="F821" s="46">
        <v>650</v>
      </c>
      <c r="G821" s="46" t="s">
        <v>5</v>
      </c>
      <c r="H821" s="46"/>
      <c r="I821" s="51">
        <v>86196.9</v>
      </c>
      <c r="J821" s="51">
        <v>0</v>
      </c>
      <c r="K821" s="51">
        <f t="shared" si="162"/>
        <v>86196.9</v>
      </c>
      <c r="L821" s="51">
        <v>87500</v>
      </c>
      <c r="M821" s="51">
        <v>0</v>
      </c>
      <c r="N821" s="51">
        <f t="shared" si="163"/>
        <v>87500</v>
      </c>
      <c r="O821" s="51">
        <v>43748.2</v>
      </c>
      <c r="P821" s="179" t="s">
        <v>1549</v>
      </c>
      <c r="Q821" s="179" t="s">
        <v>1398</v>
      </c>
      <c r="R821" s="179" t="s">
        <v>2131</v>
      </c>
      <c r="S821" s="47" t="s">
        <v>2055</v>
      </c>
      <c r="T821" s="54">
        <f>+I821</f>
        <v>86196.9</v>
      </c>
      <c r="U821" s="54"/>
      <c r="AA821">
        <f t="shared" si="152"/>
        <v>650</v>
      </c>
      <c r="AD821" t="str">
        <f t="shared" si="153"/>
        <v>352</v>
      </c>
      <c r="AE821">
        <f t="shared" si="154"/>
        <v>0</v>
      </c>
      <c r="AG821" s="50" t="str">
        <f t="shared" si="155"/>
        <v>SERVICE FEU  FRAIS GROUP SERVICE FEU</v>
      </c>
      <c r="AH821" s="244" t="str">
        <f t="shared" si="156"/>
        <v>15000</v>
      </c>
      <c r="AI821" s="219"/>
      <c r="AJ821" s="219"/>
      <c r="AK821" s="219" t="str">
        <f t="shared" si="157"/>
        <v>3612</v>
      </c>
      <c r="AL821" s="244" t="str">
        <f t="shared" si="158"/>
        <v>00</v>
      </c>
      <c r="AN821" s="219" t="str">
        <f t="shared" si="159"/>
        <v>Parts aux communes et assoc intercomm - SDIS</v>
      </c>
    </row>
    <row r="822" spans="1:40" ht="15" customHeight="1" x14ac:dyDescent="0.3">
      <c r="A822" s="48">
        <v>0</v>
      </c>
      <c r="B822" s="49" t="s">
        <v>1267</v>
      </c>
      <c r="C822" s="50" t="s">
        <v>1268</v>
      </c>
      <c r="D822" s="46" t="s">
        <v>1459</v>
      </c>
      <c r="E822" s="46" t="s">
        <v>1262</v>
      </c>
      <c r="F822" s="46">
        <v>650</v>
      </c>
      <c r="G822" s="46" t="s">
        <v>61</v>
      </c>
      <c r="H822" s="46"/>
      <c r="I822" s="51">
        <v>0</v>
      </c>
      <c r="J822" s="51">
        <v>0</v>
      </c>
      <c r="K822" s="51">
        <f t="shared" si="162"/>
        <v>0</v>
      </c>
      <c r="L822" s="51">
        <v>0</v>
      </c>
      <c r="M822" s="51">
        <v>0</v>
      </c>
      <c r="N822" s="51">
        <f t="shared" si="163"/>
        <v>0</v>
      </c>
      <c r="O822" s="51">
        <v>0</v>
      </c>
      <c r="P822" s="179" t="s">
        <v>1489</v>
      </c>
      <c r="Q822" s="179" t="s">
        <v>1489</v>
      </c>
      <c r="R822" s="179" t="s">
        <v>1489</v>
      </c>
      <c r="S822" s="47" t="s">
        <v>1489</v>
      </c>
      <c r="T822" s="54"/>
      <c r="U822" s="54"/>
      <c r="AA822">
        <f t="shared" si="152"/>
        <v>650</v>
      </c>
      <c r="AD822" t="str">
        <f t="shared" si="153"/>
        <v>436</v>
      </c>
      <c r="AE822">
        <f t="shared" si="154"/>
        <v>0</v>
      </c>
      <c r="AG822" s="50" t="str">
        <f t="shared" si="155"/>
        <v>SERVICE FEU  PART DE TIERS</v>
      </c>
      <c r="AH822" s="244" t="str">
        <f t="shared" si="156"/>
        <v>-</v>
      </c>
      <c r="AI822" s="219"/>
      <c r="AJ822" s="219"/>
      <c r="AK822" s="219" t="str">
        <f t="shared" si="157"/>
        <v>-</v>
      </c>
      <c r="AL822" s="244" t="str">
        <f t="shared" si="158"/>
        <v>-</v>
      </c>
      <c r="AN822" s="219" t="str">
        <f t="shared" si="159"/>
        <v>-</v>
      </c>
    </row>
    <row r="823" spans="1:40" ht="15" customHeight="1" x14ac:dyDescent="0.3">
      <c r="A823" s="48">
        <v>0</v>
      </c>
      <c r="B823" s="49" t="s">
        <v>1269</v>
      </c>
      <c r="C823" s="50" t="s">
        <v>1270</v>
      </c>
      <c r="D823" s="46" t="s">
        <v>1459</v>
      </c>
      <c r="E823" s="46" t="s">
        <v>1262</v>
      </c>
      <c r="F823" s="46">
        <v>650</v>
      </c>
      <c r="G823" s="46" t="s">
        <v>345</v>
      </c>
      <c r="H823" s="46"/>
      <c r="I823" s="51">
        <v>0</v>
      </c>
      <c r="J823" s="51">
        <v>-4250.45</v>
      </c>
      <c r="K823" s="51">
        <f t="shared" si="162"/>
        <v>-4250.45</v>
      </c>
      <c r="L823" s="51">
        <v>0</v>
      </c>
      <c r="M823" s="51">
        <v>0</v>
      </c>
      <c r="N823" s="51">
        <f t="shared" si="163"/>
        <v>0</v>
      </c>
      <c r="O823" s="51">
        <v>0</v>
      </c>
      <c r="P823" s="179" t="s">
        <v>1489</v>
      </c>
      <c r="Q823" s="179" t="s">
        <v>1489</v>
      </c>
      <c r="R823" s="179" t="s">
        <v>1489</v>
      </c>
      <c r="S823" s="47" t="s">
        <v>1994</v>
      </c>
      <c r="T823" s="53">
        <f>+J823</f>
        <v>-4250.45</v>
      </c>
      <c r="U823" s="54">
        <v>0</v>
      </c>
      <c r="AA823">
        <f t="shared" si="152"/>
        <v>650</v>
      </c>
      <c r="AD823" t="str">
        <f t="shared" si="153"/>
        <v>452</v>
      </c>
      <c r="AE823">
        <f t="shared" si="154"/>
        <v>0</v>
      </c>
      <c r="AG823" s="50" t="str">
        <f t="shared" si="155"/>
        <v>SERVICE FEU  PART DES 3 COMMUNES</v>
      </c>
      <c r="AH823" s="244" t="str">
        <f t="shared" si="156"/>
        <v>-</v>
      </c>
      <c r="AI823" s="219"/>
      <c r="AJ823" s="219"/>
      <c r="AK823" s="219" t="str">
        <f t="shared" si="157"/>
        <v>-</v>
      </c>
      <c r="AL823" s="244" t="str">
        <f t="shared" si="158"/>
        <v>-</v>
      </c>
      <c r="AN823" s="219" t="str">
        <f t="shared" si="159"/>
        <v>Autres actifs de régularisation, refacturation SDIS Bilan</v>
      </c>
    </row>
    <row r="824" spans="1:40" ht="15" customHeight="1" x14ac:dyDescent="0.3">
      <c r="A824" s="48">
        <v>0</v>
      </c>
      <c r="B824" s="49" t="s">
        <v>1272</v>
      </c>
      <c r="C824" s="50" t="s">
        <v>1273</v>
      </c>
      <c r="D824" s="46" t="s">
        <v>1458</v>
      </c>
      <c r="E824" s="46" t="s">
        <v>1271</v>
      </c>
      <c r="F824" s="46">
        <v>660</v>
      </c>
      <c r="G824" s="46" t="s">
        <v>5</v>
      </c>
      <c r="H824" s="46"/>
      <c r="I824" s="51">
        <v>39055.550000000003</v>
      </c>
      <c r="J824" s="51">
        <v>0</v>
      </c>
      <c r="K824" s="51">
        <f t="shared" si="162"/>
        <v>39055.550000000003</v>
      </c>
      <c r="L824" s="51">
        <v>46500</v>
      </c>
      <c r="M824" s="51">
        <v>0</v>
      </c>
      <c r="N824" s="51">
        <f t="shared" si="163"/>
        <v>46500</v>
      </c>
      <c r="O824" s="51">
        <v>22844.7</v>
      </c>
      <c r="P824" s="179" t="s">
        <v>1550</v>
      </c>
      <c r="Q824" s="179" t="s">
        <v>1398</v>
      </c>
      <c r="R824" s="179" t="s">
        <v>2131</v>
      </c>
      <c r="S824" s="47" t="s">
        <v>2056</v>
      </c>
      <c r="T824" s="54">
        <f>+I824</f>
        <v>39055.550000000003</v>
      </c>
      <c r="U824" s="54"/>
      <c r="AA824">
        <f t="shared" si="152"/>
        <v>660</v>
      </c>
      <c r="AD824" t="str">
        <f t="shared" si="153"/>
        <v>352</v>
      </c>
      <c r="AE824">
        <f t="shared" si="154"/>
        <v>0</v>
      </c>
      <c r="AG824" s="50" t="str">
        <f t="shared" si="155"/>
        <v>PROTECTION CIVILE  PART ORPC DISTRICT NYON</v>
      </c>
      <c r="AH824" s="244" t="str">
        <f t="shared" si="156"/>
        <v>16200</v>
      </c>
      <c r="AI824" s="219"/>
      <c r="AJ824" s="219"/>
      <c r="AK824" s="219" t="str">
        <f t="shared" si="157"/>
        <v>3612</v>
      </c>
      <c r="AL824" s="244" t="str">
        <f t="shared" si="158"/>
        <v>00</v>
      </c>
      <c r="AN824" s="219" t="str">
        <f t="shared" si="159"/>
        <v>Parts aux communes et assoc intercomm - ORPC</v>
      </c>
    </row>
    <row r="825" spans="1:40" ht="15" customHeight="1" x14ac:dyDescent="0.3">
      <c r="A825" s="48">
        <v>0</v>
      </c>
      <c r="B825" s="49" t="s">
        <v>1274</v>
      </c>
      <c r="C825" s="50" t="s">
        <v>1275</v>
      </c>
      <c r="D825" s="46" t="s">
        <v>1458</v>
      </c>
      <c r="E825" s="46" t="s">
        <v>1271</v>
      </c>
      <c r="F825" s="46">
        <v>660</v>
      </c>
      <c r="G825" s="46" t="s">
        <v>6</v>
      </c>
      <c r="H825" s="46"/>
      <c r="I825" s="51">
        <v>0</v>
      </c>
      <c r="J825" s="51">
        <v>0</v>
      </c>
      <c r="K825" s="51">
        <f t="shared" si="162"/>
        <v>0</v>
      </c>
      <c r="L825" s="51">
        <v>0</v>
      </c>
      <c r="M825" s="51">
        <v>0</v>
      </c>
      <c r="N825" s="51">
        <f t="shared" si="163"/>
        <v>0</v>
      </c>
      <c r="O825" s="51">
        <v>0</v>
      </c>
      <c r="P825" s="179" t="s">
        <v>1489</v>
      </c>
      <c r="Q825" s="179" t="s">
        <v>1489</v>
      </c>
      <c r="R825" s="179" t="s">
        <v>1489</v>
      </c>
      <c r="S825" s="47" t="s">
        <v>1489</v>
      </c>
      <c r="T825" s="54"/>
      <c r="U825" s="54"/>
      <c r="AA825">
        <f t="shared" si="152"/>
        <v>660</v>
      </c>
      <c r="AD825" t="str">
        <f t="shared" si="153"/>
        <v>380</v>
      </c>
      <c r="AE825">
        <f t="shared" si="154"/>
        <v>0</v>
      </c>
      <c r="AG825" s="50" t="str">
        <f t="shared" si="155"/>
        <v>PROTECTION CIVILE  ATTRIB FONDS RESERVE (9282.2)</v>
      </c>
      <c r="AH825" s="244" t="str">
        <f t="shared" si="156"/>
        <v>-</v>
      </c>
      <c r="AI825" s="219"/>
      <c r="AJ825" s="219"/>
      <c r="AK825" s="219" t="str">
        <f t="shared" si="157"/>
        <v>-</v>
      </c>
      <c r="AL825" s="244" t="str">
        <f t="shared" si="158"/>
        <v>-</v>
      </c>
      <c r="AN825" s="219" t="str">
        <f t="shared" si="159"/>
        <v>-</v>
      </c>
    </row>
    <row r="826" spans="1:40" ht="15" customHeight="1" x14ac:dyDescent="0.3">
      <c r="A826" s="48">
        <v>0</v>
      </c>
      <c r="B826" s="49" t="s">
        <v>1276</v>
      </c>
      <c r="C826" s="50" t="s">
        <v>1277</v>
      </c>
      <c r="D826" s="46" t="s">
        <v>1458</v>
      </c>
      <c r="E826" s="46" t="s">
        <v>1271</v>
      </c>
      <c r="F826" s="46">
        <v>660</v>
      </c>
      <c r="G826" s="46" t="s">
        <v>351</v>
      </c>
      <c r="H826" s="46"/>
      <c r="I826" s="51">
        <v>0</v>
      </c>
      <c r="J826" s="51">
        <v>0</v>
      </c>
      <c r="K826" s="51">
        <f t="shared" si="162"/>
        <v>0</v>
      </c>
      <c r="L826" s="51">
        <v>0</v>
      </c>
      <c r="M826" s="51">
        <v>0</v>
      </c>
      <c r="N826" s="51">
        <f t="shared" si="163"/>
        <v>0</v>
      </c>
      <c r="O826" s="51">
        <v>0</v>
      </c>
      <c r="P826" s="179" t="s">
        <v>1489</v>
      </c>
      <c r="Q826" s="179" t="s">
        <v>1489</v>
      </c>
      <c r="R826" s="179" t="s">
        <v>1489</v>
      </c>
      <c r="S826" s="47" t="s">
        <v>1489</v>
      </c>
      <c r="T826" s="54"/>
      <c r="U826" s="54"/>
      <c r="AA826">
        <f t="shared" si="152"/>
        <v>660</v>
      </c>
      <c r="AD826" t="str">
        <f t="shared" si="153"/>
        <v>465</v>
      </c>
      <c r="AE826">
        <f t="shared" si="154"/>
        <v>0</v>
      </c>
      <c r="AG826" s="50" t="str">
        <f t="shared" si="155"/>
        <v>PROTECTION CIVILE  DISPENSES ABRIS PC</v>
      </c>
      <c r="AH826" s="244" t="str">
        <f t="shared" si="156"/>
        <v>-</v>
      </c>
      <c r="AI826" s="219"/>
      <c r="AJ826" s="219"/>
      <c r="AK826" s="219" t="str">
        <f t="shared" si="157"/>
        <v>-</v>
      </c>
      <c r="AL826" s="244" t="str">
        <f t="shared" si="158"/>
        <v>-</v>
      </c>
      <c r="AN826" s="219" t="str">
        <f t="shared" si="159"/>
        <v>-</v>
      </c>
    </row>
    <row r="827" spans="1:40" ht="15" customHeight="1" x14ac:dyDescent="0.3">
      <c r="A827" s="48">
        <v>0</v>
      </c>
      <c r="B827" s="49" t="s">
        <v>1278</v>
      </c>
      <c r="C827" s="50" t="s">
        <v>1279</v>
      </c>
      <c r="D827" s="46" t="s">
        <v>1458</v>
      </c>
      <c r="E827" s="46" t="s">
        <v>1271</v>
      </c>
      <c r="F827" s="46">
        <v>660</v>
      </c>
      <c r="G827" s="46" t="s">
        <v>64</v>
      </c>
      <c r="H827" s="46"/>
      <c r="I827" s="51">
        <v>0</v>
      </c>
      <c r="J827" s="51">
        <v>0</v>
      </c>
      <c r="K827" s="51">
        <f t="shared" si="162"/>
        <v>0</v>
      </c>
      <c r="L827" s="51">
        <v>0</v>
      </c>
      <c r="M827" s="51">
        <v>0</v>
      </c>
      <c r="N827" s="51">
        <f t="shared" si="163"/>
        <v>0</v>
      </c>
      <c r="O827" s="51">
        <v>0</v>
      </c>
      <c r="P827" s="179" t="s">
        <v>1489</v>
      </c>
      <c r="Q827" s="179" t="s">
        <v>1489</v>
      </c>
      <c r="R827" s="179" t="s">
        <v>1489</v>
      </c>
      <c r="S827" s="47" t="s">
        <v>1489</v>
      </c>
      <c r="T827" s="54"/>
      <c r="U827" s="54"/>
      <c r="AA827">
        <f t="shared" si="152"/>
        <v>660</v>
      </c>
      <c r="AD827" t="str">
        <f t="shared" si="153"/>
        <v>480</v>
      </c>
      <c r="AE827">
        <f t="shared" si="154"/>
        <v>0</v>
      </c>
      <c r="AG827" s="50" t="str">
        <f t="shared" si="155"/>
        <v>PROTECTION CIVILE  PREL FONDS RESERVE (9282.2)</v>
      </c>
      <c r="AH827" s="244" t="str">
        <f t="shared" si="156"/>
        <v>-</v>
      </c>
      <c r="AI827" s="219"/>
      <c r="AJ827" s="219"/>
      <c r="AK827" s="219" t="str">
        <f t="shared" si="157"/>
        <v>-</v>
      </c>
      <c r="AL827" s="244" t="str">
        <f t="shared" si="158"/>
        <v>-</v>
      </c>
      <c r="AN827" s="219" t="str">
        <f t="shared" si="159"/>
        <v>-</v>
      </c>
    </row>
    <row r="828" spans="1:40" ht="15" customHeight="1" x14ac:dyDescent="0.3">
      <c r="A828" s="48">
        <v>0</v>
      </c>
      <c r="B828" s="49" t="s">
        <v>1281</v>
      </c>
      <c r="C828" s="50" t="s">
        <v>1282</v>
      </c>
      <c r="D828" s="46" t="s">
        <v>1460</v>
      </c>
      <c r="E828" s="46" t="s">
        <v>1280</v>
      </c>
      <c r="F828" s="46">
        <v>710</v>
      </c>
      <c r="G828" s="46" t="s">
        <v>183</v>
      </c>
      <c r="H828" s="46"/>
      <c r="I828" s="51">
        <v>0</v>
      </c>
      <c r="J828" s="51">
        <v>0</v>
      </c>
      <c r="K828" s="51">
        <f t="shared" si="162"/>
        <v>0</v>
      </c>
      <c r="L828" s="51">
        <v>0</v>
      </c>
      <c r="M828" s="51">
        <v>0</v>
      </c>
      <c r="N828" s="51">
        <f t="shared" si="163"/>
        <v>0</v>
      </c>
      <c r="O828" s="51">
        <v>0</v>
      </c>
      <c r="P828" s="179" t="s">
        <v>1489</v>
      </c>
      <c r="Q828" s="179" t="s">
        <v>1489</v>
      </c>
      <c r="R828" s="179" t="s">
        <v>1489</v>
      </c>
      <c r="S828" s="47" t="s">
        <v>1489</v>
      </c>
      <c r="T828" s="54"/>
      <c r="U828" s="54"/>
      <c r="AA828">
        <f t="shared" si="152"/>
        <v>710</v>
      </c>
      <c r="AD828" t="str">
        <f t="shared" si="153"/>
        <v>351</v>
      </c>
      <c r="AE828">
        <f t="shared" si="154"/>
        <v>0</v>
      </c>
      <c r="AG828" s="50" t="str">
        <f t="shared" si="155"/>
        <v>SERVICE SOCIAL  FONDATION SOCLE COMMUNE</v>
      </c>
      <c r="AH828" s="244" t="str">
        <f t="shared" si="156"/>
        <v>-</v>
      </c>
      <c r="AI828" s="219"/>
      <c r="AJ828" s="219"/>
      <c r="AK828" s="219" t="str">
        <f t="shared" si="157"/>
        <v>-</v>
      </c>
      <c r="AL828" s="244" t="str">
        <f t="shared" si="158"/>
        <v>-</v>
      </c>
      <c r="AN828" s="219" t="str">
        <f t="shared" si="159"/>
        <v>-</v>
      </c>
    </row>
    <row r="829" spans="1:40" ht="15" customHeight="1" x14ac:dyDescent="0.3">
      <c r="A829" s="48">
        <v>0</v>
      </c>
      <c r="B829" s="49" t="s">
        <v>1283</v>
      </c>
      <c r="C829" s="50" t="s">
        <v>1284</v>
      </c>
      <c r="D829" s="46" t="s">
        <v>1460</v>
      </c>
      <c r="E829" s="46" t="s">
        <v>1280</v>
      </c>
      <c r="F829" s="46">
        <v>710</v>
      </c>
      <c r="G829" s="46" t="s">
        <v>5</v>
      </c>
      <c r="H829" s="46"/>
      <c r="I829" s="51">
        <v>0</v>
      </c>
      <c r="J829" s="51">
        <v>0</v>
      </c>
      <c r="K829" s="51">
        <f t="shared" si="162"/>
        <v>0</v>
      </c>
      <c r="L829" s="51">
        <v>0</v>
      </c>
      <c r="M829" s="51">
        <v>0</v>
      </c>
      <c r="N829" s="51">
        <f t="shared" si="163"/>
        <v>0</v>
      </c>
      <c r="O829" s="51">
        <v>0</v>
      </c>
      <c r="P829" s="179" t="s">
        <v>1489</v>
      </c>
      <c r="Q829" s="179" t="s">
        <v>1489</v>
      </c>
      <c r="R829" s="179" t="s">
        <v>1489</v>
      </c>
      <c r="S829" s="47" t="s">
        <v>1489</v>
      </c>
      <c r="T829" s="54"/>
      <c r="U829" s="54"/>
      <c r="AA829">
        <f t="shared" si="152"/>
        <v>710</v>
      </c>
      <c r="AD829" t="str">
        <f t="shared" si="153"/>
        <v>352</v>
      </c>
      <c r="AE829">
        <f t="shared" si="154"/>
        <v>0</v>
      </c>
      <c r="AG829" s="50" t="str">
        <f t="shared" si="155"/>
        <v>SERVICE SOCIAL  CENTRE REGIONAL (CSR)</v>
      </c>
      <c r="AH829" s="244" t="str">
        <f t="shared" si="156"/>
        <v>-</v>
      </c>
      <c r="AI829" s="219"/>
      <c r="AJ829" s="219"/>
      <c r="AK829" s="219" t="str">
        <f t="shared" si="157"/>
        <v>-</v>
      </c>
      <c r="AL829" s="244" t="str">
        <f t="shared" si="158"/>
        <v>-</v>
      </c>
      <c r="AN829" s="219" t="str">
        <f t="shared" si="159"/>
        <v>-</v>
      </c>
    </row>
    <row r="830" spans="1:40" ht="15" customHeight="1" x14ac:dyDescent="0.3">
      <c r="A830" s="48">
        <v>0</v>
      </c>
      <c r="B830" s="49" t="s">
        <v>1285</v>
      </c>
      <c r="C830" s="50" t="s">
        <v>1286</v>
      </c>
      <c r="D830" s="46" t="s">
        <v>1460</v>
      </c>
      <c r="E830" s="46" t="s">
        <v>1280</v>
      </c>
      <c r="F830" s="46">
        <v>710</v>
      </c>
      <c r="G830" s="46" t="s">
        <v>99</v>
      </c>
      <c r="H830" s="46"/>
      <c r="I830" s="51">
        <v>4018</v>
      </c>
      <c r="J830" s="51">
        <v>0</v>
      </c>
      <c r="K830" s="51">
        <f t="shared" si="162"/>
        <v>4018</v>
      </c>
      <c r="L830" s="51">
        <v>3500</v>
      </c>
      <c r="M830" s="51">
        <v>0</v>
      </c>
      <c r="N830" s="51">
        <f t="shared" si="163"/>
        <v>3500</v>
      </c>
      <c r="O830" s="51">
        <v>0</v>
      </c>
      <c r="P830" s="179" t="s">
        <v>1551</v>
      </c>
      <c r="Q830" s="179" t="s">
        <v>1552</v>
      </c>
      <c r="R830" s="179" t="s">
        <v>2131</v>
      </c>
      <c r="S830" s="47" t="s">
        <v>1553</v>
      </c>
      <c r="T830" s="54">
        <f>+I830</f>
        <v>4018</v>
      </c>
      <c r="U830" s="54"/>
      <c r="W830" t="s">
        <v>1554</v>
      </c>
      <c r="AA830">
        <f t="shared" si="152"/>
        <v>710</v>
      </c>
      <c r="AD830" t="str">
        <f t="shared" si="153"/>
        <v>365</v>
      </c>
      <c r="AE830">
        <f t="shared" si="154"/>
        <v>0</v>
      </c>
      <c r="AG830" s="50" t="str">
        <f t="shared" si="155"/>
        <v>SERVICE SOCIAL  Aides, Subvention à institutions privées</v>
      </c>
      <c r="AH830" s="244" t="str">
        <f t="shared" si="156"/>
        <v>54400</v>
      </c>
      <c r="AI830" s="219"/>
      <c r="AJ830" s="219"/>
      <c r="AK830" s="219" t="str">
        <f t="shared" si="157"/>
        <v>3632</v>
      </c>
      <c r="AL830" s="244" t="str">
        <f t="shared" si="158"/>
        <v>00</v>
      </c>
      <c r="AN830" s="219" t="str">
        <f t="shared" si="159"/>
        <v>Subventions accordées aux communes et associations - Trav. Social</v>
      </c>
    </row>
    <row r="831" spans="1:40" ht="15" customHeight="1" x14ac:dyDescent="0.3">
      <c r="A831" s="48">
        <v>0</v>
      </c>
      <c r="B831" s="49" t="s">
        <v>1287</v>
      </c>
      <c r="C831" s="50" t="s">
        <v>1288</v>
      </c>
      <c r="D831" s="46" t="s">
        <v>1460</v>
      </c>
      <c r="E831" s="46" t="s">
        <v>1280</v>
      </c>
      <c r="F831" s="46">
        <v>710</v>
      </c>
      <c r="G831" s="46" t="s">
        <v>99</v>
      </c>
      <c r="H831" s="46">
        <v>1</v>
      </c>
      <c r="I831" s="51">
        <v>506546.3</v>
      </c>
      <c r="J831" s="51">
        <v>0</v>
      </c>
      <c r="K831" s="51">
        <f t="shared" si="162"/>
        <v>506546.3</v>
      </c>
      <c r="L831" s="51">
        <v>443793</v>
      </c>
      <c r="M831" s="51">
        <v>0</v>
      </c>
      <c r="N831" s="51">
        <f t="shared" si="163"/>
        <v>443793</v>
      </c>
      <c r="O831" s="51">
        <v>308203.65000000002</v>
      </c>
      <c r="P831" s="179" t="s">
        <v>1555</v>
      </c>
      <c r="Q831" s="179" t="s">
        <v>1398</v>
      </c>
      <c r="R831" s="179" t="s">
        <v>2131</v>
      </c>
      <c r="S831" s="47" t="s">
        <v>2057</v>
      </c>
      <c r="T831" s="54">
        <f>+I831/2</f>
        <v>253273.15</v>
      </c>
      <c r="U831" s="54"/>
      <c r="W831" t="s">
        <v>1556</v>
      </c>
      <c r="X831" t="s">
        <v>1559</v>
      </c>
      <c r="Y831" t="s">
        <v>1560</v>
      </c>
      <c r="AA831">
        <f t="shared" si="152"/>
        <v>710</v>
      </c>
      <c r="AD831" t="str">
        <f t="shared" si="153"/>
        <v>365</v>
      </c>
      <c r="AE831">
        <f t="shared" si="154"/>
        <v>1</v>
      </c>
      <c r="AG831" s="50" t="str">
        <f t="shared" si="155"/>
        <v>SERVICE SOCIAL  AIDE PETITE ENFANCE</v>
      </c>
      <c r="AH831" s="244" t="str">
        <f t="shared" si="156"/>
        <v>54500</v>
      </c>
      <c r="AI831" s="219"/>
      <c r="AJ831" s="219"/>
      <c r="AK831" s="219" t="str">
        <f t="shared" si="157"/>
        <v>3612</v>
      </c>
      <c r="AL831" s="244" t="str">
        <f t="shared" si="158"/>
        <v>00</v>
      </c>
      <c r="AN831" s="219" t="str">
        <f t="shared" si="159"/>
        <v>Parts aux communes et assoc intercomm - Crèches</v>
      </c>
    </row>
    <row r="832" spans="1:40" ht="15" customHeight="1" x14ac:dyDescent="0.3">
      <c r="A832" s="48"/>
      <c r="B832" s="49" t="s">
        <v>1287</v>
      </c>
      <c r="C832" s="50" t="s">
        <v>1288</v>
      </c>
      <c r="D832" s="46" t="s">
        <v>1460</v>
      </c>
      <c r="E832" s="46" t="s">
        <v>1280</v>
      </c>
      <c r="F832" s="46">
        <v>710</v>
      </c>
      <c r="G832" s="46" t="s">
        <v>99</v>
      </c>
      <c r="H832" s="46">
        <v>1</v>
      </c>
      <c r="I832" s="51">
        <v>0</v>
      </c>
      <c r="J832" s="51">
        <v>0</v>
      </c>
      <c r="K832" s="51">
        <f t="shared" si="162"/>
        <v>0</v>
      </c>
      <c r="L832" s="51">
        <v>0</v>
      </c>
      <c r="M832" s="51">
        <v>0</v>
      </c>
      <c r="N832" s="51">
        <f t="shared" si="163"/>
        <v>0</v>
      </c>
      <c r="O832" s="51"/>
      <c r="P832" s="179" t="s">
        <v>1557</v>
      </c>
      <c r="Q832" s="179" t="s">
        <v>1398</v>
      </c>
      <c r="R832" s="179" t="s">
        <v>2131</v>
      </c>
      <c r="S832" s="47" t="s">
        <v>2058</v>
      </c>
      <c r="T832" s="54">
        <f>+T831</f>
        <v>253273.15</v>
      </c>
      <c r="U832" s="54"/>
      <c r="W832" t="s">
        <v>1558</v>
      </c>
      <c r="X832" t="s">
        <v>1559</v>
      </c>
      <c r="Y832" t="s">
        <v>1560</v>
      </c>
      <c r="AA832">
        <f t="shared" si="152"/>
        <v>710</v>
      </c>
      <c r="AD832" t="str">
        <f t="shared" si="153"/>
        <v>365</v>
      </c>
      <c r="AE832">
        <f t="shared" si="154"/>
        <v>1</v>
      </c>
      <c r="AG832" s="50" t="str">
        <f t="shared" si="155"/>
        <v>SERVICE SOCIAL  AIDE PETITE ENFANCE</v>
      </c>
      <c r="AH832" s="244" t="str">
        <f t="shared" si="156"/>
        <v>21800</v>
      </c>
      <c r="AI832" s="219"/>
      <c r="AJ832" s="219"/>
      <c r="AK832" s="219" t="str">
        <f t="shared" si="157"/>
        <v>3612</v>
      </c>
      <c r="AL832" s="244" t="str">
        <f t="shared" si="158"/>
        <v>00</v>
      </c>
      <c r="AN832" s="219" t="str">
        <f t="shared" si="159"/>
        <v>Parts aux communes et assoc intercomm - UAPE</v>
      </c>
    </row>
    <row r="833" spans="1:40" ht="15" customHeight="1" x14ac:dyDescent="0.3">
      <c r="A833" s="48">
        <v>0</v>
      </c>
      <c r="B833" s="49" t="s">
        <v>1289</v>
      </c>
      <c r="C833" s="50" t="s">
        <v>1290</v>
      </c>
      <c r="D833" s="46" t="s">
        <v>1460</v>
      </c>
      <c r="E833" s="46" t="s">
        <v>1280</v>
      </c>
      <c r="F833" s="46">
        <v>710</v>
      </c>
      <c r="G833" s="46" t="s">
        <v>1196</v>
      </c>
      <c r="H833" s="46"/>
      <c r="I833" s="51">
        <v>4475.34</v>
      </c>
      <c r="J833" s="51">
        <v>0</v>
      </c>
      <c r="K833" s="51">
        <f t="shared" si="162"/>
        <v>4475.34</v>
      </c>
      <c r="L833" s="51">
        <v>5000</v>
      </c>
      <c r="M833" s="51">
        <v>0</v>
      </c>
      <c r="N833" s="51">
        <f t="shared" si="163"/>
        <v>5000</v>
      </c>
      <c r="O833" s="51">
        <v>4475.34</v>
      </c>
      <c r="P833" s="179" t="s">
        <v>1555</v>
      </c>
      <c r="Q833" s="179" t="s">
        <v>1562</v>
      </c>
      <c r="R833" s="179" t="s">
        <v>2131</v>
      </c>
      <c r="S833" s="47" t="s">
        <v>1563</v>
      </c>
      <c r="T833" s="54">
        <f>+I833</f>
        <v>4475.34</v>
      </c>
      <c r="U833" s="54"/>
      <c r="W833" t="s">
        <v>1561</v>
      </c>
      <c r="AA833">
        <f t="shared" si="152"/>
        <v>710</v>
      </c>
      <c r="AD833" t="str">
        <f t="shared" si="153"/>
        <v>366</v>
      </c>
      <c r="AE833">
        <f t="shared" si="154"/>
        <v>0</v>
      </c>
      <c r="AG833" s="50" t="str">
        <f t="shared" si="155"/>
        <v>SERVICE SOCIAL  AIDE INDIVIDUELLE</v>
      </c>
      <c r="AH833" s="244" t="str">
        <f t="shared" si="156"/>
        <v>54500</v>
      </c>
      <c r="AI833" s="219"/>
      <c r="AJ833" s="219"/>
      <c r="AK833" s="219" t="str">
        <f t="shared" si="157"/>
        <v>3637</v>
      </c>
      <c r="AL833" s="244" t="str">
        <f t="shared" si="158"/>
        <v>00</v>
      </c>
      <c r="AN833" s="219" t="str">
        <f t="shared" si="159"/>
        <v>Subventions accordées aux ménages privés - Petroplast</v>
      </c>
    </row>
    <row r="834" spans="1:40" ht="15" customHeight="1" x14ac:dyDescent="0.3">
      <c r="A834" s="48">
        <v>0</v>
      </c>
      <c r="B834" s="49" t="s">
        <v>1291</v>
      </c>
      <c r="C834" s="50" t="s">
        <v>1292</v>
      </c>
      <c r="D834" s="46" t="s">
        <v>1460</v>
      </c>
      <c r="E834" s="46" t="s">
        <v>1280</v>
      </c>
      <c r="F834" s="46">
        <v>710</v>
      </c>
      <c r="G834" s="46" t="s">
        <v>28</v>
      </c>
      <c r="H834" s="46"/>
      <c r="I834" s="51">
        <v>0</v>
      </c>
      <c r="J834" s="51">
        <v>0</v>
      </c>
      <c r="K834" s="51">
        <f t="shared" si="162"/>
        <v>0</v>
      </c>
      <c r="L834" s="51">
        <v>0</v>
      </c>
      <c r="M834" s="51">
        <v>0</v>
      </c>
      <c r="N834" s="51">
        <f t="shared" si="163"/>
        <v>0</v>
      </c>
      <c r="O834" s="51">
        <v>0</v>
      </c>
      <c r="P834" s="179" t="s">
        <v>1489</v>
      </c>
      <c r="Q834" s="179" t="s">
        <v>1489</v>
      </c>
      <c r="R834" s="179" t="s">
        <v>1489</v>
      </c>
      <c r="S834" s="47" t="s">
        <v>1489</v>
      </c>
      <c r="T834" s="54"/>
      <c r="U834" s="54"/>
      <c r="AA834">
        <f t="shared" si="152"/>
        <v>710</v>
      </c>
      <c r="AD834" t="str">
        <f t="shared" si="153"/>
        <v>390</v>
      </c>
      <c r="AE834">
        <f t="shared" si="154"/>
        <v>0</v>
      </c>
      <c r="AG834" s="50" t="str">
        <f t="shared" si="155"/>
        <v>SERVICE SOCIAL IMPUTATIONS INTERNES</v>
      </c>
      <c r="AH834" s="244" t="str">
        <f t="shared" si="156"/>
        <v>-</v>
      </c>
      <c r="AI834" s="219"/>
      <c r="AJ834" s="219"/>
      <c r="AK834" s="219" t="str">
        <f t="shared" si="157"/>
        <v>-</v>
      </c>
      <c r="AL834" s="244" t="str">
        <f t="shared" si="158"/>
        <v>-</v>
      </c>
      <c r="AN834" s="219" t="str">
        <f t="shared" si="159"/>
        <v>-</v>
      </c>
    </row>
    <row r="835" spans="1:40" ht="15" customHeight="1" x14ac:dyDescent="0.3">
      <c r="A835" s="48">
        <v>0</v>
      </c>
      <c r="B835" s="74" t="s">
        <v>1294</v>
      </c>
      <c r="C835" s="67" t="s">
        <v>1295</v>
      </c>
      <c r="D835" s="188" t="s">
        <v>1460</v>
      </c>
      <c r="E835" s="188" t="s">
        <v>1293</v>
      </c>
      <c r="F835" s="188">
        <v>720</v>
      </c>
      <c r="G835" s="188" t="s">
        <v>183</v>
      </c>
      <c r="H835" s="188"/>
      <c r="I835" s="51">
        <v>2016376</v>
      </c>
      <c r="J835" s="51">
        <v>0</v>
      </c>
      <c r="K835" s="51">
        <f t="shared" si="162"/>
        <v>2016376</v>
      </c>
      <c r="L835" s="51">
        <v>1979716</v>
      </c>
      <c r="M835" s="51">
        <v>0</v>
      </c>
      <c r="N835" s="51">
        <f t="shared" si="163"/>
        <v>1979716</v>
      </c>
      <c r="O835" s="51">
        <v>989858</v>
      </c>
      <c r="P835" s="179" t="s">
        <v>1564</v>
      </c>
      <c r="Q835" s="179" t="s">
        <v>1531</v>
      </c>
      <c r="R835" s="179" t="s">
        <v>2131</v>
      </c>
      <c r="S835" s="47" t="s">
        <v>2064</v>
      </c>
      <c r="T835" s="54">
        <f>+I835</f>
        <v>2016376</v>
      </c>
      <c r="U835" s="218">
        <v>2064564</v>
      </c>
      <c r="AA835">
        <f t="shared" si="152"/>
        <v>720</v>
      </c>
      <c r="AD835" t="str">
        <f t="shared" si="153"/>
        <v>351</v>
      </c>
      <c r="AE835">
        <f t="shared" si="154"/>
        <v>0</v>
      </c>
      <c r="AG835" s="50" t="str">
        <f t="shared" si="155"/>
        <v>PREVOYANCE Cohésion Sociale (ex-FactureSociale) PART AU CANTON</v>
      </c>
      <c r="AH835" s="244" t="str">
        <f t="shared" si="156"/>
        <v>93001</v>
      </c>
      <c r="AI835" s="219"/>
      <c r="AJ835" s="219"/>
      <c r="AK835" s="219" t="str">
        <f t="shared" si="157"/>
        <v>3621</v>
      </c>
      <c r="AL835" s="244" t="str">
        <f t="shared" si="158"/>
        <v>00</v>
      </c>
      <c r="AN835" s="219" t="str">
        <f t="shared" si="159"/>
        <v>Péréquations financière  cohésion sociale</v>
      </c>
    </row>
    <row r="836" spans="1:40" ht="15" customHeight="1" x14ac:dyDescent="0.3">
      <c r="A836" s="48"/>
      <c r="B836" s="74" t="s">
        <v>1294</v>
      </c>
      <c r="C836" s="67" t="s">
        <v>1295</v>
      </c>
      <c r="D836" s="188" t="s">
        <v>1460</v>
      </c>
      <c r="E836" s="188" t="s">
        <v>1293</v>
      </c>
      <c r="F836" s="188">
        <v>720</v>
      </c>
      <c r="G836" s="188" t="s">
        <v>183</v>
      </c>
      <c r="H836" s="188"/>
      <c r="I836" s="51">
        <v>0</v>
      </c>
      <c r="J836" s="51">
        <v>0</v>
      </c>
      <c r="K836" s="51">
        <f t="shared" si="162"/>
        <v>0</v>
      </c>
      <c r="L836" s="51">
        <v>0</v>
      </c>
      <c r="M836" s="51">
        <v>0</v>
      </c>
      <c r="N836" s="51">
        <f t="shared" si="163"/>
        <v>0</v>
      </c>
      <c r="O836" s="51"/>
      <c r="P836" s="179" t="s">
        <v>1564</v>
      </c>
      <c r="Q836" s="179" t="s">
        <v>1531</v>
      </c>
      <c r="R836" s="179" t="s">
        <v>2132</v>
      </c>
      <c r="S836" s="47" t="s">
        <v>2065</v>
      </c>
      <c r="T836" s="54"/>
      <c r="U836" s="54"/>
      <c r="AA836">
        <f t="shared" ref="AA836:AA881" si="164">+F836</f>
        <v>720</v>
      </c>
      <c r="AD836" t="str">
        <f t="shared" ref="AD836:AD881" si="165">+G836</f>
        <v>351</v>
      </c>
      <c r="AE836">
        <f t="shared" ref="AE836:AE881" si="166">+H836</f>
        <v>0</v>
      </c>
      <c r="AG836" s="50" t="str">
        <f t="shared" ref="AG836:AG881" si="167">+C836</f>
        <v>PREVOYANCE Cohésion Sociale (ex-FactureSociale) PART AU CANTON</v>
      </c>
      <c r="AH836" s="244" t="str">
        <f t="shared" ref="AH836:AH881" si="168">+P836</f>
        <v>93001</v>
      </c>
      <c r="AI836" s="219"/>
      <c r="AJ836" s="219"/>
      <c r="AK836" s="219" t="str">
        <f t="shared" ref="AK836:AK881" si="169">+Q836</f>
        <v>3621</v>
      </c>
      <c r="AL836" s="244" t="str">
        <f t="shared" ref="AL836:AL881" si="170">+R836</f>
        <v>01</v>
      </c>
      <c r="AN836" s="219" t="str">
        <f t="shared" ref="AN836:AN881" si="171">+S836</f>
        <v>Péréquations financière  cohésion sociale N-1</v>
      </c>
    </row>
    <row r="837" spans="1:40" ht="15" customHeight="1" x14ac:dyDescent="0.3">
      <c r="A837" s="48"/>
      <c r="B837" s="74" t="s">
        <v>1294</v>
      </c>
      <c r="C837" s="67" t="s">
        <v>1295</v>
      </c>
      <c r="D837" s="188" t="s">
        <v>1460</v>
      </c>
      <c r="E837" s="188" t="s">
        <v>1293</v>
      </c>
      <c r="F837" s="188">
        <v>720</v>
      </c>
      <c r="G837" s="188" t="s">
        <v>183</v>
      </c>
      <c r="H837" s="188"/>
      <c r="I837" s="51">
        <v>0</v>
      </c>
      <c r="J837" s="51">
        <v>0</v>
      </c>
      <c r="K837" s="51">
        <f t="shared" si="162"/>
        <v>0</v>
      </c>
      <c r="L837" s="51">
        <v>0</v>
      </c>
      <c r="M837" s="51">
        <v>0</v>
      </c>
      <c r="N837" s="51">
        <f t="shared" si="163"/>
        <v>0</v>
      </c>
      <c r="O837" s="51"/>
      <c r="P837" s="179" t="s">
        <v>1564</v>
      </c>
      <c r="Q837" s="179" t="s">
        <v>1565</v>
      </c>
      <c r="R837" s="179" t="s">
        <v>2131</v>
      </c>
      <c r="S837" s="47" t="s">
        <v>2064</v>
      </c>
      <c r="T837" s="54"/>
      <c r="U837" s="54"/>
      <c r="AA837">
        <f t="shared" si="164"/>
        <v>720</v>
      </c>
      <c r="AD837" t="str">
        <f t="shared" si="165"/>
        <v>351</v>
      </c>
      <c r="AE837">
        <f t="shared" si="166"/>
        <v>0</v>
      </c>
      <c r="AG837" s="50" t="str">
        <f t="shared" si="167"/>
        <v>PREVOYANCE Cohésion Sociale (ex-FactureSociale) PART AU CANTON</v>
      </c>
      <c r="AH837" s="244" t="str">
        <f t="shared" si="168"/>
        <v>93001</v>
      </c>
      <c r="AI837" s="219"/>
      <c r="AJ837" s="219"/>
      <c r="AK837" s="219" t="str">
        <f t="shared" si="169"/>
        <v>4621</v>
      </c>
      <c r="AL837" s="244" t="str">
        <f t="shared" si="170"/>
        <v>00</v>
      </c>
      <c r="AN837" s="219" t="str">
        <f t="shared" si="171"/>
        <v>Péréquations financière  cohésion sociale</v>
      </c>
    </row>
    <row r="838" spans="1:40" ht="15" customHeight="1" x14ac:dyDescent="0.3">
      <c r="A838" s="48"/>
      <c r="B838" s="74" t="s">
        <v>1294</v>
      </c>
      <c r="C838" s="67" t="s">
        <v>1295</v>
      </c>
      <c r="D838" s="188" t="s">
        <v>1460</v>
      </c>
      <c r="E838" s="188" t="s">
        <v>1293</v>
      </c>
      <c r="F838" s="188">
        <v>720</v>
      </c>
      <c r="G838" s="188" t="s">
        <v>183</v>
      </c>
      <c r="H838" s="188"/>
      <c r="I838" s="51">
        <v>0</v>
      </c>
      <c r="J838" s="51">
        <v>0</v>
      </c>
      <c r="K838" s="51">
        <f t="shared" si="162"/>
        <v>0</v>
      </c>
      <c r="L838" s="51">
        <v>0</v>
      </c>
      <c r="M838" s="51">
        <v>0</v>
      </c>
      <c r="N838" s="51">
        <f t="shared" si="163"/>
        <v>0</v>
      </c>
      <c r="O838" s="51"/>
      <c r="P838" s="179" t="s">
        <v>1564</v>
      </c>
      <c r="Q838" s="179" t="s">
        <v>1565</v>
      </c>
      <c r="R838" s="179" t="s">
        <v>2132</v>
      </c>
      <c r="S838" s="47" t="s">
        <v>2065</v>
      </c>
      <c r="T838" s="54"/>
      <c r="U838" s="54"/>
      <c r="AA838">
        <f t="shared" si="164"/>
        <v>720</v>
      </c>
      <c r="AD838" t="str">
        <f t="shared" si="165"/>
        <v>351</v>
      </c>
      <c r="AE838">
        <f t="shared" si="166"/>
        <v>0</v>
      </c>
      <c r="AG838" s="50" t="str">
        <f t="shared" si="167"/>
        <v>PREVOYANCE Cohésion Sociale (ex-FactureSociale) PART AU CANTON</v>
      </c>
      <c r="AH838" s="244" t="str">
        <f t="shared" si="168"/>
        <v>93001</v>
      </c>
      <c r="AI838" s="219"/>
      <c r="AJ838" s="219"/>
      <c r="AK838" s="219" t="str">
        <f t="shared" si="169"/>
        <v>4621</v>
      </c>
      <c r="AL838" s="244" t="str">
        <f t="shared" si="170"/>
        <v>01</v>
      </c>
      <c r="AN838" s="219" t="str">
        <f t="shared" si="171"/>
        <v>Péréquations financière  cohésion sociale N-1</v>
      </c>
    </row>
    <row r="839" spans="1:40" ht="15" customHeight="1" x14ac:dyDescent="0.3">
      <c r="A839" s="48">
        <v>0</v>
      </c>
      <c r="B839" s="49" t="s">
        <v>1296</v>
      </c>
      <c r="C839" s="50" t="s">
        <v>1297</v>
      </c>
      <c r="D839" s="46" t="s">
        <v>1460</v>
      </c>
      <c r="E839" s="46" t="s">
        <v>1293</v>
      </c>
      <c r="F839" s="188">
        <v>720</v>
      </c>
      <c r="G839" s="46" t="s">
        <v>183</v>
      </c>
      <c r="H839" s="46">
        <v>1</v>
      </c>
      <c r="I839" s="51">
        <v>0</v>
      </c>
      <c r="J839" s="51">
        <v>0</v>
      </c>
      <c r="K839" s="51">
        <f t="shared" si="162"/>
        <v>0</v>
      </c>
      <c r="L839" s="51">
        <v>0</v>
      </c>
      <c r="M839" s="51">
        <v>0</v>
      </c>
      <c r="N839" s="51">
        <f t="shared" si="163"/>
        <v>0</v>
      </c>
      <c r="O839" s="51">
        <v>0</v>
      </c>
      <c r="P839" s="179" t="s">
        <v>1489</v>
      </c>
      <c r="Q839" s="179" t="s">
        <v>1489</v>
      </c>
      <c r="R839" s="179" t="s">
        <v>1489</v>
      </c>
      <c r="S839" s="47" t="s">
        <v>1489</v>
      </c>
      <c r="T839" s="54"/>
      <c r="U839" s="54"/>
      <c r="AA839">
        <f t="shared" si="164"/>
        <v>720</v>
      </c>
      <c r="AD839" t="str">
        <f t="shared" si="165"/>
        <v>351</v>
      </c>
      <c r="AE839">
        <f t="shared" si="166"/>
        <v>1</v>
      </c>
      <c r="AG839" s="50" t="str">
        <f t="shared" si="167"/>
        <v>PREVOYANCE Cohésion Sociale (ex-FactureSociale) PART AU CANTON SOLDE ANNEE PRECEDENTE</v>
      </c>
      <c r="AH839" s="244" t="str">
        <f t="shared" si="168"/>
        <v>-</v>
      </c>
      <c r="AI839" s="219"/>
      <c r="AJ839" s="219"/>
      <c r="AK839" s="219" t="str">
        <f t="shared" si="169"/>
        <v>-</v>
      </c>
      <c r="AL839" s="244" t="str">
        <f t="shared" si="170"/>
        <v>-</v>
      </c>
      <c r="AN839" s="219" t="str">
        <f t="shared" si="171"/>
        <v>-</v>
      </c>
    </row>
    <row r="840" spans="1:40" ht="15" customHeight="1" x14ac:dyDescent="0.3">
      <c r="A840" s="48">
        <v>0</v>
      </c>
      <c r="B840" s="49" t="s">
        <v>1298</v>
      </c>
      <c r="C840" s="50" t="s">
        <v>1299</v>
      </c>
      <c r="D840" s="46" t="s">
        <v>1460</v>
      </c>
      <c r="E840" s="46" t="s">
        <v>1293</v>
      </c>
      <c r="F840" s="188">
        <v>720</v>
      </c>
      <c r="G840" s="46" t="s">
        <v>5</v>
      </c>
      <c r="H840" s="46"/>
      <c r="I840" s="51">
        <v>4728.2</v>
      </c>
      <c r="J840" s="51">
        <v>0</v>
      </c>
      <c r="K840" s="51">
        <f t="shared" si="162"/>
        <v>4728.2</v>
      </c>
      <c r="L840" s="51">
        <v>5000</v>
      </c>
      <c r="M840" s="51">
        <v>0</v>
      </c>
      <c r="N840" s="51">
        <f t="shared" si="163"/>
        <v>5000</v>
      </c>
      <c r="O840" s="51">
        <v>3018</v>
      </c>
      <c r="P840" s="179" t="s">
        <v>1567</v>
      </c>
      <c r="Q840" s="179" t="s">
        <v>1398</v>
      </c>
      <c r="R840" s="179" t="s">
        <v>2131</v>
      </c>
      <c r="S840" s="47" t="s">
        <v>2059</v>
      </c>
      <c r="T840" s="54">
        <f>+I840</f>
        <v>4728.2</v>
      </c>
      <c r="U840" s="54"/>
      <c r="W840" t="s">
        <v>1566</v>
      </c>
      <c r="AA840">
        <f t="shared" si="164"/>
        <v>720</v>
      </c>
      <c r="AD840" t="str">
        <f t="shared" si="165"/>
        <v>352</v>
      </c>
      <c r="AE840">
        <f t="shared" si="166"/>
        <v>0</v>
      </c>
      <c r="AG840" s="50" t="str">
        <f t="shared" si="167"/>
        <v>PREVOYANCE SOCIALE  ARAS REG AGENCES</v>
      </c>
      <c r="AH840" s="244" t="str">
        <f t="shared" si="168"/>
        <v>57900</v>
      </c>
      <c r="AI840" s="219"/>
      <c r="AJ840" s="219"/>
      <c r="AK840" s="219" t="str">
        <f t="shared" si="169"/>
        <v>3612</v>
      </c>
      <c r="AL840" s="244" t="str">
        <f t="shared" si="170"/>
        <v>00</v>
      </c>
      <c r="AN840" s="219" t="str">
        <f t="shared" si="171"/>
        <v>Parts aux communes et assoc intercomm - ARAS</v>
      </c>
    </row>
    <row r="841" spans="1:40" ht="15" customHeight="1" x14ac:dyDescent="0.3">
      <c r="A841" s="48">
        <v>0</v>
      </c>
      <c r="B841" s="49" t="s">
        <v>1300</v>
      </c>
      <c r="C841" s="50" t="s">
        <v>1301</v>
      </c>
      <c r="D841" s="46" t="s">
        <v>1460</v>
      </c>
      <c r="E841" s="46" t="s">
        <v>1293</v>
      </c>
      <c r="F841" s="188">
        <v>720</v>
      </c>
      <c r="G841" s="46" t="s">
        <v>175</v>
      </c>
      <c r="H841" s="46"/>
      <c r="I841" s="51">
        <v>0</v>
      </c>
      <c r="J841" s="51">
        <v>-50.5</v>
      </c>
      <c r="K841" s="51">
        <f t="shared" si="162"/>
        <v>-50.5</v>
      </c>
      <c r="L841" s="51">
        <v>0</v>
      </c>
      <c r="M841" s="51">
        <v>0</v>
      </c>
      <c r="N841" s="51">
        <f t="shared" si="163"/>
        <v>0</v>
      </c>
      <c r="O841" s="51">
        <v>0</v>
      </c>
      <c r="P841" s="179" t="s">
        <v>1564</v>
      </c>
      <c r="Q841" s="179" t="s">
        <v>1531</v>
      </c>
      <c r="R841" s="179" t="s">
        <v>2132</v>
      </c>
      <c r="S841" s="47" t="s">
        <v>2065</v>
      </c>
      <c r="T841" s="54">
        <f>+J841</f>
        <v>-50.5</v>
      </c>
      <c r="U841" s="54"/>
      <c r="AA841">
        <f t="shared" si="164"/>
        <v>720</v>
      </c>
      <c r="AD841" t="str">
        <f t="shared" si="165"/>
        <v>451</v>
      </c>
      <c r="AE841">
        <f t="shared" si="166"/>
        <v>0</v>
      </c>
      <c r="AG841" s="50" t="str">
        <f t="shared" si="167"/>
        <v>PREVOYANCE Cohésion Sociale (ex-FactureSociale)  PART AU CANTON ANNEE PRECEDENTE</v>
      </c>
      <c r="AH841" s="244" t="str">
        <f t="shared" si="168"/>
        <v>93001</v>
      </c>
      <c r="AI841" s="219"/>
      <c r="AJ841" s="219"/>
      <c r="AK841" s="219" t="str">
        <f t="shared" si="169"/>
        <v>3621</v>
      </c>
      <c r="AL841" s="244" t="str">
        <f t="shared" si="170"/>
        <v>01</v>
      </c>
      <c r="AN841" s="219" t="str">
        <f t="shared" si="171"/>
        <v>Péréquations financière  cohésion sociale N-1</v>
      </c>
    </row>
    <row r="842" spans="1:40" ht="15" customHeight="1" x14ac:dyDescent="0.3">
      <c r="A842" s="48">
        <v>0</v>
      </c>
      <c r="B842" s="49" t="s">
        <v>1302</v>
      </c>
      <c r="C842" s="50" t="s">
        <v>1303</v>
      </c>
      <c r="D842" s="46" t="s">
        <v>1460</v>
      </c>
      <c r="E842" s="46" t="s">
        <v>1293</v>
      </c>
      <c r="F842" s="188">
        <v>720</v>
      </c>
      <c r="G842" s="46" t="s">
        <v>345</v>
      </c>
      <c r="H842" s="46"/>
      <c r="I842" s="51">
        <v>0</v>
      </c>
      <c r="J842" s="51">
        <v>0</v>
      </c>
      <c r="K842" s="51">
        <f t="shared" si="162"/>
        <v>0</v>
      </c>
      <c r="L842" s="51">
        <v>0</v>
      </c>
      <c r="M842" s="51">
        <v>0</v>
      </c>
      <c r="N842" s="51">
        <f t="shared" si="163"/>
        <v>0</v>
      </c>
      <c r="O842" s="51">
        <v>0</v>
      </c>
      <c r="P842" s="179" t="s">
        <v>1489</v>
      </c>
      <c r="Q842" s="179" t="s">
        <v>1489</v>
      </c>
      <c r="R842" s="179" t="s">
        <v>1489</v>
      </c>
      <c r="S842" s="47" t="s">
        <v>1489</v>
      </c>
      <c r="T842" s="54"/>
      <c r="U842" s="54"/>
      <c r="AA842">
        <f t="shared" si="164"/>
        <v>720</v>
      </c>
      <c r="AD842" t="str">
        <f t="shared" si="165"/>
        <v>452</v>
      </c>
      <c r="AE842">
        <f t="shared" si="166"/>
        <v>0</v>
      </c>
      <c r="AG842" s="50" t="str">
        <f t="shared" si="167"/>
        <v>PREVOYANCE SOCIALE  RB ARAS REG AG</v>
      </c>
      <c r="AH842" s="244" t="str">
        <f t="shared" si="168"/>
        <v>-</v>
      </c>
      <c r="AI842" s="219"/>
      <c r="AJ842" s="219"/>
      <c r="AK842" s="219" t="str">
        <f t="shared" si="169"/>
        <v>-</v>
      </c>
      <c r="AL842" s="244" t="str">
        <f t="shared" si="170"/>
        <v>-</v>
      </c>
      <c r="AN842" s="219" t="str">
        <f t="shared" si="171"/>
        <v>-</v>
      </c>
    </row>
    <row r="843" spans="1:40" ht="15" customHeight="1" x14ac:dyDescent="0.3">
      <c r="A843" s="48">
        <v>0</v>
      </c>
      <c r="B843" s="77" t="s">
        <v>1305</v>
      </c>
      <c r="C843" s="78" t="s">
        <v>1306</v>
      </c>
      <c r="D843" s="182" t="s">
        <v>1416</v>
      </c>
      <c r="E843" s="182" t="s">
        <v>1304</v>
      </c>
      <c r="F843" s="182">
        <v>810</v>
      </c>
      <c r="G843" s="182" t="s">
        <v>3</v>
      </c>
      <c r="H843" s="182"/>
      <c r="I843" s="51">
        <v>31015.65</v>
      </c>
      <c r="J843" s="51">
        <v>0</v>
      </c>
      <c r="K843" s="51">
        <f t="shared" si="162"/>
        <v>31015.65</v>
      </c>
      <c r="L843" s="51">
        <v>28200</v>
      </c>
      <c r="M843" s="51">
        <v>0</v>
      </c>
      <c r="N843" s="51">
        <f t="shared" si="163"/>
        <v>28200</v>
      </c>
      <c r="O843" s="51">
        <v>14566.1</v>
      </c>
      <c r="P843" s="185" t="s">
        <v>1587</v>
      </c>
      <c r="Q843" s="179" t="s">
        <v>1410</v>
      </c>
      <c r="R843" s="179" t="s">
        <v>2131</v>
      </c>
      <c r="S843" s="52" t="s">
        <v>1411</v>
      </c>
      <c r="T843" s="54">
        <f>+I843</f>
        <v>31015.65</v>
      </c>
      <c r="U843" s="54">
        <v>0</v>
      </c>
      <c r="V843" s="7" t="s">
        <v>2021</v>
      </c>
      <c r="AA843">
        <f t="shared" si="164"/>
        <v>810</v>
      </c>
      <c r="AD843" t="str">
        <f t="shared" si="165"/>
        <v>301</v>
      </c>
      <c r="AE843">
        <f t="shared" si="166"/>
        <v>0</v>
      </c>
      <c r="AG843" s="50" t="str">
        <f t="shared" si="167"/>
        <v>SERVICE EAUX  SALAIRES</v>
      </c>
      <c r="AH843" s="244" t="str">
        <f t="shared" si="168"/>
        <v>61500</v>
      </c>
      <c r="AI843" s="219"/>
      <c r="AJ843" s="219"/>
      <c r="AK843" s="219" t="str">
        <f t="shared" si="169"/>
        <v>3010</v>
      </c>
      <c r="AL843" s="244" t="str">
        <f t="shared" si="170"/>
        <v>00</v>
      </c>
      <c r="AN843" s="219" t="str">
        <f t="shared" si="171"/>
        <v>Salaire du personnel administratif</v>
      </c>
    </row>
    <row r="844" spans="1:40" ht="15" customHeight="1" x14ac:dyDescent="0.3">
      <c r="A844" s="48"/>
      <c r="B844" s="77" t="s">
        <v>1305</v>
      </c>
      <c r="C844" s="78" t="s">
        <v>1306</v>
      </c>
      <c r="D844" s="182" t="s">
        <v>1416</v>
      </c>
      <c r="E844" s="182" t="s">
        <v>1304</v>
      </c>
      <c r="F844" s="182">
        <v>810</v>
      </c>
      <c r="G844" s="182" t="s">
        <v>3</v>
      </c>
      <c r="H844" s="182"/>
      <c r="I844" s="51"/>
      <c r="J844" s="51"/>
      <c r="K844" s="51"/>
      <c r="L844" s="51"/>
      <c r="M844" s="51"/>
      <c r="N844" s="51">
        <f t="shared" si="163"/>
        <v>0</v>
      </c>
      <c r="O844" s="51"/>
      <c r="P844" s="185" t="s">
        <v>1587</v>
      </c>
      <c r="Q844" s="179" t="s">
        <v>1410</v>
      </c>
      <c r="R844" s="179" t="s">
        <v>2138</v>
      </c>
      <c r="S844" s="47" t="s">
        <v>1424</v>
      </c>
      <c r="T844" s="54"/>
      <c r="U844" s="54"/>
      <c r="AA844">
        <f t="shared" si="164"/>
        <v>810</v>
      </c>
      <c r="AD844" t="str">
        <f t="shared" si="165"/>
        <v>301</v>
      </c>
      <c r="AE844">
        <f t="shared" si="166"/>
        <v>0</v>
      </c>
      <c r="AG844" s="50" t="str">
        <f t="shared" si="167"/>
        <v>SERVICE EAUX  SALAIRES</v>
      </c>
      <c r="AH844" s="244" t="str">
        <f t="shared" si="168"/>
        <v>61500</v>
      </c>
      <c r="AI844" s="219"/>
      <c r="AJ844" s="219"/>
      <c r="AK844" s="219" t="str">
        <f t="shared" si="169"/>
        <v>3010</v>
      </c>
      <c r="AL844" s="244" t="str">
        <f t="shared" si="170"/>
        <v>99</v>
      </c>
      <c r="AN844" s="219" t="str">
        <f t="shared" si="171"/>
        <v>Remboursements IJM</v>
      </c>
    </row>
    <row r="845" spans="1:40" ht="15" customHeight="1" x14ac:dyDescent="0.3">
      <c r="A845" s="48">
        <v>0</v>
      </c>
      <c r="B845" s="74" t="s">
        <v>1307</v>
      </c>
      <c r="C845" s="67" t="s">
        <v>1308</v>
      </c>
      <c r="D845" s="188" t="s">
        <v>1416</v>
      </c>
      <c r="E845" s="188" t="s">
        <v>1304</v>
      </c>
      <c r="F845" s="182">
        <v>810</v>
      </c>
      <c r="G845" s="188" t="s">
        <v>16</v>
      </c>
      <c r="H845" s="188"/>
      <c r="I845" s="51">
        <v>2605</v>
      </c>
      <c r="J845" s="51">
        <v>0</v>
      </c>
      <c r="K845" s="51">
        <f>+I845+J845</f>
        <v>2605</v>
      </c>
      <c r="L845" s="51">
        <v>2700</v>
      </c>
      <c r="M845" s="51">
        <v>0</v>
      </c>
      <c r="N845" s="51">
        <f t="shared" si="163"/>
        <v>2700</v>
      </c>
      <c r="O845" s="51">
        <v>1349.75</v>
      </c>
      <c r="P845" s="185" t="s">
        <v>1587</v>
      </c>
      <c r="Q845" s="179" t="s">
        <v>1367</v>
      </c>
      <c r="R845" s="179" t="s">
        <v>2131</v>
      </c>
      <c r="S845" s="52" t="s">
        <v>1378</v>
      </c>
      <c r="T845" s="54">
        <f>+I845</f>
        <v>2605</v>
      </c>
      <c r="U845" s="54"/>
      <c r="AA845">
        <f t="shared" si="164"/>
        <v>810</v>
      </c>
      <c r="AD845" t="str">
        <f t="shared" si="165"/>
        <v>303</v>
      </c>
      <c r="AE845">
        <f t="shared" si="166"/>
        <v>0</v>
      </c>
      <c r="AG845" s="50" t="str">
        <f t="shared" si="167"/>
        <v>SERVICE EAUX  COTISATIONS AVS AC AF</v>
      </c>
      <c r="AH845" s="244" t="str">
        <f t="shared" si="168"/>
        <v>61500</v>
      </c>
      <c r="AI845" s="219"/>
      <c r="AJ845" s="219"/>
      <c r="AK845" s="219" t="str">
        <f t="shared" si="169"/>
        <v>3050</v>
      </c>
      <c r="AL845" s="244" t="str">
        <f t="shared" si="170"/>
        <v>00</v>
      </c>
      <c r="AN845" s="219" t="str">
        <f t="shared" si="171"/>
        <v>Cotisations AVS, AI, APG, AC, frais adm</v>
      </c>
    </row>
    <row r="846" spans="1:40" ht="15" customHeight="1" x14ac:dyDescent="0.3">
      <c r="A846" s="48"/>
      <c r="B846" s="74" t="s">
        <v>1307</v>
      </c>
      <c r="C846" s="67" t="s">
        <v>1308</v>
      </c>
      <c r="D846" s="188" t="s">
        <v>1416</v>
      </c>
      <c r="E846" s="188" t="s">
        <v>1304</v>
      </c>
      <c r="F846" s="182">
        <v>810</v>
      </c>
      <c r="G846" s="188" t="s">
        <v>16</v>
      </c>
      <c r="H846" s="188"/>
      <c r="I846" s="51"/>
      <c r="J846" s="51"/>
      <c r="K846" s="51"/>
      <c r="L846" s="51"/>
      <c r="M846" s="51"/>
      <c r="N846" s="51">
        <f t="shared" ref="N846:N877" si="172">+L846+M846</f>
        <v>0</v>
      </c>
      <c r="O846" s="51"/>
      <c r="P846" s="185" t="s">
        <v>1587</v>
      </c>
      <c r="Q846" s="179" t="s">
        <v>1413</v>
      </c>
      <c r="R846" s="179" t="s">
        <v>2131</v>
      </c>
      <c r="S846" s="52" t="s">
        <v>1414</v>
      </c>
      <c r="T846" s="54"/>
      <c r="U846" s="54"/>
      <c r="AA846">
        <f t="shared" si="164"/>
        <v>810</v>
      </c>
      <c r="AD846" t="str">
        <f t="shared" si="165"/>
        <v>303</v>
      </c>
      <c r="AE846">
        <f t="shared" si="166"/>
        <v>0</v>
      </c>
      <c r="AG846" s="50" t="str">
        <f t="shared" si="167"/>
        <v>SERVICE EAUX  COTISATIONS AVS AC AF</v>
      </c>
      <c r="AH846" s="244" t="str">
        <f t="shared" si="168"/>
        <v>61500</v>
      </c>
      <c r="AI846" s="219"/>
      <c r="AJ846" s="219"/>
      <c r="AK846" s="219" t="str">
        <f t="shared" si="169"/>
        <v>3054</v>
      </c>
      <c r="AL846" s="244" t="str">
        <f t="shared" si="170"/>
        <v>00</v>
      </c>
      <c r="AN846" s="219" t="str">
        <f t="shared" si="171"/>
        <v>Cotisations CAF</v>
      </c>
    </row>
    <row r="847" spans="1:40" ht="15" customHeight="1" x14ac:dyDescent="0.3">
      <c r="A847" s="48">
        <v>0</v>
      </c>
      <c r="B847" s="49" t="s">
        <v>1309</v>
      </c>
      <c r="C847" s="50" t="s">
        <v>1310</v>
      </c>
      <c r="D847" s="46" t="s">
        <v>1416</v>
      </c>
      <c r="E847" s="46" t="s">
        <v>1304</v>
      </c>
      <c r="F847" s="182">
        <v>810</v>
      </c>
      <c r="G847" s="46" t="s">
        <v>38</v>
      </c>
      <c r="H847" s="46"/>
      <c r="I847" s="51">
        <v>1981.45</v>
      </c>
      <c r="J847" s="51">
        <v>0</v>
      </c>
      <c r="K847" s="51">
        <f>+I847+J847</f>
        <v>1981.45</v>
      </c>
      <c r="L847" s="51">
        <v>2405</v>
      </c>
      <c r="M847" s="51">
        <v>0</v>
      </c>
      <c r="N847" s="51">
        <f t="shared" si="172"/>
        <v>2405</v>
      </c>
      <c r="O847" s="51">
        <v>1470.4</v>
      </c>
      <c r="P847" s="185" t="s">
        <v>1587</v>
      </c>
      <c r="Q847" s="179" t="s">
        <v>1386</v>
      </c>
      <c r="R847" s="179" t="s">
        <v>2131</v>
      </c>
      <c r="S847" s="52" t="s">
        <v>1387</v>
      </c>
      <c r="T847" s="54">
        <f>+I847</f>
        <v>1981.45</v>
      </c>
      <c r="U847" s="54"/>
      <c r="AA847">
        <f t="shared" si="164"/>
        <v>810</v>
      </c>
      <c r="AD847" t="str">
        <f t="shared" si="165"/>
        <v>304</v>
      </c>
      <c r="AE847">
        <f t="shared" si="166"/>
        <v>0</v>
      </c>
      <c r="AG847" s="50" t="str">
        <f t="shared" si="167"/>
        <v>SERVICE EAUX  CAISSE PREVOYANCE LPP</v>
      </c>
      <c r="AH847" s="244" t="str">
        <f t="shared" si="168"/>
        <v>61500</v>
      </c>
      <c r="AI847" s="219"/>
      <c r="AJ847" s="219"/>
      <c r="AK847" s="219" t="str">
        <f t="shared" si="169"/>
        <v>3052</v>
      </c>
      <c r="AL847" s="244" t="str">
        <f t="shared" si="170"/>
        <v>00</v>
      </c>
      <c r="AN847" s="219" t="str">
        <f t="shared" si="171"/>
        <v>Cotisations patronales aux caisses de pensions</v>
      </c>
    </row>
    <row r="848" spans="1:40" ht="15" customHeight="1" x14ac:dyDescent="0.3">
      <c r="A848" s="48">
        <v>0</v>
      </c>
      <c r="B848" s="49" t="s">
        <v>1311</v>
      </c>
      <c r="C848" s="50" t="s">
        <v>1312</v>
      </c>
      <c r="D848" s="46" t="s">
        <v>1416</v>
      </c>
      <c r="E848" s="46" t="s">
        <v>1304</v>
      </c>
      <c r="F848" s="182">
        <v>810</v>
      </c>
      <c r="G848" s="46" t="s">
        <v>19</v>
      </c>
      <c r="H848" s="46"/>
      <c r="I848" s="51">
        <v>798.4</v>
      </c>
      <c r="J848" s="51">
        <v>0</v>
      </c>
      <c r="K848" s="51">
        <f>+I848+J848</f>
        <v>798.4</v>
      </c>
      <c r="L848" s="51">
        <v>785</v>
      </c>
      <c r="M848" s="51">
        <v>0</v>
      </c>
      <c r="N848" s="51">
        <f t="shared" si="172"/>
        <v>785</v>
      </c>
      <c r="O848" s="51">
        <v>423.5</v>
      </c>
      <c r="P848" s="185" t="s">
        <v>1587</v>
      </c>
      <c r="Q848" s="179" t="s">
        <v>1375</v>
      </c>
      <c r="R848" s="179" t="s">
        <v>2131</v>
      </c>
      <c r="S848" s="52" t="s">
        <v>1379</v>
      </c>
      <c r="T848" s="54">
        <f>+I848</f>
        <v>798.4</v>
      </c>
      <c r="U848" s="54"/>
      <c r="AA848">
        <f t="shared" si="164"/>
        <v>810</v>
      </c>
      <c r="AD848" t="str">
        <f t="shared" si="165"/>
        <v>305</v>
      </c>
      <c r="AE848">
        <f t="shared" si="166"/>
        <v>0</v>
      </c>
      <c r="AG848" s="50" t="str">
        <f t="shared" si="167"/>
        <v>SERVICE EAUX  ASS ACCIDENTS et MALADIE</v>
      </c>
      <c r="AH848" s="244" t="str">
        <f t="shared" si="168"/>
        <v>61500</v>
      </c>
      <c r="AI848" s="219"/>
      <c r="AJ848" s="219"/>
      <c r="AK848" s="219" t="str">
        <f t="shared" si="169"/>
        <v>3053</v>
      </c>
      <c r="AL848" s="244" t="str">
        <f t="shared" si="170"/>
        <v>00</v>
      </c>
      <c r="AN848" s="219" t="str">
        <f t="shared" si="171"/>
        <v>Cotisations patronales aux assurance-accidents</v>
      </c>
    </row>
    <row r="849" spans="1:40" ht="15" customHeight="1" x14ac:dyDescent="0.3">
      <c r="A849" s="48">
        <v>0</v>
      </c>
      <c r="B849" s="77" t="s">
        <v>1313</v>
      </c>
      <c r="C849" s="78" t="s">
        <v>1314</v>
      </c>
      <c r="D849" s="182" t="s">
        <v>1416</v>
      </c>
      <c r="E849" s="46" t="s">
        <v>1304</v>
      </c>
      <c r="F849" s="182">
        <v>810</v>
      </c>
      <c r="G849" s="46" t="s">
        <v>22</v>
      </c>
      <c r="H849" s="46"/>
      <c r="I849" s="51">
        <v>0</v>
      </c>
      <c r="J849" s="51">
        <v>0</v>
      </c>
      <c r="K849" s="51">
        <f>+I849+J849</f>
        <v>0</v>
      </c>
      <c r="L849" s="51">
        <v>3000</v>
      </c>
      <c r="M849" s="51">
        <v>0</v>
      </c>
      <c r="N849" s="51">
        <f t="shared" si="172"/>
        <v>3000</v>
      </c>
      <c r="O849" s="51">
        <v>18.899999999999999</v>
      </c>
      <c r="P849" s="185" t="s">
        <v>1587</v>
      </c>
      <c r="Q849" s="179" t="s">
        <v>1410</v>
      </c>
      <c r="R849" s="179" t="s">
        <v>2131</v>
      </c>
      <c r="S849" s="52" t="s">
        <v>1411</v>
      </c>
      <c r="T849" s="54">
        <f>+I849</f>
        <v>0</v>
      </c>
      <c r="U849" s="54"/>
      <c r="W849" t="s">
        <v>2122</v>
      </c>
      <c r="AA849">
        <f t="shared" si="164"/>
        <v>810</v>
      </c>
      <c r="AD849" t="str">
        <f t="shared" si="165"/>
        <v>306</v>
      </c>
      <c r="AE849">
        <f t="shared" si="166"/>
        <v>0</v>
      </c>
      <c r="AG849" s="50" t="str">
        <f t="shared" si="167"/>
        <v>SERVICE EAUX  INDEMNISATION ET REMBOURSEMENT</v>
      </c>
      <c r="AH849" s="244" t="str">
        <f t="shared" si="168"/>
        <v>61500</v>
      </c>
      <c r="AI849" s="219"/>
      <c r="AJ849" s="219"/>
      <c r="AK849" s="219" t="str">
        <f t="shared" si="169"/>
        <v>3010</v>
      </c>
      <c r="AL849" s="244" t="str">
        <f t="shared" si="170"/>
        <v>00</v>
      </c>
      <c r="AN849" s="219" t="str">
        <f t="shared" si="171"/>
        <v>Salaire du personnel administratif</v>
      </c>
    </row>
    <row r="850" spans="1:40" ht="15" customHeight="1" x14ac:dyDescent="0.3">
      <c r="A850" s="48"/>
      <c r="B850" s="77" t="s">
        <v>1313</v>
      </c>
      <c r="C850" s="78" t="s">
        <v>1314</v>
      </c>
      <c r="D850" s="182" t="s">
        <v>1416</v>
      </c>
      <c r="E850" s="46"/>
      <c r="F850" s="182">
        <v>810</v>
      </c>
      <c r="G850" s="46">
        <v>306</v>
      </c>
      <c r="H850" s="46"/>
      <c r="I850" s="51"/>
      <c r="J850" s="51"/>
      <c r="K850" s="51"/>
      <c r="L850" s="51"/>
      <c r="M850" s="51"/>
      <c r="N850" s="51">
        <f t="shared" si="172"/>
        <v>0</v>
      </c>
      <c r="O850" s="51"/>
      <c r="P850" s="185" t="s">
        <v>1587</v>
      </c>
      <c r="Q850" s="179" t="s">
        <v>1540</v>
      </c>
      <c r="R850" s="179" t="s">
        <v>2131</v>
      </c>
      <c r="S850" s="52" t="s">
        <v>1543</v>
      </c>
      <c r="T850" s="54"/>
      <c r="U850" s="54"/>
      <c r="AA850">
        <f t="shared" si="164"/>
        <v>810</v>
      </c>
      <c r="AD850">
        <f t="shared" si="165"/>
        <v>306</v>
      </c>
      <c r="AE850">
        <f t="shared" si="166"/>
        <v>0</v>
      </c>
      <c r="AG850" s="50" t="str">
        <f t="shared" si="167"/>
        <v>SERVICE EAUX  INDEMNISATION ET REMBOURSEMENT</v>
      </c>
      <c r="AH850" s="244" t="str">
        <f t="shared" si="168"/>
        <v>61500</v>
      </c>
      <c r="AI850" s="219"/>
      <c r="AJ850" s="219"/>
      <c r="AK850" s="219" t="str">
        <f t="shared" si="169"/>
        <v>3091</v>
      </c>
      <c r="AL850" s="244" t="str">
        <f t="shared" si="170"/>
        <v>00</v>
      </c>
      <c r="AN850" s="219" t="str">
        <f t="shared" si="171"/>
        <v>Recrutement</v>
      </c>
    </row>
    <row r="851" spans="1:40" ht="15" customHeight="1" x14ac:dyDescent="0.3">
      <c r="A851" s="48"/>
      <c r="B851" s="77" t="s">
        <v>1313</v>
      </c>
      <c r="C851" s="78" t="s">
        <v>1314</v>
      </c>
      <c r="D851" s="182" t="s">
        <v>1416</v>
      </c>
      <c r="E851" s="46"/>
      <c r="F851" s="182">
        <v>810</v>
      </c>
      <c r="G851" s="46">
        <v>306</v>
      </c>
      <c r="H851" s="46"/>
      <c r="I851" s="51"/>
      <c r="J851" s="51"/>
      <c r="K851" s="51"/>
      <c r="L851" s="51"/>
      <c r="M851" s="51"/>
      <c r="N851" s="51">
        <f t="shared" si="172"/>
        <v>0</v>
      </c>
      <c r="O851" s="51"/>
      <c r="P851" s="185" t="s">
        <v>1587</v>
      </c>
      <c r="Q851" s="179" t="s">
        <v>1380</v>
      </c>
      <c r="R851" s="179" t="s">
        <v>2131</v>
      </c>
      <c r="S851" s="52" t="s">
        <v>1381</v>
      </c>
      <c r="T851" s="54"/>
      <c r="U851" s="54"/>
      <c r="AA851">
        <f t="shared" si="164"/>
        <v>810</v>
      </c>
      <c r="AD851">
        <f t="shared" si="165"/>
        <v>306</v>
      </c>
      <c r="AE851">
        <f t="shared" si="166"/>
        <v>0</v>
      </c>
      <c r="AG851" s="50" t="str">
        <f t="shared" si="167"/>
        <v>SERVICE EAUX  INDEMNISATION ET REMBOURSEMENT</v>
      </c>
      <c r="AH851" s="244" t="str">
        <f t="shared" si="168"/>
        <v>61500</v>
      </c>
      <c r="AI851" s="219"/>
      <c r="AJ851" s="219"/>
      <c r="AK851" s="219" t="str">
        <f t="shared" si="169"/>
        <v>3099</v>
      </c>
      <c r="AL851" s="244" t="str">
        <f t="shared" si="170"/>
        <v>00</v>
      </c>
      <c r="AN851" s="219" t="str">
        <f t="shared" si="171"/>
        <v>Autres charges du personnel</v>
      </c>
    </row>
    <row r="852" spans="1:40" ht="15" customHeight="1" x14ac:dyDescent="0.3">
      <c r="A852" s="48"/>
      <c r="B852" s="77" t="s">
        <v>1313</v>
      </c>
      <c r="C852" s="78" t="s">
        <v>1314</v>
      </c>
      <c r="D852" s="182" t="s">
        <v>1416</v>
      </c>
      <c r="E852" s="46"/>
      <c r="F852" s="182">
        <v>810</v>
      </c>
      <c r="G852" s="46">
        <v>306</v>
      </c>
      <c r="H852" s="46"/>
      <c r="I852" s="51"/>
      <c r="J852" s="51"/>
      <c r="K852" s="51"/>
      <c r="L852" s="51"/>
      <c r="M852" s="51"/>
      <c r="N852" s="51">
        <f t="shared" si="172"/>
        <v>0</v>
      </c>
      <c r="O852" s="51"/>
      <c r="P852" s="185" t="s">
        <v>1587</v>
      </c>
      <c r="Q852" s="179" t="s">
        <v>1382</v>
      </c>
      <c r="R852" s="179" t="s">
        <v>2131</v>
      </c>
      <c r="S852" s="52" t="s">
        <v>1383</v>
      </c>
      <c r="T852" s="54"/>
      <c r="U852" s="54"/>
      <c r="AA852">
        <f t="shared" si="164"/>
        <v>810</v>
      </c>
      <c r="AD852">
        <f t="shared" si="165"/>
        <v>306</v>
      </c>
      <c r="AE852">
        <f t="shared" si="166"/>
        <v>0</v>
      </c>
      <c r="AG852" s="50" t="str">
        <f t="shared" si="167"/>
        <v>SERVICE EAUX  INDEMNISATION ET REMBOURSEMENT</v>
      </c>
      <c r="AH852" s="244" t="str">
        <f t="shared" si="168"/>
        <v>61500</v>
      </c>
      <c r="AI852" s="219"/>
      <c r="AJ852" s="219"/>
      <c r="AK852" s="219" t="str">
        <f t="shared" si="169"/>
        <v>3049</v>
      </c>
      <c r="AL852" s="244" t="str">
        <f t="shared" si="170"/>
        <v>00</v>
      </c>
      <c r="AN852" s="219" t="str">
        <f t="shared" si="171"/>
        <v>Autres indemnités forfaitaires - natels</v>
      </c>
    </row>
    <row r="853" spans="1:40" ht="15" customHeight="1" x14ac:dyDescent="0.3">
      <c r="A853" s="48"/>
      <c r="B853" s="77" t="s">
        <v>1313</v>
      </c>
      <c r="C853" s="78" t="s">
        <v>1314</v>
      </c>
      <c r="D853" s="182" t="s">
        <v>1416</v>
      </c>
      <c r="E853" s="46"/>
      <c r="F853" s="182">
        <v>810</v>
      </c>
      <c r="G853" s="46">
        <v>306</v>
      </c>
      <c r="H853" s="46"/>
      <c r="I853" s="51"/>
      <c r="J853" s="51"/>
      <c r="K853" s="51"/>
      <c r="L853" s="51"/>
      <c r="M853" s="51"/>
      <c r="N853" s="51">
        <f t="shared" si="172"/>
        <v>0</v>
      </c>
      <c r="O853" s="51"/>
      <c r="P853" s="185" t="s">
        <v>1587</v>
      </c>
      <c r="Q853" s="179" t="s">
        <v>1393</v>
      </c>
      <c r="R853" s="179" t="s">
        <v>2131</v>
      </c>
      <c r="S853" s="52" t="s">
        <v>2073</v>
      </c>
      <c r="T853" s="54"/>
      <c r="U853" s="54"/>
      <c r="AA853">
        <f t="shared" si="164"/>
        <v>810</v>
      </c>
      <c r="AD853">
        <f t="shared" si="165"/>
        <v>306</v>
      </c>
      <c r="AE853">
        <f t="shared" si="166"/>
        <v>0</v>
      </c>
      <c r="AG853" s="50" t="str">
        <f t="shared" si="167"/>
        <v>SERVICE EAUX  INDEMNISATION ET REMBOURSEMENT</v>
      </c>
      <c r="AH853" s="244" t="str">
        <f t="shared" si="168"/>
        <v>61500</v>
      </c>
      <c r="AI853" s="219"/>
      <c r="AJ853" s="219"/>
      <c r="AK853" s="219" t="str">
        <f t="shared" si="169"/>
        <v>3170</v>
      </c>
      <c r="AL853" s="244" t="str">
        <f t="shared" si="170"/>
        <v>00</v>
      </c>
      <c r="AN853" s="219" t="str">
        <f t="shared" si="171"/>
        <v>Remboursements de frais effectifs km</v>
      </c>
    </row>
    <row r="854" spans="1:40" ht="15" customHeight="1" x14ac:dyDescent="0.3">
      <c r="A854" s="48">
        <v>0</v>
      </c>
      <c r="B854" s="49" t="s">
        <v>1315</v>
      </c>
      <c r="C854" s="50" t="s">
        <v>1316</v>
      </c>
      <c r="D854" s="46" t="s">
        <v>1416</v>
      </c>
      <c r="E854" s="46" t="s">
        <v>1304</v>
      </c>
      <c r="F854" s="182">
        <v>810</v>
      </c>
      <c r="G854" s="46" t="s">
        <v>81</v>
      </c>
      <c r="H854" s="46"/>
      <c r="I854" s="51">
        <v>0</v>
      </c>
      <c r="J854" s="51">
        <v>0</v>
      </c>
      <c r="K854" s="51">
        <f t="shared" ref="K854:K883" si="173">+I854+J854</f>
        <v>0</v>
      </c>
      <c r="L854" s="51">
        <v>0</v>
      </c>
      <c r="M854" s="51">
        <v>0</v>
      </c>
      <c r="N854" s="51">
        <f t="shared" si="172"/>
        <v>0</v>
      </c>
      <c r="O854" s="51">
        <v>0</v>
      </c>
      <c r="P854" s="185" t="s">
        <v>1587</v>
      </c>
      <c r="Q854" s="179" t="s">
        <v>1368</v>
      </c>
      <c r="R854" s="179" t="s">
        <v>2131</v>
      </c>
      <c r="S854" s="47" t="s">
        <v>1392</v>
      </c>
      <c r="T854" s="54"/>
      <c r="U854" s="54"/>
      <c r="AA854">
        <f t="shared" si="164"/>
        <v>810</v>
      </c>
      <c r="AD854" t="str">
        <f t="shared" si="165"/>
        <v>309</v>
      </c>
      <c r="AE854">
        <f t="shared" si="166"/>
        <v>0</v>
      </c>
      <c r="AG854" s="50" t="str">
        <f t="shared" si="167"/>
        <v>SERVICE EAUX  COURS ET FORMATION</v>
      </c>
      <c r="AH854" s="244" t="str">
        <f t="shared" si="168"/>
        <v>61500</v>
      </c>
      <c r="AI854" s="219"/>
      <c r="AJ854" s="219"/>
      <c r="AK854" s="219" t="str">
        <f t="shared" si="169"/>
        <v>3090</v>
      </c>
      <c r="AL854" s="244" t="str">
        <f t="shared" si="170"/>
        <v>00</v>
      </c>
      <c r="AN854" s="219" t="str">
        <f t="shared" si="171"/>
        <v>Formation et perfectionnement</v>
      </c>
    </row>
    <row r="855" spans="1:40" ht="15" customHeight="1" x14ac:dyDescent="0.3">
      <c r="A855" s="48">
        <v>0</v>
      </c>
      <c r="B855" s="49" t="s">
        <v>1317</v>
      </c>
      <c r="C855" s="50" t="s">
        <v>1318</v>
      </c>
      <c r="D855" s="46" t="s">
        <v>1416</v>
      </c>
      <c r="E855" s="46" t="s">
        <v>1304</v>
      </c>
      <c r="F855" s="182">
        <v>810</v>
      </c>
      <c r="G855" s="46" t="s">
        <v>25</v>
      </c>
      <c r="H855" s="46"/>
      <c r="I855" s="51">
        <v>4842</v>
      </c>
      <c r="J855" s="51">
        <v>0</v>
      </c>
      <c r="K855" s="51">
        <f t="shared" si="173"/>
        <v>4842</v>
      </c>
      <c r="L855" s="51">
        <v>4200</v>
      </c>
      <c r="M855" s="51">
        <v>0</v>
      </c>
      <c r="N855" s="51">
        <f t="shared" si="172"/>
        <v>4200</v>
      </c>
      <c r="O855" s="51">
        <v>7841.2</v>
      </c>
      <c r="P855" s="179" t="s">
        <v>1568</v>
      </c>
      <c r="Q855" s="179" t="s">
        <v>1426</v>
      </c>
      <c r="R855" s="179" t="s">
        <v>2131</v>
      </c>
      <c r="S855" s="57" t="s">
        <v>2088</v>
      </c>
      <c r="T855" s="54">
        <f>+I855</f>
        <v>4842</v>
      </c>
      <c r="U855" s="54"/>
      <c r="W855" t="s">
        <v>1569</v>
      </c>
      <c r="AA855">
        <f t="shared" si="164"/>
        <v>810</v>
      </c>
      <c r="AD855" t="str">
        <f t="shared" si="165"/>
        <v>311</v>
      </c>
      <c r="AE855">
        <f t="shared" si="166"/>
        <v>0</v>
      </c>
      <c r="AG855" s="50" t="str">
        <f t="shared" si="167"/>
        <v>SERVICE EAUX  ACHATS MACH et MAT COMPTEURS</v>
      </c>
      <c r="AH855" s="244" t="str">
        <f t="shared" si="168"/>
        <v>71000</v>
      </c>
      <c r="AI855" s="219"/>
      <c r="AJ855" s="219"/>
      <c r="AK855" s="219" t="str">
        <f t="shared" si="169"/>
        <v>3101</v>
      </c>
      <c r="AL855" s="244" t="str">
        <f t="shared" si="170"/>
        <v>00</v>
      </c>
      <c r="AN855" s="219" t="str">
        <f t="shared" si="171"/>
        <v>Matériel d'exploitation, petites fournitures - compteurs</v>
      </c>
    </row>
    <row r="856" spans="1:40" ht="15" customHeight="1" x14ac:dyDescent="0.3">
      <c r="A856" s="48">
        <v>0</v>
      </c>
      <c r="B856" s="49" t="s">
        <v>1319</v>
      </c>
      <c r="C856" s="50" t="s">
        <v>1320</v>
      </c>
      <c r="D856" s="46" t="s">
        <v>1416</v>
      </c>
      <c r="E856" s="46" t="s">
        <v>1304</v>
      </c>
      <c r="F856" s="182">
        <v>810</v>
      </c>
      <c r="G856" s="46" t="s">
        <v>159</v>
      </c>
      <c r="H856" s="46"/>
      <c r="I856" s="51">
        <v>10301.6</v>
      </c>
      <c r="J856" s="51">
        <v>0</v>
      </c>
      <c r="K856" s="51">
        <f t="shared" si="173"/>
        <v>10301.6</v>
      </c>
      <c r="L856" s="51">
        <v>13000</v>
      </c>
      <c r="M856" s="51">
        <v>0</v>
      </c>
      <c r="N856" s="51">
        <f t="shared" si="172"/>
        <v>13000</v>
      </c>
      <c r="O856" s="51">
        <v>9335.15</v>
      </c>
      <c r="P856" s="179" t="s">
        <v>1568</v>
      </c>
      <c r="Q856" s="179" t="s">
        <v>1500</v>
      </c>
      <c r="R856" s="179" t="s">
        <v>2132</v>
      </c>
      <c r="S856" s="4" t="s">
        <v>1858</v>
      </c>
      <c r="T856" s="54">
        <f>+I856</f>
        <v>10301.6</v>
      </c>
      <c r="U856" s="54"/>
      <c r="AA856">
        <f t="shared" si="164"/>
        <v>810</v>
      </c>
      <c r="AD856" t="str">
        <f t="shared" si="165"/>
        <v>312</v>
      </c>
      <c r="AE856">
        <f t="shared" si="166"/>
        <v>0</v>
      </c>
      <c r="AG856" s="50" t="str">
        <f t="shared" si="167"/>
        <v>SERVICE EAUX  ACHATS  ELECTRICITE</v>
      </c>
      <c r="AH856" s="244" t="str">
        <f t="shared" si="168"/>
        <v>71000</v>
      </c>
      <c r="AI856" s="219"/>
      <c r="AJ856" s="219"/>
      <c r="AK856" s="219" t="str">
        <f t="shared" si="169"/>
        <v>3120</v>
      </c>
      <c r="AL856" s="244" t="str">
        <f t="shared" si="170"/>
        <v>01</v>
      </c>
      <c r="AN856" s="219" t="str">
        <f t="shared" si="171"/>
        <v>Frais d'électricité PA</v>
      </c>
    </row>
    <row r="857" spans="1:40" ht="15" customHeight="1" x14ac:dyDescent="0.3">
      <c r="A857" s="48">
        <v>0</v>
      </c>
      <c r="B857" s="49" t="s">
        <v>1321</v>
      </c>
      <c r="C857" s="50" t="s">
        <v>1322</v>
      </c>
      <c r="D857" s="46" t="s">
        <v>1416</v>
      </c>
      <c r="E857" s="46" t="s">
        <v>1304</v>
      </c>
      <c r="F857" s="182">
        <v>810</v>
      </c>
      <c r="G857" s="46" t="s">
        <v>159</v>
      </c>
      <c r="H857" s="46">
        <v>1</v>
      </c>
      <c r="I857" s="51">
        <v>72794.7</v>
      </c>
      <c r="J857" s="51">
        <v>0</v>
      </c>
      <c r="K857" s="51">
        <f t="shared" si="173"/>
        <v>72794.7</v>
      </c>
      <c r="L857" s="51">
        <v>90000</v>
      </c>
      <c r="M857" s="51">
        <v>0</v>
      </c>
      <c r="N857" s="51">
        <f t="shared" si="172"/>
        <v>90000</v>
      </c>
      <c r="O857" s="51">
        <v>12296.6</v>
      </c>
      <c r="P857" s="179" t="s">
        <v>1568</v>
      </c>
      <c r="Q857" s="179" t="s">
        <v>1500</v>
      </c>
      <c r="R857" s="179" t="s">
        <v>2133</v>
      </c>
      <c r="S857" s="4" t="s">
        <v>1859</v>
      </c>
      <c r="T857" s="54">
        <f>+I857</f>
        <v>72794.7</v>
      </c>
      <c r="U857" s="54"/>
      <c r="AA857">
        <f t="shared" si="164"/>
        <v>810</v>
      </c>
      <c r="AD857" t="str">
        <f t="shared" si="165"/>
        <v>312</v>
      </c>
      <c r="AE857">
        <f t="shared" si="166"/>
        <v>1</v>
      </c>
      <c r="AG857" s="50" t="str">
        <f t="shared" si="167"/>
        <v>SERVICE EAUX  ACHATS EAU CDG</v>
      </c>
      <c r="AH857" s="244" t="str">
        <f t="shared" si="168"/>
        <v>71000</v>
      </c>
      <c r="AI857" s="219"/>
      <c r="AJ857" s="219"/>
      <c r="AK857" s="219" t="str">
        <f t="shared" si="169"/>
        <v>3120</v>
      </c>
      <c r="AL857" s="244" t="str">
        <f t="shared" si="170"/>
        <v>02</v>
      </c>
      <c r="AN857" s="219" t="str">
        <f t="shared" si="171"/>
        <v>Frais d'eau PA</v>
      </c>
    </row>
    <row r="858" spans="1:40" ht="15" customHeight="1" x14ac:dyDescent="0.3">
      <c r="A858" s="48">
        <v>0</v>
      </c>
      <c r="B858" s="49" t="s">
        <v>1323</v>
      </c>
      <c r="C858" s="50" t="s">
        <v>1324</v>
      </c>
      <c r="D858" s="46" t="s">
        <v>1416</v>
      </c>
      <c r="E858" s="46" t="s">
        <v>1304</v>
      </c>
      <c r="F858" s="182">
        <v>810</v>
      </c>
      <c r="G858" s="46" t="s">
        <v>131</v>
      </c>
      <c r="H858" s="46"/>
      <c r="I858" s="71">
        <v>13756.15</v>
      </c>
      <c r="J858" s="51">
        <v>0</v>
      </c>
      <c r="K858" s="51">
        <f t="shared" si="173"/>
        <v>13756.15</v>
      </c>
      <c r="L858" s="51">
        <v>14000</v>
      </c>
      <c r="M858" s="51">
        <v>0</v>
      </c>
      <c r="N858" s="51">
        <f t="shared" si="172"/>
        <v>14000</v>
      </c>
      <c r="O858" s="51">
        <v>2885.35</v>
      </c>
      <c r="P858" s="179" t="s">
        <v>1568</v>
      </c>
      <c r="Q858" s="179" t="s">
        <v>1570</v>
      </c>
      <c r="R858" s="179" t="s">
        <v>2131</v>
      </c>
      <c r="S858" s="47" t="s">
        <v>1571</v>
      </c>
      <c r="T858" s="72">
        <f>+I858</f>
        <v>13756.15</v>
      </c>
      <c r="U858" s="54"/>
      <c r="AA858">
        <f t="shared" si="164"/>
        <v>810</v>
      </c>
      <c r="AD858" t="str">
        <f t="shared" si="165"/>
        <v>314</v>
      </c>
      <c r="AE858">
        <f t="shared" si="166"/>
        <v>0</v>
      </c>
      <c r="AG858" s="50" t="str">
        <f t="shared" si="167"/>
        <v>SERVICE EAUX  ENTRETIEN STATIONS</v>
      </c>
      <c r="AH858" s="244" t="str">
        <f t="shared" si="168"/>
        <v>71000</v>
      </c>
      <c r="AI858" s="219"/>
      <c r="AJ858" s="219"/>
      <c r="AK858" s="219" t="str">
        <f t="shared" si="169"/>
        <v>3143</v>
      </c>
      <c r="AL858" s="244" t="str">
        <f t="shared" si="170"/>
        <v>00</v>
      </c>
      <c r="AN858" s="219" t="str">
        <f t="shared" si="171"/>
        <v>Entretien autres travaux de genie civil</v>
      </c>
    </row>
    <row r="859" spans="1:40" ht="15" customHeight="1" x14ac:dyDescent="0.3">
      <c r="A859" s="48">
        <v>0</v>
      </c>
      <c r="B859" s="49" t="s">
        <v>1325</v>
      </c>
      <c r="C859" s="50" t="s">
        <v>1326</v>
      </c>
      <c r="D859" s="46" t="s">
        <v>1416</v>
      </c>
      <c r="E859" s="46" t="s">
        <v>1304</v>
      </c>
      <c r="F859" s="182">
        <v>810</v>
      </c>
      <c r="G859" s="46" t="s">
        <v>131</v>
      </c>
      <c r="H859" s="46">
        <v>1</v>
      </c>
      <c r="I859" s="71">
        <v>84222.9</v>
      </c>
      <c r="J859" s="51">
        <v>0</v>
      </c>
      <c r="K859" s="51">
        <f t="shared" si="173"/>
        <v>84222.9</v>
      </c>
      <c r="L859" s="51">
        <v>50000</v>
      </c>
      <c r="M859" s="51">
        <v>0</v>
      </c>
      <c r="N859" s="51">
        <f t="shared" si="172"/>
        <v>50000</v>
      </c>
      <c r="O859" s="51">
        <v>2976.55</v>
      </c>
      <c r="P859" s="179" t="s">
        <v>1568</v>
      </c>
      <c r="Q859" s="179" t="s">
        <v>1570</v>
      </c>
      <c r="R859" s="179" t="s">
        <v>2131</v>
      </c>
      <c r="S859" s="47" t="s">
        <v>1571</v>
      </c>
      <c r="T859" s="72">
        <f>+I859</f>
        <v>84222.9</v>
      </c>
      <c r="U859" s="54"/>
      <c r="AA859">
        <f t="shared" si="164"/>
        <v>810</v>
      </c>
      <c r="AD859" t="str">
        <f t="shared" si="165"/>
        <v>314</v>
      </c>
      <c r="AE859">
        <f t="shared" si="166"/>
        <v>1</v>
      </c>
      <c r="AG859" s="50" t="str">
        <f t="shared" si="167"/>
        <v>SERVICE EAUX  ENTRETIEN RESEAU</v>
      </c>
      <c r="AH859" s="244" t="str">
        <f t="shared" si="168"/>
        <v>71000</v>
      </c>
      <c r="AI859" s="219"/>
      <c r="AJ859" s="219"/>
      <c r="AK859" s="219" t="str">
        <f t="shared" si="169"/>
        <v>3143</v>
      </c>
      <c r="AL859" s="244" t="str">
        <f t="shared" si="170"/>
        <v>00</v>
      </c>
      <c r="AN859" s="219" t="str">
        <f t="shared" si="171"/>
        <v>Entretien autres travaux de genie civil</v>
      </c>
    </row>
    <row r="860" spans="1:40" ht="15" customHeight="1" x14ac:dyDescent="0.3">
      <c r="A860" s="48">
        <v>0</v>
      </c>
      <c r="B860" s="49" t="s">
        <v>1327</v>
      </c>
      <c r="C860" s="50" t="s">
        <v>1328</v>
      </c>
      <c r="D860" s="46" t="s">
        <v>1416</v>
      </c>
      <c r="E860" s="46" t="s">
        <v>1304</v>
      </c>
      <c r="F860" s="182">
        <v>810</v>
      </c>
      <c r="G860" s="46" t="s">
        <v>131</v>
      </c>
      <c r="H860" s="46">
        <v>2</v>
      </c>
      <c r="I860" s="51">
        <v>0</v>
      </c>
      <c r="J860" s="51">
        <v>0</v>
      </c>
      <c r="K860" s="51">
        <f t="shared" si="173"/>
        <v>0</v>
      </c>
      <c r="L860" s="51">
        <v>0</v>
      </c>
      <c r="M860" s="51">
        <v>0</v>
      </c>
      <c r="N860" s="51">
        <f t="shared" si="172"/>
        <v>0</v>
      </c>
      <c r="O860" s="51">
        <v>663.75</v>
      </c>
      <c r="P860" s="179" t="s">
        <v>1568</v>
      </c>
      <c r="Q860" s="179" t="s">
        <v>1570</v>
      </c>
      <c r="R860" s="179" t="s">
        <v>2131</v>
      </c>
      <c r="S860" s="47" t="s">
        <v>1571</v>
      </c>
      <c r="T860" s="54"/>
      <c r="U860" s="54"/>
      <c r="AA860">
        <f t="shared" si="164"/>
        <v>810</v>
      </c>
      <c r="AD860" t="str">
        <f t="shared" si="165"/>
        <v>314</v>
      </c>
      <c r="AE860">
        <f t="shared" si="166"/>
        <v>2</v>
      </c>
      <c r="AG860" s="50" t="str">
        <f t="shared" si="167"/>
        <v>SERVICE EAUX  CONTRAT ENTRETIEN STATIONS</v>
      </c>
      <c r="AH860" s="244" t="str">
        <f t="shared" si="168"/>
        <v>71000</v>
      </c>
      <c r="AI860" s="219"/>
      <c r="AJ860" s="219"/>
      <c r="AK860" s="219" t="str">
        <f t="shared" si="169"/>
        <v>3143</v>
      </c>
      <c r="AL860" s="244" t="str">
        <f t="shared" si="170"/>
        <v>00</v>
      </c>
      <c r="AN860" s="219" t="str">
        <f t="shared" si="171"/>
        <v>Entretien autres travaux de genie civil</v>
      </c>
    </row>
    <row r="861" spans="1:40" ht="15" customHeight="1" x14ac:dyDescent="0.3">
      <c r="A861" s="48">
        <v>0</v>
      </c>
      <c r="B861" s="49" t="s">
        <v>1329</v>
      </c>
      <c r="C861" s="50" t="s">
        <v>1330</v>
      </c>
      <c r="D861" s="46" t="s">
        <v>1416</v>
      </c>
      <c r="E861" s="46" t="s">
        <v>1304</v>
      </c>
      <c r="F861" s="182">
        <v>810</v>
      </c>
      <c r="G861" s="46" t="s">
        <v>48</v>
      </c>
      <c r="H861" s="46"/>
      <c r="I861" s="51">
        <v>4427</v>
      </c>
      <c r="J861" s="51">
        <v>0</v>
      </c>
      <c r="K861" s="51">
        <f t="shared" si="173"/>
        <v>4427</v>
      </c>
      <c r="L861" s="51">
        <v>16200</v>
      </c>
      <c r="M861" s="51">
        <v>0</v>
      </c>
      <c r="N861" s="51">
        <f t="shared" si="172"/>
        <v>16200</v>
      </c>
      <c r="O861" s="51">
        <v>845.25</v>
      </c>
      <c r="P861" s="179" t="s">
        <v>1568</v>
      </c>
      <c r="Q861" s="179" t="s">
        <v>1397</v>
      </c>
      <c r="R861" s="179" t="s">
        <v>2131</v>
      </c>
      <c r="S861" s="47" t="s">
        <v>1400</v>
      </c>
      <c r="T861" s="54">
        <f>+I861</f>
        <v>4427</v>
      </c>
      <c r="U861" s="54"/>
      <c r="AA861">
        <f t="shared" si="164"/>
        <v>810</v>
      </c>
      <c r="AD861" t="str">
        <f t="shared" si="165"/>
        <v>318</v>
      </c>
      <c r="AE861">
        <f t="shared" si="166"/>
        <v>0</v>
      </c>
      <c r="AG861" s="50" t="str">
        <f t="shared" si="167"/>
        <v>SERVICE EAUX  PREST SERVICES ANALYSES EAU ASS et TEL</v>
      </c>
      <c r="AH861" s="244" t="str">
        <f t="shared" si="168"/>
        <v>71000</v>
      </c>
      <c r="AI861" s="219"/>
      <c r="AJ861" s="219"/>
      <c r="AK861" s="219" t="str">
        <f t="shared" si="169"/>
        <v>3132</v>
      </c>
      <c r="AL861" s="244" t="str">
        <f t="shared" si="170"/>
        <v>00</v>
      </c>
      <c r="AN861" s="219" t="str">
        <f t="shared" si="171"/>
        <v>Honoraires conseils externes, spécialistes (avocats, archivistes, …)</v>
      </c>
    </row>
    <row r="862" spans="1:40" ht="15" customHeight="1" x14ac:dyDescent="0.3">
      <c r="A862" s="48">
        <v>0</v>
      </c>
      <c r="B862" s="49" t="s">
        <v>1331</v>
      </c>
      <c r="C862" s="50" t="s">
        <v>1332</v>
      </c>
      <c r="D862" s="46" t="s">
        <v>1416</v>
      </c>
      <c r="E862" s="46" t="s">
        <v>1304</v>
      </c>
      <c r="F862" s="182">
        <v>810</v>
      </c>
      <c r="G862" s="46" t="s">
        <v>93</v>
      </c>
      <c r="H862" s="46"/>
      <c r="I862" s="51">
        <v>415.42</v>
      </c>
      <c r="J862" s="51">
        <v>0</v>
      </c>
      <c r="K862" s="51">
        <f t="shared" si="173"/>
        <v>415.42</v>
      </c>
      <c r="L862" s="51">
        <v>2500</v>
      </c>
      <c r="M862" s="51">
        <v>0</v>
      </c>
      <c r="N862" s="51">
        <f t="shared" si="172"/>
        <v>2500</v>
      </c>
      <c r="O862" s="51">
        <v>0</v>
      </c>
      <c r="P862" s="179" t="s">
        <v>1568</v>
      </c>
      <c r="Q862" s="179" t="s">
        <v>1573</v>
      </c>
      <c r="R862" s="179" t="s">
        <v>2133</v>
      </c>
      <c r="S862" s="47" t="s">
        <v>1786</v>
      </c>
      <c r="T862" s="54">
        <f>+I862</f>
        <v>415.42</v>
      </c>
      <c r="U862" s="54"/>
      <c r="W862" t="s">
        <v>1572</v>
      </c>
      <c r="AA862">
        <f t="shared" si="164"/>
        <v>810</v>
      </c>
      <c r="AD862" t="str">
        <f t="shared" si="165"/>
        <v>319</v>
      </c>
      <c r="AE862">
        <f t="shared" si="166"/>
        <v>0</v>
      </c>
      <c r="AG862" s="50" t="str">
        <f t="shared" si="167"/>
        <v>SERVICE EAUX  FRAIS DIVERS TAXES TVA (au forfait 0.1 %)</v>
      </c>
      <c r="AH862" s="244" t="str">
        <f t="shared" si="168"/>
        <v>71000</v>
      </c>
      <c r="AI862" s="219"/>
      <c r="AJ862" s="219"/>
      <c r="AK862" s="219" t="str">
        <f t="shared" si="169"/>
        <v>3137</v>
      </c>
      <c r="AL862" s="244" t="str">
        <f t="shared" si="170"/>
        <v>02</v>
      </c>
      <c r="AN862" s="219" t="str">
        <f t="shared" si="171"/>
        <v>Impôts, taxes - TVA Pmt</v>
      </c>
    </row>
    <row r="863" spans="1:40" ht="15" customHeight="1" x14ac:dyDescent="0.3">
      <c r="A863" s="48">
        <v>0</v>
      </c>
      <c r="B863" s="49" t="s">
        <v>1333</v>
      </c>
      <c r="C863" s="50" t="s">
        <v>1334</v>
      </c>
      <c r="D863" s="46" t="s">
        <v>1416</v>
      </c>
      <c r="E863" s="46" t="s">
        <v>1304</v>
      </c>
      <c r="F863" s="182">
        <v>810</v>
      </c>
      <c r="G863" s="46" t="s">
        <v>164</v>
      </c>
      <c r="H863" s="46"/>
      <c r="I863" s="51">
        <v>0</v>
      </c>
      <c r="J863" s="51">
        <v>0</v>
      </c>
      <c r="K863" s="51">
        <f t="shared" si="173"/>
        <v>0</v>
      </c>
      <c r="L863" s="51">
        <v>0</v>
      </c>
      <c r="M863" s="51">
        <v>0</v>
      </c>
      <c r="N863" s="51">
        <f t="shared" si="172"/>
        <v>0</v>
      </c>
      <c r="O863" s="51">
        <v>0</v>
      </c>
      <c r="P863" s="179" t="s">
        <v>1489</v>
      </c>
      <c r="Q863" s="179" t="s">
        <v>1489</v>
      </c>
      <c r="R863" s="179" t="s">
        <v>1489</v>
      </c>
      <c r="S863" s="47" t="s">
        <v>1489</v>
      </c>
      <c r="T863" s="54"/>
      <c r="U863" s="54"/>
      <c r="AA863">
        <f t="shared" si="164"/>
        <v>810</v>
      </c>
      <c r="AD863" t="str">
        <f t="shared" si="165"/>
        <v>331</v>
      </c>
      <c r="AE863">
        <f t="shared" si="166"/>
        <v>0</v>
      </c>
      <c r="AG863" s="50" t="str">
        <f t="shared" si="167"/>
        <v>SERVICE EAUX  Amortissements Obligatoire : PatrimAdmin - Instal. SI</v>
      </c>
      <c r="AH863" s="244" t="str">
        <f t="shared" si="168"/>
        <v>-</v>
      </c>
      <c r="AI863" s="219"/>
      <c r="AJ863" s="219"/>
      <c r="AK863" s="219" t="str">
        <f t="shared" si="169"/>
        <v>-</v>
      </c>
      <c r="AL863" s="244" t="str">
        <f t="shared" si="170"/>
        <v>-</v>
      </c>
      <c r="AN863" s="219" t="str">
        <f t="shared" si="171"/>
        <v>-</v>
      </c>
    </row>
    <row r="864" spans="1:40" ht="15" customHeight="1" x14ac:dyDescent="0.3">
      <c r="A864" s="48">
        <v>0</v>
      </c>
      <c r="B864" s="49" t="s">
        <v>1335</v>
      </c>
      <c r="C864" s="50" t="s">
        <v>1336</v>
      </c>
      <c r="D864" s="46" t="s">
        <v>1416</v>
      </c>
      <c r="E864" s="46" t="s">
        <v>1304</v>
      </c>
      <c r="F864" s="182">
        <v>810</v>
      </c>
      <c r="G864" s="46" t="s">
        <v>96</v>
      </c>
      <c r="H864" s="46"/>
      <c r="I864" s="51">
        <v>855598.12</v>
      </c>
      <c r="J864" s="51">
        <v>0</v>
      </c>
      <c r="K864" s="51">
        <f t="shared" si="173"/>
        <v>855598.12</v>
      </c>
      <c r="L864" s="51">
        <v>0</v>
      </c>
      <c r="M864" s="51">
        <v>0</v>
      </c>
      <c r="N864" s="51">
        <f t="shared" si="172"/>
        <v>0</v>
      </c>
      <c r="O864" s="51">
        <v>0</v>
      </c>
      <c r="P864" s="179" t="s">
        <v>1568</v>
      </c>
      <c r="Q864" s="179" t="s">
        <v>1607</v>
      </c>
      <c r="R864" s="179" t="s">
        <v>2139</v>
      </c>
      <c r="S864" s="47" t="s">
        <v>1608</v>
      </c>
      <c r="T864" s="54">
        <f>+I864</f>
        <v>855598.12</v>
      </c>
      <c r="U864" s="54"/>
      <c r="W864" t="s">
        <v>2167</v>
      </c>
      <c r="AA864">
        <f t="shared" si="164"/>
        <v>810</v>
      </c>
      <c r="AD864" t="str">
        <f t="shared" si="165"/>
        <v>332</v>
      </c>
      <c r="AE864">
        <f t="shared" si="166"/>
        <v>0</v>
      </c>
      <c r="AG864" s="50" t="str">
        <f t="shared" si="167"/>
        <v>SERVICE EAUX  AMORT SUPPL P ADM</v>
      </c>
      <c r="AH864" s="244" t="str">
        <f t="shared" si="168"/>
        <v>71000</v>
      </c>
      <c r="AI864" s="219"/>
      <c r="AJ864" s="219"/>
      <c r="AK864" s="219" t="str">
        <f t="shared" si="169"/>
        <v>3301</v>
      </c>
      <c r="AL864" s="244" t="str">
        <f t="shared" si="170"/>
        <v>09</v>
      </c>
      <c r="AN864" s="219" t="str">
        <f t="shared" si="171"/>
        <v>Amortissements non planifiés des immobilisations corporelles PA</v>
      </c>
    </row>
    <row r="865" spans="1:40" ht="15" customHeight="1" x14ac:dyDescent="0.3">
      <c r="A865" s="48">
        <v>0</v>
      </c>
      <c r="B865" s="49" t="s">
        <v>1337</v>
      </c>
      <c r="C865" s="50" t="s">
        <v>1338</v>
      </c>
      <c r="D865" s="46" t="s">
        <v>1416</v>
      </c>
      <c r="E865" s="46" t="s">
        <v>1304</v>
      </c>
      <c r="F865" s="182">
        <v>810</v>
      </c>
      <c r="G865" s="46" t="s">
        <v>5</v>
      </c>
      <c r="H865" s="46"/>
      <c r="I865" s="51">
        <v>25657.599999999999</v>
      </c>
      <c r="J865" s="51">
        <v>0</v>
      </c>
      <c r="K865" s="51">
        <f t="shared" si="173"/>
        <v>25657.599999999999</v>
      </c>
      <c r="L865" s="51">
        <v>25000</v>
      </c>
      <c r="M865" s="51">
        <v>0</v>
      </c>
      <c r="N865" s="51">
        <f t="shared" si="172"/>
        <v>25000</v>
      </c>
      <c r="O865" s="51">
        <v>6389.4</v>
      </c>
      <c r="P865" s="179" t="s">
        <v>1568</v>
      </c>
      <c r="Q865" s="179" t="s">
        <v>1426</v>
      </c>
      <c r="R865" s="179" t="s">
        <v>2132</v>
      </c>
      <c r="S865" s="57" t="s">
        <v>2089</v>
      </c>
      <c r="T865" s="54">
        <f>+I865</f>
        <v>25657.599999999999</v>
      </c>
      <c r="U865" s="54"/>
      <c r="AA865">
        <f t="shared" si="164"/>
        <v>810</v>
      </c>
      <c r="AD865" t="str">
        <f t="shared" si="165"/>
        <v>352</v>
      </c>
      <c r="AE865">
        <f t="shared" si="166"/>
        <v>0</v>
      </c>
      <c r="AG865" s="50" t="str">
        <f t="shared" si="167"/>
        <v>SERVICE EAUX  PART SAPAN</v>
      </c>
      <c r="AH865" s="244" t="str">
        <f t="shared" si="168"/>
        <v>71000</v>
      </c>
      <c r="AI865" s="219"/>
      <c r="AJ865" s="219"/>
      <c r="AK865" s="219" t="str">
        <f t="shared" si="169"/>
        <v>3101</v>
      </c>
      <c r="AL865" s="244" t="str">
        <f t="shared" si="170"/>
        <v>01</v>
      </c>
      <c r="AN865" s="219" t="str">
        <f t="shared" si="171"/>
        <v>Matériel d'exploitation, petites fournitures - SAPAN</v>
      </c>
    </row>
    <row r="866" spans="1:40" ht="15" customHeight="1" x14ac:dyDescent="0.3">
      <c r="A866" s="48">
        <v>0</v>
      </c>
      <c r="B866" s="49" t="s">
        <v>1339</v>
      </c>
      <c r="C866" s="50" t="s">
        <v>1340</v>
      </c>
      <c r="D866" s="46" t="s">
        <v>1416</v>
      </c>
      <c r="E866" s="46" t="s">
        <v>1304</v>
      </c>
      <c r="F866" s="182">
        <v>810</v>
      </c>
      <c r="G866" s="46" t="s">
        <v>5</v>
      </c>
      <c r="H866" s="46">
        <v>1</v>
      </c>
      <c r="I866" s="51">
        <v>65275</v>
      </c>
      <c r="J866" s="51">
        <v>0</v>
      </c>
      <c r="K866" s="51">
        <f t="shared" si="173"/>
        <v>65275</v>
      </c>
      <c r="L866" s="51">
        <v>62000</v>
      </c>
      <c r="M866" s="51">
        <v>0</v>
      </c>
      <c r="N866" s="51">
        <f t="shared" si="172"/>
        <v>62000</v>
      </c>
      <c r="O866" s="51">
        <v>0</v>
      </c>
      <c r="P866" s="179" t="s">
        <v>1568</v>
      </c>
      <c r="Q866" s="179" t="s">
        <v>1398</v>
      </c>
      <c r="R866" s="179" t="s">
        <v>2131</v>
      </c>
      <c r="S866" s="47" t="s">
        <v>2060</v>
      </c>
      <c r="T866" s="54">
        <f>+I866</f>
        <v>65275</v>
      </c>
      <c r="U866" s="54"/>
      <c r="W866" t="s">
        <v>2107</v>
      </c>
      <c r="AA866">
        <f t="shared" si="164"/>
        <v>810</v>
      </c>
      <c r="AD866" t="str">
        <f t="shared" si="165"/>
        <v>352</v>
      </c>
      <c r="AE866">
        <f t="shared" si="166"/>
        <v>1</v>
      </c>
      <c r="AG866" s="50" t="str">
        <f t="shared" si="167"/>
        <v>SERVICE EAUX  FRAIS EXPLOITATION MONTANT</v>
      </c>
      <c r="AH866" s="244" t="str">
        <f t="shared" si="168"/>
        <v>71000</v>
      </c>
      <c r="AI866" s="219"/>
      <c r="AJ866" s="219"/>
      <c r="AK866" s="219" t="str">
        <f t="shared" si="169"/>
        <v>3612</v>
      </c>
      <c r="AL866" s="244" t="str">
        <f t="shared" si="170"/>
        <v>00</v>
      </c>
      <c r="AN866" s="219" t="str">
        <f t="shared" si="171"/>
        <v>Parts aux communes et assoc intercomm - Ville de Gland</v>
      </c>
    </row>
    <row r="867" spans="1:40" ht="15" customHeight="1" x14ac:dyDescent="0.3">
      <c r="A867" s="48">
        <v>0</v>
      </c>
      <c r="B867" s="49" t="s">
        <v>1341</v>
      </c>
      <c r="C867" s="50" t="s">
        <v>1342</v>
      </c>
      <c r="D867" s="46" t="s">
        <v>1416</v>
      </c>
      <c r="E867" s="46" t="s">
        <v>1304</v>
      </c>
      <c r="F867" s="182">
        <v>810</v>
      </c>
      <c r="G867" s="46" t="s">
        <v>138</v>
      </c>
      <c r="H867" s="46"/>
      <c r="I867" s="51">
        <v>97321.43</v>
      </c>
      <c r="J867" s="51">
        <v>0</v>
      </c>
      <c r="K867" s="51">
        <f t="shared" si="173"/>
        <v>97321.43</v>
      </c>
      <c r="L867" s="51">
        <v>0</v>
      </c>
      <c r="M867" s="51">
        <v>0</v>
      </c>
      <c r="N867" s="51">
        <f t="shared" si="172"/>
        <v>0</v>
      </c>
      <c r="O867" s="51">
        <v>0</v>
      </c>
      <c r="P867" s="179" t="s">
        <v>1568</v>
      </c>
      <c r="Q867" s="179" t="s">
        <v>765</v>
      </c>
      <c r="R867" s="179" t="s">
        <v>2131</v>
      </c>
      <c r="S867" s="47" t="s">
        <v>2039</v>
      </c>
      <c r="T867" s="54">
        <f>+I867</f>
        <v>97321.43</v>
      </c>
      <c r="U867" s="54"/>
      <c r="AA867">
        <f t="shared" si="164"/>
        <v>810</v>
      </c>
      <c r="AD867" t="str">
        <f t="shared" si="165"/>
        <v>381</v>
      </c>
      <c r="AE867">
        <f t="shared" si="166"/>
        <v>0</v>
      </c>
      <c r="AG867" s="50" t="str">
        <f t="shared" si="167"/>
        <v>SERVICE EAUX  ATTRIB FINANC SPECIAUX (9280.3)</v>
      </c>
      <c r="AH867" s="244" t="str">
        <f t="shared" si="168"/>
        <v>71000</v>
      </c>
      <c r="AI867" s="219"/>
      <c r="AJ867" s="219"/>
      <c r="AK867" s="219" t="str">
        <f t="shared" si="169"/>
        <v>3510</v>
      </c>
      <c r="AL867" s="244" t="str">
        <f t="shared" si="170"/>
        <v>00</v>
      </c>
      <c r="AN867" s="219" t="str">
        <f t="shared" si="171"/>
        <v>Attributions aux fonds et financements spéciaux</v>
      </c>
    </row>
    <row r="868" spans="1:40" ht="15" customHeight="1" x14ac:dyDescent="0.3">
      <c r="A868" s="48">
        <v>0</v>
      </c>
      <c r="B868" s="49" t="s">
        <v>1343</v>
      </c>
      <c r="C868" s="50" t="s">
        <v>1344</v>
      </c>
      <c r="D868" s="46" t="s">
        <v>1416</v>
      </c>
      <c r="E868" s="46" t="s">
        <v>1304</v>
      </c>
      <c r="F868" s="182">
        <v>810</v>
      </c>
      <c r="G868" s="46" t="s">
        <v>28</v>
      </c>
      <c r="H868" s="46">
        <v>1</v>
      </c>
      <c r="I868" s="51">
        <v>0</v>
      </c>
      <c r="J868" s="51">
        <v>0</v>
      </c>
      <c r="K868" s="51">
        <f t="shared" si="173"/>
        <v>0</v>
      </c>
      <c r="L868" s="51">
        <v>0</v>
      </c>
      <c r="M868" s="51">
        <v>0</v>
      </c>
      <c r="N868" s="51">
        <f t="shared" si="172"/>
        <v>0</v>
      </c>
      <c r="O868" s="51">
        <v>0</v>
      </c>
      <c r="P868" s="179" t="s">
        <v>1489</v>
      </c>
      <c r="Q868" s="179" t="s">
        <v>1489</v>
      </c>
      <c r="R868" s="179" t="s">
        <v>1489</v>
      </c>
      <c r="S868" s="47" t="s">
        <v>1489</v>
      </c>
      <c r="T868" s="54"/>
      <c r="U868" s="54"/>
      <c r="AA868">
        <f t="shared" si="164"/>
        <v>810</v>
      </c>
      <c r="AD868" t="str">
        <f t="shared" si="165"/>
        <v>390</v>
      </c>
      <c r="AE868">
        <f t="shared" si="166"/>
        <v>1</v>
      </c>
      <c r="AG868" s="50" t="str">
        <f t="shared" si="167"/>
        <v>SERVICE EAUX  IMPUTATIONS INT SALAIRES</v>
      </c>
      <c r="AH868" s="244" t="str">
        <f t="shared" si="168"/>
        <v>-</v>
      </c>
      <c r="AI868" s="219"/>
      <c r="AJ868" s="219"/>
      <c r="AK868" s="219" t="str">
        <f t="shared" si="169"/>
        <v>-</v>
      </c>
      <c r="AL868" s="244" t="str">
        <f t="shared" si="170"/>
        <v>-</v>
      </c>
      <c r="AN868" s="219" t="str">
        <f t="shared" si="171"/>
        <v>-</v>
      </c>
    </row>
    <row r="869" spans="1:40" ht="15" customHeight="1" x14ac:dyDescent="0.3">
      <c r="A869" s="48">
        <v>0</v>
      </c>
      <c r="B869" s="49" t="s">
        <v>1345</v>
      </c>
      <c r="C869" s="50" t="s">
        <v>1346</v>
      </c>
      <c r="D869" s="46" t="s">
        <v>1416</v>
      </c>
      <c r="E869" s="46" t="s">
        <v>1304</v>
      </c>
      <c r="F869" s="182">
        <v>810</v>
      </c>
      <c r="G869" s="46" t="s">
        <v>335</v>
      </c>
      <c r="H869" s="46"/>
      <c r="I869" s="51">
        <v>0</v>
      </c>
      <c r="J869" s="51">
        <v>-19469</v>
      </c>
      <c r="K869" s="51">
        <f t="shared" si="173"/>
        <v>-19469</v>
      </c>
      <c r="L869" s="51">
        <v>0</v>
      </c>
      <c r="M869" s="51">
        <v>-20000</v>
      </c>
      <c r="N869" s="51">
        <f t="shared" si="172"/>
        <v>-20000</v>
      </c>
      <c r="O869" s="51">
        <v>-60</v>
      </c>
      <c r="P869" s="179" t="s">
        <v>1568</v>
      </c>
      <c r="Q869" s="179" t="s">
        <v>1487</v>
      </c>
      <c r="R869" s="179" t="s">
        <v>2131</v>
      </c>
      <c r="S869" s="47" t="s">
        <v>1575</v>
      </c>
      <c r="T869" s="54">
        <f t="shared" ref="T869:T874" si="174">+J869</f>
        <v>-19469</v>
      </c>
      <c r="U869" s="54"/>
      <c r="AA869">
        <f t="shared" si="164"/>
        <v>810</v>
      </c>
      <c r="AD869" t="str">
        <f t="shared" si="165"/>
        <v>427</v>
      </c>
      <c r="AE869">
        <f t="shared" si="166"/>
        <v>0</v>
      </c>
      <c r="AG869" s="50" t="str">
        <f t="shared" si="167"/>
        <v>SERVICE EAUX  ABONNEMENTS</v>
      </c>
      <c r="AH869" s="244" t="str">
        <f t="shared" si="168"/>
        <v>71000</v>
      </c>
      <c r="AI869" s="219"/>
      <c r="AJ869" s="219"/>
      <c r="AK869" s="219" t="str">
        <f t="shared" si="169"/>
        <v>4240</v>
      </c>
      <c r="AL869" s="244" t="str">
        <f t="shared" si="170"/>
        <v>00</v>
      </c>
      <c r="AN869" s="219" t="str">
        <f t="shared" si="171"/>
        <v>Taxes d'utilisation et prestations de service - abonnement</v>
      </c>
    </row>
    <row r="870" spans="1:40" ht="15" customHeight="1" x14ac:dyDescent="0.3">
      <c r="A870" s="48">
        <v>0</v>
      </c>
      <c r="B870" s="49" t="s">
        <v>1347</v>
      </c>
      <c r="C870" s="50" t="s">
        <v>1348</v>
      </c>
      <c r="D870" s="46" t="s">
        <v>1416</v>
      </c>
      <c r="E870" s="46" t="s">
        <v>1304</v>
      </c>
      <c r="F870" s="182">
        <v>810</v>
      </c>
      <c r="G870" s="46" t="s">
        <v>1096</v>
      </c>
      <c r="H870" s="46"/>
      <c r="I870" s="51">
        <v>0</v>
      </c>
      <c r="J870" s="51">
        <v>-11068.25</v>
      </c>
      <c r="K870" s="51">
        <f t="shared" si="173"/>
        <v>-11068.25</v>
      </c>
      <c r="L870" s="51">
        <v>0</v>
      </c>
      <c r="M870" s="51">
        <v>-7300</v>
      </c>
      <c r="N870" s="51">
        <f t="shared" si="172"/>
        <v>-7300</v>
      </c>
      <c r="O870" s="51">
        <v>-65.05</v>
      </c>
      <c r="P870" s="179" t="s">
        <v>1568</v>
      </c>
      <c r="Q870" s="179" t="s">
        <v>1787</v>
      </c>
      <c r="R870" s="179" t="s">
        <v>2133</v>
      </c>
      <c r="S870" s="47" t="s">
        <v>1574</v>
      </c>
      <c r="T870" s="54">
        <f t="shared" si="174"/>
        <v>-11068.25</v>
      </c>
      <c r="U870" s="54"/>
      <c r="W870" t="s">
        <v>1779</v>
      </c>
      <c r="AA870">
        <f t="shared" si="164"/>
        <v>810</v>
      </c>
      <c r="AD870" t="str">
        <f t="shared" si="165"/>
        <v>430</v>
      </c>
      <c r="AE870">
        <f t="shared" si="166"/>
        <v>0</v>
      </c>
      <c r="AG870" s="50" t="str">
        <f t="shared" si="167"/>
        <v>SERVICE EAUX  TVA N0 CH-112.667.312 (au forfait 2.5 %)</v>
      </c>
      <c r="AH870" s="244" t="str">
        <f t="shared" si="168"/>
        <v>71000</v>
      </c>
      <c r="AI870" s="219"/>
      <c r="AJ870" s="219"/>
      <c r="AK870" s="219" t="str">
        <f t="shared" si="169"/>
        <v>4290</v>
      </c>
      <c r="AL870" s="244" t="str">
        <f t="shared" si="170"/>
        <v>02</v>
      </c>
      <c r="AN870" s="219" t="str">
        <f t="shared" si="171"/>
        <v>Impôts, taxes - TVA</v>
      </c>
    </row>
    <row r="871" spans="1:40" ht="15" customHeight="1" x14ac:dyDescent="0.3">
      <c r="A871" s="48">
        <v>0</v>
      </c>
      <c r="B871" s="49" t="s">
        <v>1349</v>
      </c>
      <c r="C871" s="50" t="s">
        <v>1350</v>
      </c>
      <c r="D871" s="46" t="s">
        <v>1416</v>
      </c>
      <c r="E871" s="46" t="s">
        <v>1304</v>
      </c>
      <c r="F871" s="182">
        <v>810</v>
      </c>
      <c r="G871" s="46" t="s">
        <v>338</v>
      </c>
      <c r="H871" s="46"/>
      <c r="I871" s="51">
        <v>0</v>
      </c>
      <c r="J871" s="51">
        <v>-129119.7</v>
      </c>
      <c r="K871" s="51">
        <f t="shared" si="173"/>
        <v>-129119.7</v>
      </c>
      <c r="L871" s="51">
        <v>0</v>
      </c>
      <c r="M871" s="51">
        <v>0</v>
      </c>
      <c r="N871" s="51">
        <f t="shared" si="172"/>
        <v>0</v>
      </c>
      <c r="O871" s="51">
        <v>-135</v>
      </c>
      <c r="P871" s="179" t="s">
        <v>1568</v>
      </c>
      <c r="Q871" s="179" t="s">
        <v>1487</v>
      </c>
      <c r="R871" s="179" t="s">
        <v>2132</v>
      </c>
      <c r="S871" s="47" t="s">
        <v>1576</v>
      </c>
      <c r="T871" s="54">
        <f t="shared" si="174"/>
        <v>-129119.7</v>
      </c>
      <c r="U871" s="54"/>
      <c r="W871" t="s">
        <v>1778</v>
      </c>
      <c r="AA871">
        <f t="shared" si="164"/>
        <v>810</v>
      </c>
      <c r="AD871" t="str">
        <f t="shared" si="165"/>
        <v>434</v>
      </c>
      <c r="AE871">
        <f t="shared" si="166"/>
        <v>0</v>
      </c>
      <c r="AG871" s="50" t="str">
        <f t="shared" si="167"/>
        <v>SERVICE EAUX  TAXES RACCORDEMENT EAU</v>
      </c>
      <c r="AH871" s="244" t="str">
        <f t="shared" si="168"/>
        <v>71000</v>
      </c>
      <c r="AI871" s="219"/>
      <c r="AJ871" s="219"/>
      <c r="AK871" s="219" t="str">
        <f t="shared" si="169"/>
        <v>4240</v>
      </c>
      <c r="AL871" s="244" t="str">
        <f t="shared" si="170"/>
        <v>01</v>
      </c>
      <c r="AN871" s="219" t="str">
        <f t="shared" si="171"/>
        <v>Taxes d'utilisation et prestations de service - raccordement</v>
      </c>
    </row>
    <row r="872" spans="1:40" ht="15" customHeight="1" x14ac:dyDescent="0.3">
      <c r="A872" s="48">
        <v>0</v>
      </c>
      <c r="B872" s="49" t="s">
        <v>1351</v>
      </c>
      <c r="C872" s="50" t="s">
        <v>1352</v>
      </c>
      <c r="D872" s="46" t="s">
        <v>1416</v>
      </c>
      <c r="E872" s="46" t="s">
        <v>1304</v>
      </c>
      <c r="F872" s="182">
        <v>810</v>
      </c>
      <c r="G872" s="46" t="s">
        <v>58</v>
      </c>
      <c r="H872" s="46"/>
      <c r="I872" s="51">
        <v>0</v>
      </c>
      <c r="J872" s="51">
        <v>-176339.1</v>
      </c>
      <c r="K872" s="51">
        <f t="shared" si="173"/>
        <v>-176339.1</v>
      </c>
      <c r="L872" s="51">
        <v>0</v>
      </c>
      <c r="M872" s="51">
        <v>-160000</v>
      </c>
      <c r="N872" s="51">
        <f t="shared" si="172"/>
        <v>-160000</v>
      </c>
      <c r="O872" s="51">
        <v>-2019</v>
      </c>
      <c r="P872" s="179" t="s">
        <v>1568</v>
      </c>
      <c r="Q872" s="179" t="s">
        <v>1487</v>
      </c>
      <c r="R872" s="179" t="s">
        <v>2133</v>
      </c>
      <c r="S872" s="47" t="s">
        <v>1577</v>
      </c>
      <c r="T872" s="54">
        <f t="shared" si="174"/>
        <v>-176339.1</v>
      </c>
      <c r="U872" s="54"/>
      <c r="W872" t="s">
        <v>1778</v>
      </c>
      <c r="AA872">
        <f t="shared" si="164"/>
        <v>810</v>
      </c>
      <c r="AD872" t="str">
        <f t="shared" si="165"/>
        <v>435</v>
      </c>
      <c r="AE872">
        <f t="shared" si="166"/>
        <v>0</v>
      </c>
      <c r="AG872" s="50" t="str">
        <f t="shared" si="167"/>
        <v>SERVICE EAUX  VENTE EAU (TVA CHE 112.667.312 / 0.1 %)</v>
      </c>
      <c r="AH872" s="244" t="str">
        <f t="shared" si="168"/>
        <v>71000</v>
      </c>
      <c r="AI872" s="219"/>
      <c r="AJ872" s="219"/>
      <c r="AK872" s="219" t="str">
        <f t="shared" si="169"/>
        <v>4240</v>
      </c>
      <c r="AL872" s="244" t="str">
        <f t="shared" si="170"/>
        <v>02</v>
      </c>
      <c r="AN872" s="219" t="str">
        <f t="shared" si="171"/>
        <v>Taxes d'utilisation et prestations de service - vente eau</v>
      </c>
    </row>
    <row r="873" spans="1:40" ht="15" customHeight="1" x14ac:dyDescent="0.3">
      <c r="A873" s="48">
        <v>0</v>
      </c>
      <c r="B873" s="49" t="s">
        <v>1353</v>
      </c>
      <c r="C873" s="50" t="s">
        <v>1354</v>
      </c>
      <c r="D873" s="46" t="s">
        <v>1416</v>
      </c>
      <c r="E873" s="46" t="s">
        <v>1304</v>
      </c>
      <c r="F873" s="182">
        <v>810</v>
      </c>
      <c r="G873" s="46" t="s">
        <v>58</v>
      </c>
      <c r="H873" s="46">
        <v>1</v>
      </c>
      <c r="I873" s="51">
        <v>0</v>
      </c>
      <c r="J873" s="51">
        <v>-70830</v>
      </c>
      <c r="K873" s="51">
        <f t="shared" si="173"/>
        <v>-70830</v>
      </c>
      <c r="L873" s="51">
        <v>0</v>
      </c>
      <c r="M873" s="51">
        <v>-90000</v>
      </c>
      <c r="N873" s="51">
        <f t="shared" si="172"/>
        <v>-90000</v>
      </c>
      <c r="O873" s="51">
        <v>0</v>
      </c>
      <c r="P873" s="179" t="s">
        <v>1568</v>
      </c>
      <c r="Q873" s="179" t="s">
        <v>1487</v>
      </c>
      <c r="R873" s="179" t="s">
        <v>2134</v>
      </c>
      <c r="S873" s="47" t="s">
        <v>1578</v>
      </c>
      <c r="T873" s="54">
        <f t="shared" si="174"/>
        <v>-70830</v>
      </c>
      <c r="U873" s="54"/>
      <c r="W873" t="s">
        <v>1778</v>
      </c>
      <c r="AA873">
        <f t="shared" si="164"/>
        <v>810</v>
      </c>
      <c r="AD873" t="str">
        <f t="shared" si="165"/>
        <v>435</v>
      </c>
      <c r="AE873">
        <f t="shared" si="166"/>
        <v>1</v>
      </c>
      <c r="AG873" s="50" t="str">
        <f t="shared" si="167"/>
        <v>SERVICE EAUX  VENTE EAU CDG (TVA CHE 112.667.312 0.1 %)</v>
      </c>
      <c r="AH873" s="244" t="str">
        <f t="shared" si="168"/>
        <v>71000</v>
      </c>
      <c r="AI873" s="219"/>
      <c r="AJ873" s="219"/>
      <c r="AK873" s="219" t="str">
        <f t="shared" si="169"/>
        <v>4240</v>
      </c>
      <c r="AL873" s="244" t="str">
        <f t="shared" si="170"/>
        <v>03</v>
      </c>
      <c r="AN873" s="219" t="str">
        <f t="shared" si="171"/>
        <v>Taxes d'utilisation et prestations de service - vente eau CDG</v>
      </c>
    </row>
    <row r="874" spans="1:40" ht="15" customHeight="1" x14ac:dyDescent="0.3">
      <c r="A874" s="48">
        <v>0</v>
      </c>
      <c r="B874" s="49" t="s">
        <v>1355</v>
      </c>
      <c r="C874" s="50" t="s">
        <v>1356</v>
      </c>
      <c r="D874" s="46" t="s">
        <v>1416</v>
      </c>
      <c r="E874" s="46" t="s">
        <v>1304</v>
      </c>
      <c r="F874" s="182">
        <v>810</v>
      </c>
      <c r="G874" s="46" t="s">
        <v>61</v>
      </c>
      <c r="H874" s="46"/>
      <c r="I874" s="51">
        <v>0</v>
      </c>
      <c r="J874" s="51">
        <v>-5345.25</v>
      </c>
      <c r="K874" s="51">
        <f t="shared" si="173"/>
        <v>-5345.25</v>
      </c>
      <c r="L874" s="51">
        <v>0</v>
      </c>
      <c r="M874" s="51">
        <v>0</v>
      </c>
      <c r="N874" s="51">
        <f t="shared" si="172"/>
        <v>0</v>
      </c>
      <c r="O874" s="51">
        <v>0</v>
      </c>
      <c r="P874" s="179" t="s">
        <v>1568</v>
      </c>
      <c r="Q874" s="179" t="s">
        <v>1580</v>
      </c>
      <c r="R874" s="179" t="s">
        <v>2131</v>
      </c>
      <c r="S874" s="47" t="s">
        <v>2074</v>
      </c>
      <c r="T874" s="54">
        <f t="shared" si="174"/>
        <v>-5345.25</v>
      </c>
      <c r="U874" s="54"/>
      <c r="W874" t="s">
        <v>1900</v>
      </c>
      <c r="AA874">
        <f t="shared" si="164"/>
        <v>810</v>
      </c>
      <c r="AD874" t="str">
        <f t="shared" si="165"/>
        <v>436</v>
      </c>
      <c r="AE874">
        <f t="shared" si="166"/>
        <v>0</v>
      </c>
      <c r="AG874" s="50" t="str">
        <f t="shared" si="167"/>
        <v>SERVICE EAUX   PART DE TIERS ASS.</v>
      </c>
      <c r="AH874" s="244" t="str">
        <f t="shared" si="168"/>
        <v>71000</v>
      </c>
      <c r="AI874" s="219"/>
      <c r="AJ874" s="219"/>
      <c r="AK874" s="219" t="str">
        <f t="shared" si="169"/>
        <v>4260</v>
      </c>
      <c r="AL874" s="244" t="str">
        <f t="shared" si="170"/>
        <v>00</v>
      </c>
      <c r="AN874" s="219" t="str">
        <f t="shared" si="171"/>
        <v>Remboursements et participation de tiers</v>
      </c>
    </row>
    <row r="875" spans="1:40" ht="15" customHeight="1" x14ac:dyDescent="0.3">
      <c r="A875" s="48">
        <v>0</v>
      </c>
      <c r="B875" s="49" t="s">
        <v>1357</v>
      </c>
      <c r="C875" s="50" t="s">
        <v>1358</v>
      </c>
      <c r="D875" s="46" t="s">
        <v>1416</v>
      </c>
      <c r="E875" s="46" t="s">
        <v>1304</v>
      </c>
      <c r="F875" s="182">
        <v>810</v>
      </c>
      <c r="G875" s="46" t="s">
        <v>345</v>
      </c>
      <c r="H875" s="46"/>
      <c r="I875" s="51">
        <v>0</v>
      </c>
      <c r="J875" s="51">
        <v>0</v>
      </c>
      <c r="K875" s="51">
        <f t="shared" si="173"/>
        <v>0</v>
      </c>
      <c r="L875" s="51">
        <v>0</v>
      </c>
      <c r="M875" s="51">
        <v>0</v>
      </c>
      <c r="N875" s="51">
        <f t="shared" si="172"/>
        <v>0</v>
      </c>
      <c r="O875" s="51">
        <v>0</v>
      </c>
      <c r="P875" s="179" t="s">
        <v>1489</v>
      </c>
      <c r="Q875" s="179" t="s">
        <v>1489</v>
      </c>
      <c r="R875" s="179" t="s">
        <v>1489</v>
      </c>
      <c r="S875" s="47" t="s">
        <v>1489</v>
      </c>
      <c r="T875" s="54"/>
      <c r="U875" s="54"/>
      <c r="AA875">
        <f t="shared" si="164"/>
        <v>810</v>
      </c>
      <c r="AD875" t="str">
        <f t="shared" si="165"/>
        <v>452</v>
      </c>
      <c r="AE875">
        <f t="shared" si="166"/>
        <v>0</v>
      </c>
      <c r="AG875" s="50" t="str">
        <f t="shared" si="167"/>
        <v>SERVICE EAUX  PARTICIPATION DE COMMUNES, ASSOC. + REMBOURSEMENT</v>
      </c>
      <c r="AH875" s="244" t="str">
        <f t="shared" si="168"/>
        <v>-</v>
      </c>
      <c r="AI875" s="219"/>
      <c r="AJ875" s="219"/>
      <c r="AK875" s="219" t="str">
        <f t="shared" si="169"/>
        <v>-</v>
      </c>
      <c r="AL875" s="244" t="str">
        <f t="shared" si="170"/>
        <v>-</v>
      </c>
      <c r="AN875" s="219" t="str">
        <f t="shared" si="171"/>
        <v>-</v>
      </c>
    </row>
    <row r="876" spans="1:40" ht="15" customHeight="1" x14ac:dyDescent="0.3">
      <c r="A876" s="48">
        <v>0</v>
      </c>
      <c r="B876" s="49" t="s">
        <v>1359</v>
      </c>
      <c r="C876" s="50" t="s">
        <v>1360</v>
      </c>
      <c r="D876" s="46" t="s">
        <v>1416</v>
      </c>
      <c r="E876" s="46" t="s">
        <v>1304</v>
      </c>
      <c r="F876" s="182">
        <v>810</v>
      </c>
      <c r="G876" s="46" t="s">
        <v>351</v>
      </c>
      <c r="H876" s="46"/>
      <c r="I876" s="51">
        <v>0</v>
      </c>
      <c r="J876" s="51">
        <v>-3243</v>
      </c>
      <c r="K876" s="51">
        <f t="shared" si="173"/>
        <v>-3243</v>
      </c>
      <c r="L876" s="51">
        <v>0</v>
      </c>
      <c r="M876" s="51">
        <v>0</v>
      </c>
      <c r="N876" s="51">
        <f t="shared" si="172"/>
        <v>0</v>
      </c>
      <c r="O876" s="51">
        <v>0</v>
      </c>
      <c r="P876" s="179" t="s">
        <v>1568</v>
      </c>
      <c r="Q876" s="179" t="s">
        <v>1580</v>
      </c>
      <c r="R876" s="179" t="s">
        <v>2131</v>
      </c>
      <c r="S876" s="47" t="s">
        <v>2074</v>
      </c>
      <c r="T876" s="54">
        <f>+J876+J875</f>
        <v>-3243</v>
      </c>
      <c r="U876" s="54"/>
      <c r="W876" t="s">
        <v>1579</v>
      </c>
      <c r="AA876">
        <f t="shared" si="164"/>
        <v>810</v>
      </c>
      <c r="AD876" t="str">
        <f t="shared" si="165"/>
        <v>465</v>
      </c>
      <c r="AE876">
        <f t="shared" si="166"/>
        <v>0</v>
      </c>
      <c r="AG876" s="50" t="str">
        <f t="shared" si="167"/>
        <v>SERVICE EAUX  SUBSIDES ECA</v>
      </c>
      <c r="AH876" s="244" t="str">
        <f t="shared" si="168"/>
        <v>71000</v>
      </c>
      <c r="AI876" s="219"/>
      <c r="AJ876" s="219"/>
      <c r="AK876" s="219" t="str">
        <f t="shared" si="169"/>
        <v>4260</v>
      </c>
      <c r="AL876" s="244" t="str">
        <f t="shared" si="170"/>
        <v>00</v>
      </c>
      <c r="AN876" s="219" t="str">
        <f t="shared" si="171"/>
        <v>Remboursements et participation de tiers</v>
      </c>
    </row>
    <row r="877" spans="1:40" ht="15" customHeight="1" x14ac:dyDescent="0.3">
      <c r="A877" s="48">
        <v>0</v>
      </c>
      <c r="B877" s="49" t="s">
        <v>1361</v>
      </c>
      <c r="C877" s="50" t="s">
        <v>1362</v>
      </c>
      <c r="D877" s="46" t="s">
        <v>1416</v>
      </c>
      <c r="E877" s="46" t="s">
        <v>1304</v>
      </c>
      <c r="F877" s="182">
        <v>810</v>
      </c>
      <c r="G877" s="46" t="s">
        <v>64</v>
      </c>
      <c r="H877" s="46"/>
      <c r="I877" s="51">
        <v>0</v>
      </c>
      <c r="J877" s="51">
        <v>0</v>
      </c>
      <c r="K877" s="51">
        <f t="shared" si="173"/>
        <v>0</v>
      </c>
      <c r="L877" s="51">
        <v>0</v>
      </c>
      <c r="M877" s="51">
        <v>0</v>
      </c>
      <c r="N877" s="51">
        <f t="shared" si="172"/>
        <v>0</v>
      </c>
      <c r="O877" s="51">
        <v>0</v>
      </c>
      <c r="P877" s="179" t="s">
        <v>1489</v>
      </c>
      <c r="Q877" s="179" t="s">
        <v>1489</v>
      </c>
      <c r="R877" s="179" t="s">
        <v>1489</v>
      </c>
      <c r="S877" s="47" t="s">
        <v>1489</v>
      </c>
      <c r="T877" s="54"/>
      <c r="U877" s="54"/>
      <c r="AA877">
        <f t="shared" si="164"/>
        <v>810</v>
      </c>
      <c r="AD877" t="str">
        <f t="shared" si="165"/>
        <v>480</v>
      </c>
      <c r="AE877">
        <f t="shared" si="166"/>
        <v>0</v>
      </c>
      <c r="AG877" s="50" t="str">
        <f t="shared" si="167"/>
        <v>Prélèvement au fonds de réserve SP ALIMENTATION EAU (9280.3)</v>
      </c>
      <c r="AH877" s="244" t="str">
        <f t="shared" si="168"/>
        <v>-</v>
      </c>
      <c r="AI877" s="219"/>
      <c r="AJ877" s="219"/>
      <c r="AK877" s="219" t="str">
        <f t="shared" si="169"/>
        <v>-</v>
      </c>
      <c r="AL877" s="244" t="str">
        <f t="shared" si="170"/>
        <v>-</v>
      </c>
      <c r="AN877" s="219" t="str">
        <f t="shared" si="171"/>
        <v>-</v>
      </c>
    </row>
    <row r="878" spans="1:40" ht="15" customHeight="1" x14ac:dyDescent="0.3">
      <c r="A878" s="48">
        <v>0</v>
      </c>
      <c r="B878" s="49" t="s">
        <v>1363</v>
      </c>
      <c r="C878" s="50" t="s">
        <v>1364</v>
      </c>
      <c r="D878" s="46" t="s">
        <v>1416</v>
      </c>
      <c r="E878" s="46" t="s">
        <v>1304</v>
      </c>
      <c r="F878" s="182">
        <v>810</v>
      </c>
      <c r="G878" s="46" t="s">
        <v>144</v>
      </c>
      <c r="H878" s="46"/>
      <c r="I878" s="51">
        <v>0</v>
      </c>
      <c r="J878" s="51">
        <v>-855598.12</v>
      </c>
      <c r="K878" s="51">
        <f t="shared" si="173"/>
        <v>-855598.12</v>
      </c>
      <c r="L878" s="51">
        <v>0</v>
      </c>
      <c r="M878" s="51">
        <v>-36690</v>
      </c>
      <c r="N878" s="51">
        <f t="shared" ref="N878:N879" si="175">+L878+M878</f>
        <v>-36690</v>
      </c>
      <c r="O878" s="51">
        <v>0</v>
      </c>
      <c r="P878" s="179" t="s">
        <v>1568</v>
      </c>
      <c r="Q878" s="179" t="s">
        <v>1686</v>
      </c>
      <c r="R878" s="179" t="s">
        <v>2131</v>
      </c>
      <c r="S878" s="58" t="s">
        <v>1687</v>
      </c>
      <c r="T878" s="54">
        <f>+J878</f>
        <v>-855598.12</v>
      </c>
      <c r="U878" s="54"/>
      <c r="AA878">
        <f t="shared" si="164"/>
        <v>810</v>
      </c>
      <c r="AD878" t="str">
        <f t="shared" si="165"/>
        <v>481</v>
      </c>
      <c r="AE878">
        <f t="shared" si="166"/>
        <v>0</v>
      </c>
      <c r="AG878" s="50" t="str">
        <f t="shared" si="167"/>
        <v>SERVICE EAUX  PREL FINANC SPECIAUX (9280.3)</v>
      </c>
      <c r="AH878" s="244" t="str">
        <f t="shared" si="168"/>
        <v>71000</v>
      </c>
      <c r="AI878" s="219"/>
      <c r="AJ878" s="219"/>
      <c r="AK878" s="219" t="str">
        <f t="shared" si="169"/>
        <v>4510</v>
      </c>
      <c r="AL878" s="244" t="str">
        <f t="shared" si="170"/>
        <v>00</v>
      </c>
      <c r="AN878" s="219" t="str">
        <f t="shared" si="171"/>
        <v>Prélèvements aux fonds et financement spéciaux</v>
      </c>
    </row>
    <row r="879" spans="1:40" ht="15" customHeight="1" x14ac:dyDescent="0.3">
      <c r="A879" s="69"/>
      <c r="B879" s="69"/>
      <c r="C879" s="70"/>
      <c r="D879" s="190"/>
      <c r="E879" s="190"/>
      <c r="F879" s="190"/>
      <c r="G879" s="190"/>
      <c r="H879" s="190"/>
      <c r="I879" s="73">
        <v>0</v>
      </c>
      <c r="J879" s="73">
        <v>0</v>
      </c>
      <c r="K879" s="51">
        <f t="shared" si="173"/>
        <v>0</v>
      </c>
      <c r="L879" s="73">
        <v>0</v>
      </c>
      <c r="M879" s="73">
        <v>0</v>
      </c>
      <c r="N879" s="51">
        <f t="shared" si="175"/>
        <v>0</v>
      </c>
      <c r="O879" s="73"/>
      <c r="P879" s="179" t="s">
        <v>1568</v>
      </c>
      <c r="Q879" s="179" t="s">
        <v>765</v>
      </c>
      <c r="R879" s="179" t="s">
        <v>2131</v>
      </c>
      <c r="S879" s="47" t="s">
        <v>2039</v>
      </c>
      <c r="T879" s="54"/>
      <c r="U879" s="54"/>
      <c r="AA879">
        <f t="shared" si="164"/>
        <v>0</v>
      </c>
      <c r="AD879">
        <f t="shared" si="165"/>
        <v>0</v>
      </c>
      <c r="AE879">
        <f t="shared" si="166"/>
        <v>0</v>
      </c>
      <c r="AG879" s="50">
        <f t="shared" si="167"/>
        <v>0</v>
      </c>
      <c r="AH879" s="244" t="str">
        <f t="shared" si="168"/>
        <v>71000</v>
      </c>
      <c r="AI879" s="219"/>
      <c r="AJ879" s="219"/>
      <c r="AK879" s="219" t="str">
        <f t="shared" si="169"/>
        <v>3510</v>
      </c>
      <c r="AL879" s="244" t="str">
        <f t="shared" si="170"/>
        <v>00</v>
      </c>
      <c r="AN879" s="219" t="str">
        <f t="shared" si="171"/>
        <v>Attributions aux fonds et financements spéciaux</v>
      </c>
    </row>
    <row r="880" spans="1:40" ht="15" customHeight="1" x14ac:dyDescent="0.3">
      <c r="A880" s="69"/>
      <c r="B880" s="69"/>
      <c r="C880" s="70"/>
      <c r="D880" s="190"/>
      <c r="E880" s="190"/>
      <c r="F880" s="190"/>
      <c r="G880" s="190"/>
      <c r="H880" s="190"/>
      <c r="I880" s="73"/>
      <c r="J880" s="73"/>
      <c r="K880" s="51">
        <f t="shared" si="173"/>
        <v>0</v>
      </c>
      <c r="L880" s="73"/>
      <c r="M880" s="73"/>
      <c r="N880" s="73"/>
      <c r="O880" s="73"/>
      <c r="P880" s="179" t="s">
        <v>1598</v>
      </c>
      <c r="Q880" s="179" t="s">
        <v>1398</v>
      </c>
      <c r="R880" s="179" t="s">
        <v>1212</v>
      </c>
      <c r="S880" s="47" t="s">
        <v>2061</v>
      </c>
      <c r="T880" s="54"/>
      <c r="U880" s="54"/>
      <c r="W880" t="s">
        <v>1780</v>
      </c>
      <c r="AA880">
        <f t="shared" si="164"/>
        <v>0</v>
      </c>
      <c r="AD880">
        <f t="shared" si="165"/>
        <v>0</v>
      </c>
      <c r="AE880">
        <f t="shared" si="166"/>
        <v>0</v>
      </c>
      <c r="AG880" s="50">
        <f t="shared" si="167"/>
        <v>0</v>
      </c>
      <c r="AH880" s="244" t="str">
        <f t="shared" si="168"/>
        <v>82000</v>
      </c>
      <c r="AI880" s="219"/>
      <c r="AJ880" s="219"/>
      <c r="AK880" s="219" t="str">
        <f t="shared" si="169"/>
        <v>3612</v>
      </c>
      <c r="AL880" s="244" t="str">
        <f t="shared" si="170"/>
        <v>55</v>
      </c>
      <c r="AN880" s="219" t="str">
        <f t="shared" si="171"/>
        <v>Parts aux communes et assoc intercomm - ACP Plaquettes</v>
      </c>
    </row>
    <row r="881" spans="1:40" ht="15" customHeight="1" x14ac:dyDescent="0.3">
      <c r="A881" s="69"/>
      <c r="B881" s="69"/>
      <c r="C881" s="70"/>
      <c r="D881" s="190"/>
      <c r="E881" s="190"/>
      <c r="F881" s="190"/>
      <c r="G881" s="190"/>
      <c r="H881" s="190"/>
      <c r="I881" s="73"/>
      <c r="J881" s="73"/>
      <c r="K881" s="51">
        <f t="shared" si="173"/>
        <v>0</v>
      </c>
      <c r="L881" s="73"/>
      <c r="M881" s="73"/>
      <c r="N881" s="73"/>
      <c r="O881" s="73"/>
      <c r="P881" s="179" t="s">
        <v>1598</v>
      </c>
      <c r="Q881" s="179" t="s">
        <v>1702</v>
      </c>
      <c r="R881" s="179" t="s">
        <v>1212</v>
      </c>
      <c r="S881" s="47" t="s">
        <v>1781</v>
      </c>
      <c r="T881" s="54"/>
      <c r="U881" s="54"/>
      <c r="W881" t="s">
        <v>1780</v>
      </c>
      <c r="AA881">
        <f t="shared" si="164"/>
        <v>0</v>
      </c>
      <c r="AD881">
        <f t="shared" si="165"/>
        <v>0</v>
      </c>
      <c r="AE881">
        <f t="shared" si="166"/>
        <v>0</v>
      </c>
      <c r="AG881" s="50">
        <f t="shared" si="167"/>
        <v>0</v>
      </c>
      <c r="AH881" s="244" t="str">
        <f t="shared" si="168"/>
        <v>82000</v>
      </c>
      <c r="AI881" s="219"/>
      <c r="AJ881" s="219"/>
      <c r="AK881" s="219" t="str">
        <f t="shared" si="169"/>
        <v>4250</v>
      </c>
      <c r="AL881" s="244" t="str">
        <f t="shared" si="170"/>
        <v>55</v>
      </c>
      <c r="AN881" s="219" t="str">
        <f t="shared" si="171"/>
        <v>Recettes sur ventes - ACP Plaquettes</v>
      </c>
    </row>
    <row r="882" spans="1:40" ht="15" customHeight="1" x14ac:dyDescent="0.3">
      <c r="K882" s="44">
        <f t="shared" si="173"/>
        <v>0</v>
      </c>
      <c r="P882" s="193"/>
      <c r="Q882" s="193"/>
      <c r="R882" s="193"/>
    </row>
    <row r="883" spans="1:40" ht="15" customHeight="1" x14ac:dyDescent="0.3">
      <c r="K883" s="2">
        <f t="shared" si="173"/>
        <v>0</v>
      </c>
      <c r="O883" s="3">
        <v>6458286.1500000013</v>
      </c>
    </row>
    <row r="884" spans="1:40" ht="15" customHeight="1" x14ac:dyDescent="0.3">
      <c r="O884" s="3">
        <v>6458286.1500000004</v>
      </c>
    </row>
    <row r="885" spans="1:40" ht="15" customHeight="1" x14ac:dyDescent="0.3">
      <c r="O885" s="3">
        <v>0</v>
      </c>
    </row>
    <row r="887" spans="1:40" ht="15" customHeight="1" x14ac:dyDescent="0.3">
      <c r="P887" s="180" t="s">
        <v>1598</v>
      </c>
      <c r="Q887" s="180" t="s">
        <v>1398</v>
      </c>
      <c r="R887" s="180" t="s">
        <v>1782</v>
      </c>
      <c r="S887" s="43" t="s">
        <v>1783</v>
      </c>
    </row>
    <row r="888" spans="1:40" ht="15" customHeight="1" x14ac:dyDescent="0.3">
      <c r="P888" s="180" t="s">
        <v>1598</v>
      </c>
      <c r="Q888" s="180" t="s">
        <v>1702</v>
      </c>
      <c r="R888" s="180" t="s">
        <v>1782</v>
      </c>
      <c r="S888" s="43" t="s">
        <v>1784</v>
      </c>
    </row>
  </sheetData>
  <autoFilter ref="A2:AQ885" xr:uid="{288EBC10-8B78-439C-8306-AB0B11777351}"/>
  <conditionalFormatting sqref="T159:U159 U163:V164 V185">
    <cfRule type="expression" dxfId="7" priority="2">
      <formula>_xlfn.ISFORMULA(T159)</formula>
    </cfRule>
  </conditionalFormatting>
  <conditionalFormatting sqref="U167:V177">
    <cfRule type="expression" dxfId="6" priority="5">
      <formula>_xlfn.ISFORMULA(U167)</formula>
    </cfRule>
  </conditionalFormatting>
  <conditionalFormatting sqref="U179:V179">
    <cfRule type="expression" dxfId="5" priority="10">
      <formula>_xlfn.ISFORMULA(U179)</formula>
    </cfRule>
  </conditionalFormatting>
  <conditionalFormatting sqref="U182:V183">
    <cfRule type="expression" dxfId="4" priority="3">
      <formula>_xlfn.ISFORMULA(U182)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1EA6-D7A2-41E3-A65B-66A8BCBF5D93}">
  <sheetPr codeName="Feuil6">
    <pageSetUpPr fitToPage="1"/>
  </sheetPr>
  <dimension ref="A1:D27"/>
  <sheetViews>
    <sheetView workbookViewId="0">
      <selection activeCell="C6" sqref="C6"/>
    </sheetView>
  </sheetViews>
  <sheetFormatPr baseColWidth="10" defaultRowHeight="14.4" x14ac:dyDescent="0.3"/>
  <cols>
    <col min="1" max="1" width="8.109375" style="7" customWidth="1"/>
    <col min="2" max="2" width="10.5546875" style="8" customWidth="1"/>
    <col min="3" max="3" width="94.44140625" bestFit="1" customWidth="1"/>
    <col min="4" max="4" width="31.21875" bestFit="1" customWidth="1"/>
  </cols>
  <sheetData>
    <row r="1" spans="1:4" x14ac:dyDescent="0.3">
      <c r="A1" s="7" t="s">
        <v>1788</v>
      </c>
      <c r="B1" s="8" t="s">
        <v>1789</v>
      </c>
    </row>
    <row r="3" spans="1:4" x14ac:dyDescent="0.3">
      <c r="A3" s="94" t="s">
        <v>1906</v>
      </c>
    </row>
    <row r="4" spans="1:4" x14ac:dyDescent="0.3">
      <c r="A4" s="7">
        <v>310</v>
      </c>
      <c r="B4" s="8">
        <v>96901</v>
      </c>
      <c r="C4" t="s">
        <v>1791</v>
      </c>
    </row>
    <row r="5" spans="1:4" x14ac:dyDescent="0.3">
      <c r="A5" s="7">
        <v>321</v>
      </c>
      <c r="B5" s="8">
        <v>96902</v>
      </c>
      <c r="C5" t="s">
        <v>1907</v>
      </c>
      <c r="D5" t="s">
        <v>1790</v>
      </c>
    </row>
    <row r="6" spans="1:4" x14ac:dyDescent="0.3">
      <c r="A6" s="7">
        <v>3513</v>
      </c>
      <c r="B6" s="8">
        <v>96903</v>
      </c>
      <c r="C6" t="s">
        <v>1792</v>
      </c>
    </row>
    <row r="7" spans="1:4" x14ac:dyDescent="0.3">
      <c r="A7" s="7">
        <v>3500</v>
      </c>
      <c r="B7" s="8" t="s">
        <v>1798</v>
      </c>
      <c r="C7" t="s">
        <v>2000</v>
      </c>
    </row>
    <row r="8" spans="1:4" x14ac:dyDescent="0.3">
      <c r="A8" s="7">
        <v>3501</v>
      </c>
      <c r="B8" s="8" t="s">
        <v>1799</v>
      </c>
      <c r="C8" t="s">
        <v>2001</v>
      </c>
    </row>
    <row r="9" spans="1:4" x14ac:dyDescent="0.3">
      <c r="A9" s="7">
        <v>3503</v>
      </c>
      <c r="B9" s="8" t="s">
        <v>1801</v>
      </c>
      <c r="C9" t="s">
        <v>2002</v>
      </c>
    </row>
    <row r="10" spans="1:4" x14ac:dyDescent="0.3">
      <c r="A10" s="7">
        <v>3505</v>
      </c>
      <c r="B10" s="8" t="s">
        <v>1802</v>
      </c>
      <c r="C10" t="s">
        <v>2003</v>
      </c>
    </row>
    <row r="11" spans="1:4" x14ac:dyDescent="0.3">
      <c r="A11" s="7">
        <v>3507</v>
      </c>
      <c r="B11" s="8" t="s">
        <v>1803</v>
      </c>
      <c r="C11" t="s">
        <v>2004</v>
      </c>
    </row>
    <row r="12" spans="1:4" x14ac:dyDescent="0.3">
      <c r="A12" s="7">
        <v>3511</v>
      </c>
      <c r="B12" s="8" t="s">
        <v>1808</v>
      </c>
      <c r="C12" t="s">
        <v>2005</v>
      </c>
    </row>
    <row r="13" spans="1:4" x14ac:dyDescent="0.3">
      <c r="A13" s="7">
        <v>3512</v>
      </c>
      <c r="B13" s="8" t="s">
        <v>1810</v>
      </c>
      <c r="C13" s="96" t="s">
        <v>2006</v>
      </c>
    </row>
    <row r="14" spans="1:4" x14ac:dyDescent="0.3">
      <c r="A14" s="7">
        <v>3514</v>
      </c>
      <c r="B14" s="8" t="s">
        <v>1811</v>
      </c>
      <c r="C14" t="s">
        <v>2007</v>
      </c>
    </row>
    <row r="18" spans="1:3" x14ac:dyDescent="0.3">
      <c r="A18" s="94" t="s">
        <v>1905</v>
      </c>
    </row>
    <row r="19" spans="1:3" x14ac:dyDescent="0.3">
      <c r="A19" s="7">
        <v>320</v>
      </c>
      <c r="B19" s="8">
        <v>82000</v>
      </c>
      <c r="C19" t="s">
        <v>1793</v>
      </c>
    </row>
    <row r="20" spans="1:3" x14ac:dyDescent="0.3">
      <c r="A20" s="7">
        <v>3500</v>
      </c>
      <c r="B20" s="8" t="s">
        <v>1795</v>
      </c>
      <c r="C20" t="s">
        <v>1908</v>
      </c>
    </row>
    <row r="21" spans="1:3" x14ac:dyDescent="0.3">
      <c r="A21" s="7">
        <v>3500</v>
      </c>
      <c r="B21" s="8" t="s">
        <v>1797</v>
      </c>
      <c r="C21" t="s">
        <v>1796</v>
      </c>
    </row>
    <row r="22" spans="1:3" x14ac:dyDescent="0.3">
      <c r="A22" s="7">
        <v>3501</v>
      </c>
      <c r="B22" s="8" t="s">
        <v>1794</v>
      </c>
      <c r="C22" t="s">
        <v>2008</v>
      </c>
    </row>
    <row r="23" spans="1:3" x14ac:dyDescent="0.3">
      <c r="A23" s="7">
        <v>3506</v>
      </c>
      <c r="B23" s="8" t="s">
        <v>1800</v>
      </c>
      <c r="C23" t="s">
        <v>2009</v>
      </c>
    </row>
    <row r="24" spans="1:3" x14ac:dyDescent="0.3">
      <c r="A24" s="7">
        <v>3508</v>
      </c>
      <c r="B24" s="8" t="s">
        <v>1532</v>
      </c>
      <c r="C24" t="s">
        <v>1804</v>
      </c>
    </row>
    <row r="25" spans="1:3" x14ac:dyDescent="0.3">
      <c r="A25" s="7">
        <v>3509</v>
      </c>
      <c r="B25" s="8" t="s">
        <v>1805</v>
      </c>
      <c r="C25" t="s">
        <v>2010</v>
      </c>
    </row>
    <row r="26" spans="1:3" x14ac:dyDescent="0.3">
      <c r="A26" s="7">
        <v>3510</v>
      </c>
      <c r="B26" s="8" t="s">
        <v>1806</v>
      </c>
      <c r="C26" t="s">
        <v>1807</v>
      </c>
    </row>
    <row r="27" spans="1:3" x14ac:dyDescent="0.3">
      <c r="A27" s="7">
        <v>3512</v>
      </c>
      <c r="B27" s="8" t="s">
        <v>1809</v>
      </c>
      <c r="C27" s="96" t="s">
        <v>2011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Header>&amp;C&amp;A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B59D-695C-48FC-B6F6-0914C9DA62F1}">
  <sheetPr codeName="Feuil13"/>
  <dimension ref="A1:D27"/>
  <sheetViews>
    <sheetView workbookViewId="0">
      <selection activeCell="A27" sqref="A27"/>
    </sheetView>
  </sheetViews>
  <sheetFormatPr baseColWidth="10" defaultColWidth="41.33203125" defaultRowHeight="14.4" x14ac:dyDescent="0.3"/>
  <cols>
    <col min="1" max="2" width="10.109375" style="7" customWidth="1"/>
    <col min="3" max="3" width="50.33203125" customWidth="1"/>
    <col min="4" max="4" width="14.21875" bestFit="1" customWidth="1"/>
  </cols>
  <sheetData>
    <row r="1" spans="1:4" x14ac:dyDescent="0.3">
      <c r="A1" s="7" t="s">
        <v>2</v>
      </c>
      <c r="B1" s="7" t="s">
        <v>1369</v>
      </c>
      <c r="C1" t="s">
        <v>1372</v>
      </c>
    </row>
    <row r="3" spans="1:4" x14ac:dyDescent="0.3">
      <c r="A3" s="94" t="s">
        <v>1905</v>
      </c>
    </row>
    <row r="4" spans="1:4" x14ac:dyDescent="0.3">
      <c r="A4" s="8" t="s">
        <v>1500</v>
      </c>
      <c r="B4" s="8" t="s">
        <v>1370</v>
      </c>
      <c r="C4" s="4" t="s">
        <v>1857</v>
      </c>
    </row>
    <row r="5" spans="1:4" x14ac:dyDescent="0.3">
      <c r="A5" s="8" t="s">
        <v>1500</v>
      </c>
      <c r="B5" s="8" t="s">
        <v>1371</v>
      </c>
      <c r="C5" s="4" t="s">
        <v>1858</v>
      </c>
    </row>
    <row r="6" spans="1:4" x14ac:dyDescent="0.3">
      <c r="A6" s="8" t="s">
        <v>1500</v>
      </c>
      <c r="B6" s="8" t="s">
        <v>1405</v>
      </c>
      <c r="C6" s="4" t="s">
        <v>1859</v>
      </c>
    </row>
    <row r="7" spans="1:4" x14ac:dyDescent="0.3">
      <c r="A7" s="8" t="s">
        <v>1418</v>
      </c>
      <c r="B7" s="8" t="s">
        <v>1370</v>
      </c>
      <c r="C7" s="42" t="s">
        <v>1860</v>
      </c>
    </row>
    <row r="8" spans="1:4" x14ac:dyDescent="0.3">
      <c r="A8" s="8" t="s">
        <v>1426</v>
      </c>
      <c r="B8" s="8" t="s">
        <v>1370</v>
      </c>
      <c r="C8" s="42" t="s">
        <v>1861</v>
      </c>
    </row>
    <row r="9" spans="1:4" x14ac:dyDescent="0.3">
      <c r="A9" s="8" t="s">
        <v>1831</v>
      </c>
      <c r="B9" s="8" t="s">
        <v>1370</v>
      </c>
      <c r="C9" s="42" t="s">
        <v>1862</v>
      </c>
    </row>
    <row r="10" spans="1:4" x14ac:dyDescent="0.3">
      <c r="A10" s="8" t="s">
        <v>1493</v>
      </c>
      <c r="B10" s="8" t="s">
        <v>1370</v>
      </c>
      <c r="C10" s="42" t="s">
        <v>1863</v>
      </c>
    </row>
    <row r="11" spans="1:4" x14ac:dyDescent="0.3">
      <c r="A11" s="8" t="s">
        <v>1493</v>
      </c>
      <c r="B11" s="8" t="s">
        <v>1371</v>
      </c>
      <c r="C11" s="42" t="s">
        <v>1864</v>
      </c>
      <c r="D11" t="s">
        <v>1833</v>
      </c>
    </row>
    <row r="12" spans="1:4" x14ac:dyDescent="0.3">
      <c r="A12" s="8" t="s">
        <v>1678</v>
      </c>
      <c r="B12" s="8" t="s">
        <v>1370</v>
      </c>
      <c r="C12" s="4" t="s">
        <v>1865</v>
      </c>
    </row>
    <row r="13" spans="1:4" x14ac:dyDescent="0.3">
      <c r="A13" s="8"/>
      <c r="B13" s="8"/>
      <c r="C13" s="4"/>
    </row>
    <row r="14" spans="1:4" x14ac:dyDescent="0.3">
      <c r="A14" s="8" t="s">
        <v>1842</v>
      </c>
      <c r="B14" s="8" t="s">
        <v>1370</v>
      </c>
      <c r="C14" s="4" t="s">
        <v>1843</v>
      </c>
    </row>
    <row r="15" spans="1:4" x14ac:dyDescent="0.3">
      <c r="A15" s="95"/>
      <c r="B15" s="95"/>
      <c r="C15" s="4"/>
    </row>
    <row r="16" spans="1:4" x14ac:dyDescent="0.3">
      <c r="A16" s="95"/>
      <c r="B16" s="95"/>
      <c r="C16" s="4"/>
    </row>
    <row r="17" spans="1:3" x14ac:dyDescent="0.3">
      <c r="A17" s="94" t="s">
        <v>1906</v>
      </c>
    </row>
    <row r="18" spans="1:3" x14ac:dyDescent="0.3">
      <c r="A18" s="8" t="s">
        <v>1504</v>
      </c>
      <c r="B18" s="8" t="s">
        <v>1370</v>
      </c>
      <c r="C18" s="4" t="s">
        <v>1995</v>
      </c>
    </row>
    <row r="19" spans="1:3" x14ac:dyDescent="0.3">
      <c r="A19" s="8" t="s">
        <v>1504</v>
      </c>
      <c r="B19" s="8" t="s">
        <v>1371</v>
      </c>
      <c r="C19" s="4" t="s">
        <v>1853</v>
      </c>
    </row>
    <row r="20" spans="1:3" x14ac:dyDescent="0.3">
      <c r="A20" s="8" t="s">
        <v>1504</v>
      </c>
      <c r="B20" s="8" t="s">
        <v>1405</v>
      </c>
      <c r="C20" s="4" t="s">
        <v>1854</v>
      </c>
    </row>
    <row r="21" spans="1:3" x14ac:dyDescent="0.3">
      <c r="A21" s="8" t="s">
        <v>1504</v>
      </c>
      <c r="B21" s="8" t="s">
        <v>1403</v>
      </c>
      <c r="C21" s="4" t="s">
        <v>1996</v>
      </c>
    </row>
    <row r="22" spans="1:3" x14ac:dyDescent="0.3">
      <c r="A22" s="8" t="s">
        <v>1504</v>
      </c>
      <c r="B22" s="8" t="s">
        <v>1401</v>
      </c>
      <c r="C22" s="4" t="s">
        <v>1997</v>
      </c>
    </row>
    <row r="23" spans="1:3" x14ac:dyDescent="0.3">
      <c r="A23" s="8" t="s">
        <v>1504</v>
      </c>
      <c r="B23" s="8" t="s">
        <v>1505</v>
      </c>
      <c r="C23" s="4" t="s">
        <v>2121</v>
      </c>
    </row>
    <row r="24" spans="1:3" x14ac:dyDescent="0.3">
      <c r="A24" s="8" t="s">
        <v>1822</v>
      </c>
      <c r="B24" s="8" t="s">
        <v>1370</v>
      </c>
      <c r="C24" s="4" t="s">
        <v>1824</v>
      </c>
    </row>
    <row r="25" spans="1:3" x14ac:dyDescent="0.3">
      <c r="A25" s="8" t="s">
        <v>1812</v>
      </c>
      <c r="B25" s="8" t="s">
        <v>1370</v>
      </c>
      <c r="C25" s="4" t="s">
        <v>1825</v>
      </c>
    </row>
    <row r="27" spans="1:3" x14ac:dyDescent="0.3">
      <c r="A27" s="8" t="s">
        <v>1813</v>
      </c>
      <c r="B27" s="8" t="s">
        <v>1370</v>
      </c>
      <c r="C27" s="4" t="s">
        <v>1826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7E37-5C58-4317-92DD-0C701977C90E}">
  <sheetPr codeName="Feuil9"/>
  <dimension ref="A1:F8"/>
  <sheetViews>
    <sheetView workbookViewId="0">
      <selection activeCell="D3" sqref="D3"/>
    </sheetView>
  </sheetViews>
  <sheetFormatPr baseColWidth="10" defaultRowHeight="14.4" x14ac:dyDescent="0.3"/>
  <cols>
    <col min="3" max="3" width="11.21875" bestFit="1" customWidth="1"/>
    <col min="4" max="4" width="18.77734375" bestFit="1" customWidth="1"/>
    <col min="5" max="5" width="21.5546875" bestFit="1" customWidth="1"/>
    <col min="6" max="6" width="29.5546875" bestFit="1" customWidth="1"/>
  </cols>
  <sheetData>
    <row r="1" spans="1:6" x14ac:dyDescent="0.3">
      <c r="B1" s="7" t="s">
        <v>2</v>
      </c>
      <c r="C1" s="7" t="s">
        <v>1369</v>
      </c>
      <c r="F1" t="s">
        <v>1372</v>
      </c>
    </row>
    <row r="3" spans="1:6" x14ac:dyDescent="0.3">
      <c r="A3" s="40" t="s">
        <v>1714</v>
      </c>
      <c r="B3" s="40" t="s">
        <v>1745</v>
      </c>
      <c r="C3" t="s">
        <v>1370</v>
      </c>
      <c r="D3" s="39">
        <v>130648</v>
      </c>
      <c r="E3" s="39">
        <v>130648</v>
      </c>
      <c r="F3" t="s">
        <v>1875</v>
      </c>
    </row>
    <row r="4" spans="1:6" x14ac:dyDescent="0.3">
      <c r="A4" s="40">
        <v>71000</v>
      </c>
      <c r="B4" s="40" t="s">
        <v>1745</v>
      </c>
      <c r="F4" t="s">
        <v>1877</v>
      </c>
    </row>
    <row r="7" spans="1:6" x14ac:dyDescent="0.3">
      <c r="A7" s="40" t="s">
        <v>1714</v>
      </c>
      <c r="B7" s="40" t="s">
        <v>1681</v>
      </c>
      <c r="C7" t="s">
        <v>1370</v>
      </c>
      <c r="D7" s="39">
        <v>15699.13</v>
      </c>
      <c r="E7" s="39">
        <v>15699.13</v>
      </c>
      <c r="F7" t="s">
        <v>1876</v>
      </c>
    </row>
    <row r="8" spans="1:6" x14ac:dyDescent="0.3">
      <c r="A8" s="40">
        <v>73000</v>
      </c>
      <c r="B8" s="40" t="s">
        <v>1681</v>
      </c>
      <c r="C8" t="s">
        <v>1370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0486-1EDA-4AFA-9181-6101EA60F4C4}">
  <sheetPr codeName="Feuil17"/>
  <dimension ref="A1:E39"/>
  <sheetViews>
    <sheetView workbookViewId="0">
      <selection activeCell="C38" sqref="C38"/>
    </sheetView>
  </sheetViews>
  <sheetFormatPr baseColWidth="10" defaultRowHeight="14.4" x14ac:dyDescent="0.3"/>
  <cols>
    <col min="1" max="1" width="9.44140625" style="22" customWidth="1"/>
    <col min="2" max="2" width="37.77734375" bestFit="1" customWidth="1"/>
    <col min="3" max="3" width="10.6640625" style="7" bestFit="1" customWidth="1"/>
    <col min="4" max="4" width="10.77734375" style="7" bestFit="1" customWidth="1"/>
    <col min="5" max="5" width="13.6640625" style="7" bestFit="1" customWidth="1"/>
    <col min="6" max="6" width="10.77734375" bestFit="1" customWidth="1"/>
    <col min="7" max="7" width="7.33203125" bestFit="1" customWidth="1"/>
  </cols>
  <sheetData>
    <row r="1" spans="1:5" ht="15.6" x14ac:dyDescent="0.3">
      <c r="A1" s="21"/>
    </row>
    <row r="2" spans="1:5" ht="16.8" customHeight="1" x14ac:dyDescent="0.3">
      <c r="C2" s="27" t="s">
        <v>1456</v>
      </c>
      <c r="D2" s="27" t="s">
        <v>1451</v>
      </c>
      <c r="E2" s="27" t="s">
        <v>1457</v>
      </c>
    </row>
    <row r="3" spans="1:5" ht="16.8" customHeight="1" x14ac:dyDescent="0.3">
      <c r="A3" s="23" t="s">
        <v>1450</v>
      </c>
      <c r="C3" s="11"/>
      <c r="D3" s="11"/>
      <c r="E3" s="11"/>
    </row>
    <row r="4" spans="1:5" x14ac:dyDescent="0.3">
      <c r="A4" s="24">
        <v>220.352</v>
      </c>
      <c r="B4" s="12" t="s">
        <v>309</v>
      </c>
      <c r="C4" s="13">
        <v>7604308</v>
      </c>
      <c r="D4" s="14">
        <v>6032000</v>
      </c>
      <c r="E4" s="13">
        <v>7254113</v>
      </c>
    </row>
    <row r="5" spans="1:5" x14ac:dyDescent="0.3">
      <c r="A5" s="24">
        <v>600.351</v>
      </c>
      <c r="B5" s="12" t="s">
        <v>1452</v>
      </c>
      <c r="C5" s="14">
        <v>326477</v>
      </c>
      <c r="D5" s="14">
        <v>324000</v>
      </c>
      <c r="E5" s="13">
        <v>335562</v>
      </c>
    </row>
    <row r="6" spans="1:5" x14ac:dyDescent="0.3">
      <c r="A6" s="24">
        <v>720.351</v>
      </c>
      <c r="B6" s="12" t="s">
        <v>1453</v>
      </c>
      <c r="C6" s="14">
        <v>2016376</v>
      </c>
      <c r="D6" s="14">
        <v>1979716</v>
      </c>
      <c r="E6" s="13">
        <v>2064564</v>
      </c>
    </row>
    <row r="7" spans="1:5" ht="15" thickBot="1" x14ac:dyDescent="0.35">
      <c r="B7" s="19" t="s">
        <v>1454</v>
      </c>
      <c r="C7" s="18">
        <f>SUM(C2:C6)</f>
        <v>9947161</v>
      </c>
      <c r="D7" s="18">
        <f>SUM(D2:D6)</f>
        <v>8335716</v>
      </c>
      <c r="E7" s="18">
        <f>SUM(E2:E6)</f>
        <v>9654239</v>
      </c>
    </row>
    <row r="8" spans="1:5" ht="15" thickTop="1" x14ac:dyDescent="0.3">
      <c r="C8" s="29">
        <f>+C7/C31</f>
        <v>-0.70483967027698835</v>
      </c>
      <c r="D8" s="29">
        <f>+D7/D31</f>
        <v>-0.70482180151690665</v>
      </c>
      <c r="E8" s="29">
        <f>+E7/E31</f>
        <v>-0.74571848531893703</v>
      </c>
    </row>
    <row r="9" spans="1:5" x14ac:dyDescent="0.3">
      <c r="A9" s="25" t="s">
        <v>1455</v>
      </c>
    </row>
    <row r="10" spans="1:5" x14ac:dyDescent="0.3">
      <c r="A10" s="26" t="s">
        <v>234</v>
      </c>
      <c r="B10" s="4" t="s">
        <v>235</v>
      </c>
      <c r="C10" s="15">
        <v>-7719194.3499999996</v>
      </c>
      <c r="D10" s="15">
        <v>-6850000</v>
      </c>
      <c r="E10" s="16">
        <v>-7700594.3499999996</v>
      </c>
    </row>
    <row r="11" spans="1:5" x14ac:dyDescent="0.3">
      <c r="A11" s="26" t="s">
        <v>237</v>
      </c>
      <c r="B11" s="4" t="s">
        <v>238</v>
      </c>
      <c r="C11" s="15">
        <v>-2034240.9</v>
      </c>
      <c r="D11" s="15">
        <v>-2045000</v>
      </c>
      <c r="E11" s="16">
        <v>-2034240.9</v>
      </c>
    </row>
    <row r="12" spans="1:5" x14ac:dyDescent="0.3">
      <c r="A12" s="26" t="s">
        <v>239</v>
      </c>
      <c r="B12" s="4" t="s">
        <v>240</v>
      </c>
      <c r="C12" s="15">
        <v>-141728.22</v>
      </c>
      <c r="D12" s="15">
        <v>-75000</v>
      </c>
      <c r="E12" s="16">
        <v>-141728.22</v>
      </c>
    </row>
    <row r="13" spans="1:5" x14ac:dyDescent="0.3">
      <c r="A13" s="26" t="s">
        <v>241</v>
      </c>
      <c r="B13" s="4" t="s">
        <v>242</v>
      </c>
      <c r="C13" s="15">
        <v>-653939.36</v>
      </c>
      <c r="D13" s="15">
        <v>-520000</v>
      </c>
      <c r="E13" s="16">
        <v>-653939.36</v>
      </c>
    </row>
    <row r="14" spans="1:5" x14ac:dyDescent="0.3">
      <c r="A14" s="26" t="s">
        <v>243</v>
      </c>
      <c r="B14" s="4" t="s">
        <v>244</v>
      </c>
      <c r="C14" s="15">
        <v>-195703.75</v>
      </c>
      <c r="D14" s="15">
        <v>110000</v>
      </c>
      <c r="E14" s="16">
        <v>-195703.75</v>
      </c>
    </row>
    <row r="15" spans="1:5" x14ac:dyDescent="0.3">
      <c r="A15" s="26" t="s">
        <v>246</v>
      </c>
      <c r="B15" s="4" t="s">
        <v>247</v>
      </c>
      <c r="C15" s="15">
        <v>-50600.95</v>
      </c>
      <c r="D15" s="15">
        <v>-27000</v>
      </c>
      <c r="E15" s="16">
        <v>-50600.95</v>
      </c>
    </row>
    <row r="16" spans="1:5" x14ac:dyDescent="0.3">
      <c r="A16" s="26" t="s">
        <v>248</v>
      </c>
      <c r="B16" s="4" t="s">
        <v>249</v>
      </c>
      <c r="C16" s="15">
        <v>-49101.2</v>
      </c>
      <c r="D16" s="15">
        <v>-49000</v>
      </c>
      <c r="E16" s="16">
        <v>-49101.2</v>
      </c>
    </row>
    <row r="17" spans="1:5" x14ac:dyDescent="0.3">
      <c r="A17" s="26" t="s">
        <v>250</v>
      </c>
      <c r="B17" s="4" t="s">
        <v>251</v>
      </c>
      <c r="C17" s="15">
        <v>-764831.05</v>
      </c>
      <c r="D17" s="15">
        <v>-752000</v>
      </c>
      <c r="E17" s="16">
        <v>-764831.05</v>
      </c>
    </row>
    <row r="18" spans="1:5" x14ac:dyDescent="0.3">
      <c r="A18" s="26" t="s">
        <v>253</v>
      </c>
      <c r="B18" s="4" t="s">
        <v>254</v>
      </c>
      <c r="C18" s="15">
        <v>-589081.94999999995</v>
      </c>
      <c r="D18" s="32">
        <v>-382000</v>
      </c>
      <c r="E18" s="32">
        <f>-589081.95+100000</f>
        <v>-489081.94999999995</v>
      </c>
    </row>
    <row r="19" spans="1:5" x14ac:dyDescent="0.3">
      <c r="A19" s="26" t="s">
        <v>256</v>
      </c>
      <c r="B19" s="4" t="s">
        <v>257</v>
      </c>
      <c r="C19" s="15">
        <v>-1028831.7</v>
      </c>
      <c r="D19" s="32">
        <v>-165000</v>
      </c>
      <c r="E19" s="32">
        <f>-1028831.7+800000</f>
        <v>-228831.69999999995</v>
      </c>
    </row>
    <row r="20" spans="1:5" x14ac:dyDescent="0.3">
      <c r="A20" s="26" t="s">
        <v>259</v>
      </c>
      <c r="B20" s="4" t="s">
        <v>260</v>
      </c>
      <c r="C20" s="15">
        <v>-9300</v>
      </c>
      <c r="D20" s="15">
        <v>-9500</v>
      </c>
      <c r="E20" s="15"/>
    </row>
    <row r="21" spans="1:5" x14ac:dyDescent="0.3">
      <c r="A21" s="26" t="s">
        <v>261</v>
      </c>
      <c r="B21" s="4" t="s">
        <v>262</v>
      </c>
      <c r="C21" s="15">
        <v>-8603.9699999999993</v>
      </c>
      <c r="D21" s="15">
        <v>-6000</v>
      </c>
      <c r="E21" s="15">
        <v>-8603.9699999999993</v>
      </c>
    </row>
    <row r="22" spans="1:5" x14ac:dyDescent="0.3">
      <c r="A22" s="26" t="s">
        <v>264</v>
      </c>
      <c r="B22" s="4" t="s">
        <v>265</v>
      </c>
      <c r="C22" s="15">
        <v>-1050.5</v>
      </c>
      <c r="D22" s="15">
        <v>-200</v>
      </c>
      <c r="E22" s="15"/>
    </row>
    <row r="23" spans="1:5" x14ac:dyDescent="0.3">
      <c r="A23" s="26" t="s">
        <v>267</v>
      </c>
      <c r="B23" s="4" t="s">
        <v>268</v>
      </c>
      <c r="C23" s="15">
        <v>-76657.17</v>
      </c>
      <c r="D23" s="15">
        <v>-60000</v>
      </c>
      <c r="E23" s="15"/>
    </row>
    <row r="24" spans="1:5" x14ac:dyDescent="0.3">
      <c r="A24" s="26" t="s">
        <v>270</v>
      </c>
      <c r="B24" s="4" t="s">
        <v>271</v>
      </c>
      <c r="C24" s="15">
        <v>-612939.30000000005</v>
      </c>
      <c r="D24" s="32">
        <v>-650000</v>
      </c>
      <c r="E24" s="32">
        <f>-612939.3+200000</f>
        <v>-412939.30000000005</v>
      </c>
    </row>
    <row r="25" spans="1:5" x14ac:dyDescent="0.3">
      <c r="A25" s="26" t="s">
        <v>273</v>
      </c>
      <c r="B25" s="4" t="s">
        <v>274</v>
      </c>
      <c r="C25" s="15">
        <v>-235685.55</v>
      </c>
      <c r="D25" s="15">
        <v>-286000</v>
      </c>
      <c r="E25" s="15">
        <v>-235685.55</v>
      </c>
    </row>
    <row r="26" spans="1:5" x14ac:dyDescent="0.3">
      <c r="A26" s="26" t="s">
        <v>275</v>
      </c>
      <c r="B26" s="4" t="s">
        <v>231</v>
      </c>
      <c r="C26" s="15">
        <v>0</v>
      </c>
      <c r="D26" s="15">
        <v>-60000</v>
      </c>
      <c r="E26" s="15">
        <v>-23417.950924262201</v>
      </c>
    </row>
    <row r="27" spans="1:5" ht="27" x14ac:dyDescent="0.3">
      <c r="A27" s="26" t="s">
        <v>276</v>
      </c>
      <c r="B27" s="4" t="s">
        <v>277</v>
      </c>
      <c r="C27" s="15">
        <v>0</v>
      </c>
      <c r="D27" s="15">
        <v>0</v>
      </c>
      <c r="E27" s="16">
        <v>27376.47</v>
      </c>
    </row>
    <row r="29" spans="1:5" x14ac:dyDescent="0.3">
      <c r="A29" s="26" t="s">
        <v>228</v>
      </c>
      <c r="B29" s="4" t="s">
        <v>229</v>
      </c>
      <c r="C29" s="15">
        <v>15699.13</v>
      </c>
      <c r="E29" s="16">
        <v>15699.13</v>
      </c>
    </row>
    <row r="30" spans="1:5" x14ac:dyDescent="0.3">
      <c r="A30" s="26" t="s">
        <v>230</v>
      </c>
      <c r="B30" s="4" t="s">
        <v>231</v>
      </c>
      <c r="C30" s="15">
        <v>43133.09</v>
      </c>
    </row>
    <row r="31" spans="1:5" ht="15" thickBot="1" x14ac:dyDescent="0.35">
      <c r="B31" s="19" t="s">
        <v>1454</v>
      </c>
      <c r="C31" s="17">
        <f>SUM(C10:C30)</f>
        <v>-14112657.699999999</v>
      </c>
      <c r="D31" s="17">
        <f>SUM(D10:D30)</f>
        <v>-11826700</v>
      </c>
      <c r="E31" s="17">
        <f>SUM(E10:E30)</f>
        <v>-12946224.600924261</v>
      </c>
    </row>
    <row r="32" spans="1:5" ht="15" thickTop="1" x14ac:dyDescent="0.3">
      <c r="C32" s="20">
        <f>+C7/C31</f>
        <v>-0.70483967027698835</v>
      </c>
      <c r="D32" s="20">
        <f>+D7/D31</f>
        <v>-0.70482180151690665</v>
      </c>
      <c r="E32" s="20">
        <f>+E7/E31</f>
        <v>-0.74571848531893703</v>
      </c>
    </row>
    <row r="34" spans="2:5" x14ac:dyDescent="0.3">
      <c r="B34" t="s">
        <v>1585</v>
      </c>
      <c r="C34" s="33">
        <f>+C18+C19+C24</f>
        <v>-2230852.9500000002</v>
      </c>
      <c r="D34" s="33">
        <f>+D18+D19+D24</f>
        <v>-1197000</v>
      </c>
      <c r="E34" s="33">
        <f>+E18+E19+E24</f>
        <v>-1130852.95</v>
      </c>
    </row>
    <row r="35" spans="2:5" x14ac:dyDescent="0.3">
      <c r="C35" s="16">
        <f>+C34*50%</f>
        <v>-1115426.4750000001</v>
      </c>
      <c r="D35" s="16">
        <f>+D34*50%</f>
        <v>-598500</v>
      </c>
      <c r="E35" s="16">
        <f>+E34*50%</f>
        <v>-565426.47499999998</v>
      </c>
    </row>
    <row r="38" spans="2:5" x14ac:dyDescent="0.3">
      <c r="B38" t="s">
        <v>1586</v>
      </c>
      <c r="C38" s="33">
        <f>+C31-C34</f>
        <v>-11881804.75</v>
      </c>
      <c r="D38" s="33">
        <f>+D31-D34</f>
        <v>-10629700</v>
      </c>
      <c r="E38" s="33">
        <f>+E31-E34</f>
        <v>-11815371.650924262</v>
      </c>
    </row>
    <row r="39" spans="2:5" x14ac:dyDescent="0.3">
      <c r="C39" s="29">
        <f>+C38/C31</f>
        <v>0.84192538376382509</v>
      </c>
      <c r="D39" s="29">
        <f>+D38/D31</f>
        <v>0.89878833486940568</v>
      </c>
      <c r="E39" s="29">
        <f>+E38/E31</f>
        <v>0.91264998214852033</v>
      </c>
    </row>
  </sheetData>
  <conditionalFormatting sqref="C35:E35">
    <cfRule type="expression" dxfId="3" priority="1">
      <formula>_xlfn.ISFORMULA(C35)</formula>
    </cfRule>
  </conditionalFormatting>
  <conditionalFormatting sqref="E10:E17">
    <cfRule type="expression" dxfId="2" priority="8">
      <formula>_xlfn.ISFORMULA(E10)</formula>
    </cfRule>
  </conditionalFormatting>
  <conditionalFormatting sqref="E27">
    <cfRule type="expression" dxfId="1" priority="3">
      <formula>_xlfn.ISFORMULA(E27)</formula>
    </cfRule>
  </conditionalFormatting>
  <conditionalFormatting sqref="E29">
    <cfRule type="expression" dxfId="0" priority="2">
      <formula>_xlfn.ISFORMULA(E29)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5B01-F332-4340-8C86-26979413451A}">
  <sheetPr codeName="Feuil1">
    <pageSetUpPr fitToPage="1"/>
  </sheetPr>
  <dimension ref="B1:I17"/>
  <sheetViews>
    <sheetView workbookViewId="0">
      <selection activeCell="H10" sqref="H10"/>
    </sheetView>
  </sheetViews>
  <sheetFormatPr baseColWidth="10" defaultRowHeight="14.4" x14ac:dyDescent="0.3"/>
  <cols>
    <col min="3" max="3" width="21" customWidth="1"/>
    <col min="4" max="4" width="22.44140625" customWidth="1"/>
  </cols>
  <sheetData>
    <row r="1" spans="2:9" ht="15" thickBot="1" x14ac:dyDescent="0.35"/>
    <row r="2" spans="2:9" ht="29.4" thickBot="1" x14ac:dyDescent="0.35">
      <c r="D2" s="168" t="s">
        <v>1949</v>
      </c>
    </row>
    <row r="4" spans="2:9" ht="15" thickBot="1" x14ac:dyDescent="0.35"/>
    <row r="5" spans="2:9" ht="15" thickBot="1" x14ac:dyDescent="0.35">
      <c r="B5" s="167" t="s">
        <v>1950</v>
      </c>
      <c r="F5" s="167" t="s">
        <v>1951</v>
      </c>
    </row>
    <row r="6" spans="2:9" x14ac:dyDescent="0.3">
      <c r="B6" t="s">
        <v>1952</v>
      </c>
      <c r="C6" t="s">
        <v>1953</v>
      </c>
    </row>
    <row r="8" spans="2:9" ht="15" thickBot="1" x14ac:dyDescent="0.35"/>
    <row r="9" spans="2:9" ht="15" thickBot="1" x14ac:dyDescent="0.35">
      <c r="E9" s="169" t="s">
        <v>1954</v>
      </c>
      <c r="F9" s="170" t="s">
        <v>1955</v>
      </c>
      <c r="H9" s="169" t="s">
        <v>1956</v>
      </c>
    </row>
    <row r="10" spans="2:9" x14ac:dyDescent="0.3">
      <c r="E10" t="s">
        <v>1957</v>
      </c>
      <c r="H10" t="s">
        <v>1958</v>
      </c>
    </row>
    <row r="13" spans="2:9" ht="15" thickBot="1" x14ac:dyDescent="0.35"/>
    <row r="14" spans="2:9" ht="15" thickBot="1" x14ac:dyDescent="0.35">
      <c r="D14" s="171" t="s">
        <v>1959</v>
      </c>
      <c r="F14" s="172" t="s">
        <v>1961</v>
      </c>
      <c r="G14" s="173"/>
      <c r="H14" s="173"/>
      <c r="I14" s="174"/>
    </row>
    <row r="15" spans="2:9" x14ac:dyDescent="0.3">
      <c r="D15" t="s">
        <v>1960</v>
      </c>
      <c r="F15" t="s">
        <v>1962</v>
      </c>
    </row>
    <row r="16" spans="2:9" x14ac:dyDescent="0.3">
      <c r="F16">
        <v>3132</v>
      </c>
    </row>
    <row r="17" spans="6:6" x14ac:dyDescent="0.3">
      <c r="F17">
        <v>3130</v>
      </c>
    </row>
  </sheetData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9714-51C3-45A7-A5FD-7523F9945E88}">
  <sheetPr codeName="Feuil12">
    <pageSetUpPr fitToPage="1"/>
  </sheetPr>
  <dimension ref="A1:W46"/>
  <sheetViews>
    <sheetView topLeftCell="A12" zoomScale="115" zoomScaleNormal="115" zoomScaleSheetLayoutView="115" workbookViewId="0">
      <selection activeCell="I22" sqref="I22"/>
    </sheetView>
  </sheetViews>
  <sheetFormatPr baseColWidth="10" defaultColWidth="14" defaultRowHeight="15" outlineLevelCol="1" x14ac:dyDescent="0.3"/>
  <cols>
    <col min="1" max="1" width="10.21875" style="104" customWidth="1"/>
    <col min="2" max="2" width="8.33203125" style="104" customWidth="1"/>
    <col min="3" max="6" width="10.21875" style="104" customWidth="1"/>
    <col min="7" max="7" width="12" style="104" customWidth="1"/>
    <col min="8" max="8" width="14.77734375" style="104" customWidth="1"/>
    <col min="9" max="9" width="16" style="104" customWidth="1"/>
    <col min="10" max="10" width="3.77734375" style="104" customWidth="1"/>
    <col min="11" max="12" width="14" style="103" customWidth="1"/>
    <col min="13" max="18" width="14" style="103" hidden="1" customWidth="1" outlineLevel="1"/>
    <col min="19" max="19" width="14" style="103" collapsed="1"/>
    <col min="20" max="22" width="14" style="103"/>
    <col min="23" max="23" width="62.21875" style="104" customWidth="1"/>
    <col min="24" max="256" width="14" style="104"/>
    <col min="257" max="257" width="10.21875" style="104" customWidth="1"/>
    <col min="258" max="258" width="8.33203125" style="104" customWidth="1"/>
    <col min="259" max="262" width="10.21875" style="104" customWidth="1"/>
    <col min="263" max="263" width="12" style="104" customWidth="1"/>
    <col min="264" max="264" width="14.77734375" style="104" customWidth="1"/>
    <col min="265" max="265" width="16" style="104" customWidth="1"/>
    <col min="266" max="266" width="3.77734375" style="104" customWidth="1"/>
    <col min="267" max="274" width="0" style="104" hidden="1" customWidth="1"/>
    <col min="275" max="278" width="14" style="104"/>
    <col min="279" max="279" width="62.21875" style="104" customWidth="1"/>
    <col min="280" max="512" width="14" style="104"/>
    <col min="513" max="513" width="10.21875" style="104" customWidth="1"/>
    <col min="514" max="514" width="8.33203125" style="104" customWidth="1"/>
    <col min="515" max="518" width="10.21875" style="104" customWidth="1"/>
    <col min="519" max="519" width="12" style="104" customWidth="1"/>
    <col min="520" max="520" width="14.77734375" style="104" customWidth="1"/>
    <col min="521" max="521" width="16" style="104" customWidth="1"/>
    <col min="522" max="522" width="3.77734375" style="104" customWidth="1"/>
    <col min="523" max="530" width="0" style="104" hidden="1" customWidth="1"/>
    <col min="531" max="534" width="14" style="104"/>
    <col min="535" max="535" width="62.21875" style="104" customWidth="1"/>
    <col min="536" max="768" width="14" style="104"/>
    <col min="769" max="769" width="10.21875" style="104" customWidth="1"/>
    <col min="770" max="770" width="8.33203125" style="104" customWidth="1"/>
    <col min="771" max="774" width="10.21875" style="104" customWidth="1"/>
    <col min="775" max="775" width="12" style="104" customWidth="1"/>
    <col min="776" max="776" width="14.77734375" style="104" customWidth="1"/>
    <col min="777" max="777" width="16" style="104" customWidth="1"/>
    <col min="778" max="778" width="3.77734375" style="104" customWidth="1"/>
    <col min="779" max="786" width="0" style="104" hidden="1" customWidth="1"/>
    <col min="787" max="790" width="14" style="104"/>
    <col min="791" max="791" width="62.21875" style="104" customWidth="1"/>
    <col min="792" max="1024" width="14" style="104"/>
    <col min="1025" max="1025" width="10.21875" style="104" customWidth="1"/>
    <col min="1026" max="1026" width="8.33203125" style="104" customWidth="1"/>
    <col min="1027" max="1030" width="10.21875" style="104" customWidth="1"/>
    <col min="1031" max="1031" width="12" style="104" customWidth="1"/>
    <col min="1032" max="1032" width="14.77734375" style="104" customWidth="1"/>
    <col min="1033" max="1033" width="16" style="104" customWidth="1"/>
    <col min="1034" max="1034" width="3.77734375" style="104" customWidth="1"/>
    <col min="1035" max="1042" width="0" style="104" hidden="1" customWidth="1"/>
    <col min="1043" max="1046" width="14" style="104"/>
    <col min="1047" max="1047" width="62.21875" style="104" customWidth="1"/>
    <col min="1048" max="1280" width="14" style="104"/>
    <col min="1281" max="1281" width="10.21875" style="104" customWidth="1"/>
    <col min="1282" max="1282" width="8.33203125" style="104" customWidth="1"/>
    <col min="1283" max="1286" width="10.21875" style="104" customWidth="1"/>
    <col min="1287" max="1287" width="12" style="104" customWidth="1"/>
    <col min="1288" max="1288" width="14.77734375" style="104" customWidth="1"/>
    <col min="1289" max="1289" width="16" style="104" customWidth="1"/>
    <col min="1290" max="1290" width="3.77734375" style="104" customWidth="1"/>
    <col min="1291" max="1298" width="0" style="104" hidden="1" customWidth="1"/>
    <col min="1299" max="1302" width="14" style="104"/>
    <col min="1303" max="1303" width="62.21875" style="104" customWidth="1"/>
    <col min="1304" max="1536" width="14" style="104"/>
    <col min="1537" max="1537" width="10.21875" style="104" customWidth="1"/>
    <col min="1538" max="1538" width="8.33203125" style="104" customWidth="1"/>
    <col min="1539" max="1542" width="10.21875" style="104" customWidth="1"/>
    <col min="1543" max="1543" width="12" style="104" customWidth="1"/>
    <col min="1544" max="1544" width="14.77734375" style="104" customWidth="1"/>
    <col min="1545" max="1545" width="16" style="104" customWidth="1"/>
    <col min="1546" max="1546" width="3.77734375" style="104" customWidth="1"/>
    <col min="1547" max="1554" width="0" style="104" hidden="1" customWidth="1"/>
    <col min="1555" max="1558" width="14" style="104"/>
    <col min="1559" max="1559" width="62.21875" style="104" customWidth="1"/>
    <col min="1560" max="1792" width="14" style="104"/>
    <col min="1793" max="1793" width="10.21875" style="104" customWidth="1"/>
    <col min="1794" max="1794" width="8.33203125" style="104" customWidth="1"/>
    <col min="1795" max="1798" width="10.21875" style="104" customWidth="1"/>
    <col min="1799" max="1799" width="12" style="104" customWidth="1"/>
    <col min="1800" max="1800" width="14.77734375" style="104" customWidth="1"/>
    <col min="1801" max="1801" width="16" style="104" customWidth="1"/>
    <col min="1802" max="1802" width="3.77734375" style="104" customWidth="1"/>
    <col min="1803" max="1810" width="0" style="104" hidden="1" customWidth="1"/>
    <col min="1811" max="1814" width="14" style="104"/>
    <col min="1815" max="1815" width="62.21875" style="104" customWidth="1"/>
    <col min="1816" max="2048" width="14" style="104"/>
    <col min="2049" max="2049" width="10.21875" style="104" customWidth="1"/>
    <col min="2050" max="2050" width="8.33203125" style="104" customWidth="1"/>
    <col min="2051" max="2054" width="10.21875" style="104" customWidth="1"/>
    <col min="2055" max="2055" width="12" style="104" customWidth="1"/>
    <col min="2056" max="2056" width="14.77734375" style="104" customWidth="1"/>
    <col min="2057" max="2057" width="16" style="104" customWidth="1"/>
    <col min="2058" max="2058" width="3.77734375" style="104" customWidth="1"/>
    <col min="2059" max="2066" width="0" style="104" hidden="1" customWidth="1"/>
    <col min="2067" max="2070" width="14" style="104"/>
    <col min="2071" max="2071" width="62.21875" style="104" customWidth="1"/>
    <col min="2072" max="2304" width="14" style="104"/>
    <col min="2305" max="2305" width="10.21875" style="104" customWidth="1"/>
    <col min="2306" max="2306" width="8.33203125" style="104" customWidth="1"/>
    <col min="2307" max="2310" width="10.21875" style="104" customWidth="1"/>
    <col min="2311" max="2311" width="12" style="104" customWidth="1"/>
    <col min="2312" max="2312" width="14.77734375" style="104" customWidth="1"/>
    <col min="2313" max="2313" width="16" style="104" customWidth="1"/>
    <col min="2314" max="2314" width="3.77734375" style="104" customWidth="1"/>
    <col min="2315" max="2322" width="0" style="104" hidden="1" customWidth="1"/>
    <col min="2323" max="2326" width="14" style="104"/>
    <col min="2327" max="2327" width="62.21875" style="104" customWidth="1"/>
    <col min="2328" max="2560" width="14" style="104"/>
    <col min="2561" max="2561" width="10.21875" style="104" customWidth="1"/>
    <col min="2562" max="2562" width="8.33203125" style="104" customWidth="1"/>
    <col min="2563" max="2566" width="10.21875" style="104" customWidth="1"/>
    <col min="2567" max="2567" width="12" style="104" customWidth="1"/>
    <col min="2568" max="2568" width="14.77734375" style="104" customWidth="1"/>
    <col min="2569" max="2569" width="16" style="104" customWidth="1"/>
    <col min="2570" max="2570" width="3.77734375" style="104" customWidth="1"/>
    <col min="2571" max="2578" width="0" style="104" hidden="1" customWidth="1"/>
    <col min="2579" max="2582" width="14" style="104"/>
    <col min="2583" max="2583" width="62.21875" style="104" customWidth="1"/>
    <col min="2584" max="2816" width="14" style="104"/>
    <col min="2817" max="2817" width="10.21875" style="104" customWidth="1"/>
    <col min="2818" max="2818" width="8.33203125" style="104" customWidth="1"/>
    <col min="2819" max="2822" width="10.21875" style="104" customWidth="1"/>
    <col min="2823" max="2823" width="12" style="104" customWidth="1"/>
    <col min="2824" max="2824" width="14.77734375" style="104" customWidth="1"/>
    <col min="2825" max="2825" width="16" style="104" customWidth="1"/>
    <col min="2826" max="2826" width="3.77734375" style="104" customWidth="1"/>
    <col min="2827" max="2834" width="0" style="104" hidden="1" customWidth="1"/>
    <col min="2835" max="2838" width="14" style="104"/>
    <col min="2839" max="2839" width="62.21875" style="104" customWidth="1"/>
    <col min="2840" max="3072" width="14" style="104"/>
    <col min="3073" max="3073" width="10.21875" style="104" customWidth="1"/>
    <col min="3074" max="3074" width="8.33203125" style="104" customWidth="1"/>
    <col min="3075" max="3078" width="10.21875" style="104" customWidth="1"/>
    <col min="3079" max="3079" width="12" style="104" customWidth="1"/>
    <col min="3080" max="3080" width="14.77734375" style="104" customWidth="1"/>
    <col min="3081" max="3081" width="16" style="104" customWidth="1"/>
    <col min="3082" max="3082" width="3.77734375" style="104" customWidth="1"/>
    <col min="3083" max="3090" width="0" style="104" hidden="1" customWidth="1"/>
    <col min="3091" max="3094" width="14" style="104"/>
    <col min="3095" max="3095" width="62.21875" style="104" customWidth="1"/>
    <col min="3096" max="3328" width="14" style="104"/>
    <col min="3329" max="3329" width="10.21875" style="104" customWidth="1"/>
    <col min="3330" max="3330" width="8.33203125" style="104" customWidth="1"/>
    <col min="3331" max="3334" width="10.21875" style="104" customWidth="1"/>
    <col min="3335" max="3335" width="12" style="104" customWidth="1"/>
    <col min="3336" max="3336" width="14.77734375" style="104" customWidth="1"/>
    <col min="3337" max="3337" width="16" style="104" customWidth="1"/>
    <col min="3338" max="3338" width="3.77734375" style="104" customWidth="1"/>
    <col min="3339" max="3346" width="0" style="104" hidden="1" customWidth="1"/>
    <col min="3347" max="3350" width="14" style="104"/>
    <col min="3351" max="3351" width="62.21875" style="104" customWidth="1"/>
    <col min="3352" max="3584" width="14" style="104"/>
    <col min="3585" max="3585" width="10.21875" style="104" customWidth="1"/>
    <col min="3586" max="3586" width="8.33203125" style="104" customWidth="1"/>
    <col min="3587" max="3590" width="10.21875" style="104" customWidth="1"/>
    <col min="3591" max="3591" width="12" style="104" customWidth="1"/>
    <col min="3592" max="3592" width="14.77734375" style="104" customWidth="1"/>
    <col min="3593" max="3593" width="16" style="104" customWidth="1"/>
    <col min="3594" max="3594" width="3.77734375" style="104" customWidth="1"/>
    <col min="3595" max="3602" width="0" style="104" hidden="1" customWidth="1"/>
    <col min="3603" max="3606" width="14" style="104"/>
    <col min="3607" max="3607" width="62.21875" style="104" customWidth="1"/>
    <col min="3608" max="3840" width="14" style="104"/>
    <col min="3841" max="3841" width="10.21875" style="104" customWidth="1"/>
    <col min="3842" max="3842" width="8.33203125" style="104" customWidth="1"/>
    <col min="3843" max="3846" width="10.21875" style="104" customWidth="1"/>
    <col min="3847" max="3847" width="12" style="104" customWidth="1"/>
    <col min="3848" max="3848" width="14.77734375" style="104" customWidth="1"/>
    <col min="3849" max="3849" width="16" style="104" customWidth="1"/>
    <col min="3850" max="3850" width="3.77734375" style="104" customWidth="1"/>
    <col min="3851" max="3858" width="0" style="104" hidden="1" customWidth="1"/>
    <col min="3859" max="3862" width="14" style="104"/>
    <col min="3863" max="3863" width="62.21875" style="104" customWidth="1"/>
    <col min="3864" max="4096" width="14" style="104"/>
    <col min="4097" max="4097" width="10.21875" style="104" customWidth="1"/>
    <col min="4098" max="4098" width="8.33203125" style="104" customWidth="1"/>
    <col min="4099" max="4102" width="10.21875" style="104" customWidth="1"/>
    <col min="4103" max="4103" width="12" style="104" customWidth="1"/>
    <col min="4104" max="4104" width="14.77734375" style="104" customWidth="1"/>
    <col min="4105" max="4105" width="16" style="104" customWidth="1"/>
    <col min="4106" max="4106" width="3.77734375" style="104" customWidth="1"/>
    <col min="4107" max="4114" width="0" style="104" hidden="1" customWidth="1"/>
    <col min="4115" max="4118" width="14" style="104"/>
    <col min="4119" max="4119" width="62.21875" style="104" customWidth="1"/>
    <col min="4120" max="4352" width="14" style="104"/>
    <col min="4353" max="4353" width="10.21875" style="104" customWidth="1"/>
    <col min="4354" max="4354" width="8.33203125" style="104" customWidth="1"/>
    <col min="4355" max="4358" width="10.21875" style="104" customWidth="1"/>
    <col min="4359" max="4359" width="12" style="104" customWidth="1"/>
    <col min="4360" max="4360" width="14.77734375" style="104" customWidth="1"/>
    <col min="4361" max="4361" width="16" style="104" customWidth="1"/>
    <col min="4362" max="4362" width="3.77734375" style="104" customWidth="1"/>
    <col min="4363" max="4370" width="0" style="104" hidden="1" customWidth="1"/>
    <col min="4371" max="4374" width="14" style="104"/>
    <col min="4375" max="4375" width="62.21875" style="104" customWidth="1"/>
    <col min="4376" max="4608" width="14" style="104"/>
    <col min="4609" max="4609" width="10.21875" style="104" customWidth="1"/>
    <col min="4610" max="4610" width="8.33203125" style="104" customWidth="1"/>
    <col min="4611" max="4614" width="10.21875" style="104" customWidth="1"/>
    <col min="4615" max="4615" width="12" style="104" customWidth="1"/>
    <col min="4616" max="4616" width="14.77734375" style="104" customWidth="1"/>
    <col min="4617" max="4617" width="16" style="104" customWidth="1"/>
    <col min="4618" max="4618" width="3.77734375" style="104" customWidth="1"/>
    <col min="4619" max="4626" width="0" style="104" hidden="1" customWidth="1"/>
    <col min="4627" max="4630" width="14" style="104"/>
    <col min="4631" max="4631" width="62.21875" style="104" customWidth="1"/>
    <col min="4632" max="4864" width="14" style="104"/>
    <col min="4865" max="4865" width="10.21875" style="104" customWidth="1"/>
    <col min="4866" max="4866" width="8.33203125" style="104" customWidth="1"/>
    <col min="4867" max="4870" width="10.21875" style="104" customWidth="1"/>
    <col min="4871" max="4871" width="12" style="104" customWidth="1"/>
    <col min="4872" max="4872" width="14.77734375" style="104" customWidth="1"/>
    <col min="4873" max="4873" width="16" style="104" customWidth="1"/>
    <col min="4874" max="4874" width="3.77734375" style="104" customWidth="1"/>
    <col min="4875" max="4882" width="0" style="104" hidden="1" customWidth="1"/>
    <col min="4883" max="4886" width="14" style="104"/>
    <col min="4887" max="4887" width="62.21875" style="104" customWidth="1"/>
    <col min="4888" max="5120" width="14" style="104"/>
    <col min="5121" max="5121" width="10.21875" style="104" customWidth="1"/>
    <col min="5122" max="5122" width="8.33203125" style="104" customWidth="1"/>
    <col min="5123" max="5126" width="10.21875" style="104" customWidth="1"/>
    <col min="5127" max="5127" width="12" style="104" customWidth="1"/>
    <col min="5128" max="5128" width="14.77734375" style="104" customWidth="1"/>
    <col min="5129" max="5129" width="16" style="104" customWidth="1"/>
    <col min="5130" max="5130" width="3.77734375" style="104" customWidth="1"/>
    <col min="5131" max="5138" width="0" style="104" hidden="1" customWidth="1"/>
    <col min="5139" max="5142" width="14" style="104"/>
    <col min="5143" max="5143" width="62.21875" style="104" customWidth="1"/>
    <col min="5144" max="5376" width="14" style="104"/>
    <col min="5377" max="5377" width="10.21875" style="104" customWidth="1"/>
    <col min="5378" max="5378" width="8.33203125" style="104" customWidth="1"/>
    <col min="5379" max="5382" width="10.21875" style="104" customWidth="1"/>
    <col min="5383" max="5383" width="12" style="104" customWidth="1"/>
    <col min="5384" max="5384" width="14.77734375" style="104" customWidth="1"/>
    <col min="5385" max="5385" width="16" style="104" customWidth="1"/>
    <col min="5386" max="5386" width="3.77734375" style="104" customWidth="1"/>
    <col min="5387" max="5394" width="0" style="104" hidden="1" customWidth="1"/>
    <col min="5395" max="5398" width="14" style="104"/>
    <col min="5399" max="5399" width="62.21875" style="104" customWidth="1"/>
    <col min="5400" max="5632" width="14" style="104"/>
    <col min="5633" max="5633" width="10.21875" style="104" customWidth="1"/>
    <col min="5634" max="5634" width="8.33203125" style="104" customWidth="1"/>
    <col min="5635" max="5638" width="10.21875" style="104" customWidth="1"/>
    <col min="5639" max="5639" width="12" style="104" customWidth="1"/>
    <col min="5640" max="5640" width="14.77734375" style="104" customWidth="1"/>
    <col min="5641" max="5641" width="16" style="104" customWidth="1"/>
    <col min="5642" max="5642" width="3.77734375" style="104" customWidth="1"/>
    <col min="5643" max="5650" width="0" style="104" hidden="1" customWidth="1"/>
    <col min="5651" max="5654" width="14" style="104"/>
    <col min="5655" max="5655" width="62.21875" style="104" customWidth="1"/>
    <col min="5656" max="5888" width="14" style="104"/>
    <col min="5889" max="5889" width="10.21875" style="104" customWidth="1"/>
    <col min="5890" max="5890" width="8.33203125" style="104" customWidth="1"/>
    <col min="5891" max="5894" width="10.21875" style="104" customWidth="1"/>
    <col min="5895" max="5895" width="12" style="104" customWidth="1"/>
    <col min="5896" max="5896" width="14.77734375" style="104" customWidth="1"/>
    <col min="5897" max="5897" width="16" style="104" customWidth="1"/>
    <col min="5898" max="5898" width="3.77734375" style="104" customWidth="1"/>
    <col min="5899" max="5906" width="0" style="104" hidden="1" customWidth="1"/>
    <col min="5907" max="5910" width="14" style="104"/>
    <col min="5911" max="5911" width="62.21875" style="104" customWidth="1"/>
    <col min="5912" max="6144" width="14" style="104"/>
    <col min="6145" max="6145" width="10.21875" style="104" customWidth="1"/>
    <col min="6146" max="6146" width="8.33203125" style="104" customWidth="1"/>
    <col min="6147" max="6150" width="10.21875" style="104" customWidth="1"/>
    <col min="6151" max="6151" width="12" style="104" customWidth="1"/>
    <col min="6152" max="6152" width="14.77734375" style="104" customWidth="1"/>
    <col min="6153" max="6153" width="16" style="104" customWidth="1"/>
    <col min="6154" max="6154" width="3.77734375" style="104" customWidth="1"/>
    <col min="6155" max="6162" width="0" style="104" hidden="1" customWidth="1"/>
    <col min="6163" max="6166" width="14" style="104"/>
    <col min="6167" max="6167" width="62.21875" style="104" customWidth="1"/>
    <col min="6168" max="6400" width="14" style="104"/>
    <col min="6401" max="6401" width="10.21875" style="104" customWidth="1"/>
    <col min="6402" max="6402" width="8.33203125" style="104" customWidth="1"/>
    <col min="6403" max="6406" width="10.21875" style="104" customWidth="1"/>
    <col min="6407" max="6407" width="12" style="104" customWidth="1"/>
    <col min="6408" max="6408" width="14.77734375" style="104" customWidth="1"/>
    <col min="6409" max="6409" width="16" style="104" customWidth="1"/>
    <col min="6410" max="6410" width="3.77734375" style="104" customWidth="1"/>
    <col min="6411" max="6418" width="0" style="104" hidden="1" customWidth="1"/>
    <col min="6419" max="6422" width="14" style="104"/>
    <col min="6423" max="6423" width="62.21875" style="104" customWidth="1"/>
    <col min="6424" max="6656" width="14" style="104"/>
    <col min="6657" max="6657" width="10.21875" style="104" customWidth="1"/>
    <col min="6658" max="6658" width="8.33203125" style="104" customWidth="1"/>
    <col min="6659" max="6662" width="10.21875" style="104" customWidth="1"/>
    <col min="6663" max="6663" width="12" style="104" customWidth="1"/>
    <col min="6664" max="6664" width="14.77734375" style="104" customWidth="1"/>
    <col min="6665" max="6665" width="16" style="104" customWidth="1"/>
    <col min="6666" max="6666" width="3.77734375" style="104" customWidth="1"/>
    <col min="6667" max="6674" width="0" style="104" hidden="1" customWidth="1"/>
    <col min="6675" max="6678" width="14" style="104"/>
    <col min="6679" max="6679" width="62.21875" style="104" customWidth="1"/>
    <col min="6680" max="6912" width="14" style="104"/>
    <col min="6913" max="6913" width="10.21875" style="104" customWidth="1"/>
    <col min="6914" max="6914" width="8.33203125" style="104" customWidth="1"/>
    <col min="6915" max="6918" width="10.21875" style="104" customWidth="1"/>
    <col min="6919" max="6919" width="12" style="104" customWidth="1"/>
    <col min="6920" max="6920" width="14.77734375" style="104" customWidth="1"/>
    <col min="6921" max="6921" width="16" style="104" customWidth="1"/>
    <col min="6922" max="6922" width="3.77734375" style="104" customWidth="1"/>
    <col min="6923" max="6930" width="0" style="104" hidden="1" customWidth="1"/>
    <col min="6931" max="6934" width="14" style="104"/>
    <col min="6935" max="6935" width="62.21875" style="104" customWidth="1"/>
    <col min="6936" max="7168" width="14" style="104"/>
    <col min="7169" max="7169" width="10.21875" style="104" customWidth="1"/>
    <col min="7170" max="7170" width="8.33203125" style="104" customWidth="1"/>
    <col min="7171" max="7174" width="10.21875" style="104" customWidth="1"/>
    <col min="7175" max="7175" width="12" style="104" customWidth="1"/>
    <col min="7176" max="7176" width="14.77734375" style="104" customWidth="1"/>
    <col min="7177" max="7177" width="16" style="104" customWidth="1"/>
    <col min="7178" max="7178" width="3.77734375" style="104" customWidth="1"/>
    <col min="7179" max="7186" width="0" style="104" hidden="1" customWidth="1"/>
    <col min="7187" max="7190" width="14" style="104"/>
    <col min="7191" max="7191" width="62.21875" style="104" customWidth="1"/>
    <col min="7192" max="7424" width="14" style="104"/>
    <col min="7425" max="7425" width="10.21875" style="104" customWidth="1"/>
    <col min="7426" max="7426" width="8.33203125" style="104" customWidth="1"/>
    <col min="7427" max="7430" width="10.21875" style="104" customWidth="1"/>
    <col min="7431" max="7431" width="12" style="104" customWidth="1"/>
    <col min="7432" max="7432" width="14.77734375" style="104" customWidth="1"/>
    <col min="7433" max="7433" width="16" style="104" customWidth="1"/>
    <col min="7434" max="7434" width="3.77734375" style="104" customWidth="1"/>
    <col min="7435" max="7442" width="0" style="104" hidden="1" customWidth="1"/>
    <col min="7443" max="7446" width="14" style="104"/>
    <col min="7447" max="7447" width="62.21875" style="104" customWidth="1"/>
    <col min="7448" max="7680" width="14" style="104"/>
    <col min="7681" max="7681" width="10.21875" style="104" customWidth="1"/>
    <col min="7682" max="7682" width="8.33203125" style="104" customWidth="1"/>
    <col min="7683" max="7686" width="10.21875" style="104" customWidth="1"/>
    <col min="7687" max="7687" width="12" style="104" customWidth="1"/>
    <col min="7688" max="7688" width="14.77734375" style="104" customWidth="1"/>
    <col min="7689" max="7689" width="16" style="104" customWidth="1"/>
    <col min="7690" max="7690" width="3.77734375" style="104" customWidth="1"/>
    <col min="7691" max="7698" width="0" style="104" hidden="1" customWidth="1"/>
    <col min="7699" max="7702" width="14" style="104"/>
    <col min="7703" max="7703" width="62.21875" style="104" customWidth="1"/>
    <col min="7704" max="7936" width="14" style="104"/>
    <col min="7937" max="7937" width="10.21875" style="104" customWidth="1"/>
    <col min="7938" max="7938" width="8.33203125" style="104" customWidth="1"/>
    <col min="7939" max="7942" width="10.21875" style="104" customWidth="1"/>
    <col min="7943" max="7943" width="12" style="104" customWidth="1"/>
    <col min="7944" max="7944" width="14.77734375" style="104" customWidth="1"/>
    <col min="7945" max="7945" width="16" style="104" customWidth="1"/>
    <col min="7946" max="7946" width="3.77734375" style="104" customWidth="1"/>
    <col min="7947" max="7954" width="0" style="104" hidden="1" customWidth="1"/>
    <col min="7955" max="7958" width="14" style="104"/>
    <col min="7959" max="7959" width="62.21875" style="104" customWidth="1"/>
    <col min="7960" max="8192" width="14" style="104"/>
    <col min="8193" max="8193" width="10.21875" style="104" customWidth="1"/>
    <col min="8194" max="8194" width="8.33203125" style="104" customWidth="1"/>
    <col min="8195" max="8198" width="10.21875" style="104" customWidth="1"/>
    <col min="8199" max="8199" width="12" style="104" customWidth="1"/>
    <col min="8200" max="8200" width="14.77734375" style="104" customWidth="1"/>
    <col min="8201" max="8201" width="16" style="104" customWidth="1"/>
    <col min="8202" max="8202" width="3.77734375" style="104" customWidth="1"/>
    <col min="8203" max="8210" width="0" style="104" hidden="1" customWidth="1"/>
    <col min="8211" max="8214" width="14" style="104"/>
    <col min="8215" max="8215" width="62.21875" style="104" customWidth="1"/>
    <col min="8216" max="8448" width="14" style="104"/>
    <col min="8449" max="8449" width="10.21875" style="104" customWidth="1"/>
    <col min="8450" max="8450" width="8.33203125" style="104" customWidth="1"/>
    <col min="8451" max="8454" width="10.21875" style="104" customWidth="1"/>
    <col min="8455" max="8455" width="12" style="104" customWidth="1"/>
    <col min="8456" max="8456" width="14.77734375" style="104" customWidth="1"/>
    <col min="8457" max="8457" width="16" style="104" customWidth="1"/>
    <col min="8458" max="8458" width="3.77734375" style="104" customWidth="1"/>
    <col min="8459" max="8466" width="0" style="104" hidden="1" customWidth="1"/>
    <col min="8467" max="8470" width="14" style="104"/>
    <col min="8471" max="8471" width="62.21875" style="104" customWidth="1"/>
    <col min="8472" max="8704" width="14" style="104"/>
    <col min="8705" max="8705" width="10.21875" style="104" customWidth="1"/>
    <col min="8706" max="8706" width="8.33203125" style="104" customWidth="1"/>
    <col min="8707" max="8710" width="10.21875" style="104" customWidth="1"/>
    <col min="8711" max="8711" width="12" style="104" customWidth="1"/>
    <col min="8712" max="8712" width="14.77734375" style="104" customWidth="1"/>
    <col min="8713" max="8713" width="16" style="104" customWidth="1"/>
    <col min="8714" max="8714" width="3.77734375" style="104" customWidth="1"/>
    <col min="8715" max="8722" width="0" style="104" hidden="1" customWidth="1"/>
    <col min="8723" max="8726" width="14" style="104"/>
    <col min="8727" max="8727" width="62.21875" style="104" customWidth="1"/>
    <col min="8728" max="8960" width="14" style="104"/>
    <col min="8961" max="8961" width="10.21875" style="104" customWidth="1"/>
    <col min="8962" max="8962" width="8.33203125" style="104" customWidth="1"/>
    <col min="8963" max="8966" width="10.21875" style="104" customWidth="1"/>
    <col min="8967" max="8967" width="12" style="104" customWidth="1"/>
    <col min="8968" max="8968" width="14.77734375" style="104" customWidth="1"/>
    <col min="8969" max="8969" width="16" style="104" customWidth="1"/>
    <col min="8970" max="8970" width="3.77734375" style="104" customWidth="1"/>
    <col min="8971" max="8978" width="0" style="104" hidden="1" customWidth="1"/>
    <col min="8979" max="8982" width="14" style="104"/>
    <col min="8983" max="8983" width="62.21875" style="104" customWidth="1"/>
    <col min="8984" max="9216" width="14" style="104"/>
    <col min="9217" max="9217" width="10.21875" style="104" customWidth="1"/>
    <col min="9218" max="9218" width="8.33203125" style="104" customWidth="1"/>
    <col min="9219" max="9222" width="10.21875" style="104" customWidth="1"/>
    <col min="9223" max="9223" width="12" style="104" customWidth="1"/>
    <col min="9224" max="9224" width="14.77734375" style="104" customWidth="1"/>
    <col min="9225" max="9225" width="16" style="104" customWidth="1"/>
    <col min="9226" max="9226" width="3.77734375" style="104" customWidth="1"/>
    <col min="9227" max="9234" width="0" style="104" hidden="1" customWidth="1"/>
    <col min="9235" max="9238" width="14" style="104"/>
    <col min="9239" max="9239" width="62.21875" style="104" customWidth="1"/>
    <col min="9240" max="9472" width="14" style="104"/>
    <col min="9473" max="9473" width="10.21875" style="104" customWidth="1"/>
    <col min="9474" max="9474" width="8.33203125" style="104" customWidth="1"/>
    <col min="9475" max="9478" width="10.21875" style="104" customWidth="1"/>
    <col min="9479" max="9479" width="12" style="104" customWidth="1"/>
    <col min="9480" max="9480" width="14.77734375" style="104" customWidth="1"/>
    <col min="9481" max="9481" width="16" style="104" customWidth="1"/>
    <col min="9482" max="9482" width="3.77734375" style="104" customWidth="1"/>
    <col min="9483" max="9490" width="0" style="104" hidden="1" customWidth="1"/>
    <col min="9491" max="9494" width="14" style="104"/>
    <col min="9495" max="9495" width="62.21875" style="104" customWidth="1"/>
    <col min="9496" max="9728" width="14" style="104"/>
    <col min="9729" max="9729" width="10.21875" style="104" customWidth="1"/>
    <col min="9730" max="9730" width="8.33203125" style="104" customWidth="1"/>
    <col min="9731" max="9734" width="10.21875" style="104" customWidth="1"/>
    <col min="9735" max="9735" width="12" style="104" customWidth="1"/>
    <col min="9736" max="9736" width="14.77734375" style="104" customWidth="1"/>
    <col min="9737" max="9737" width="16" style="104" customWidth="1"/>
    <col min="9738" max="9738" width="3.77734375" style="104" customWidth="1"/>
    <col min="9739" max="9746" width="0" style="104" hidden="1" customWidth="1"/>
    <col min="9747" max="9750" width="14" style="104"/>
    <col min="9751" max="9751" width="62.21875" style="104" customWidth="1"/>
    <col min="9752" max="9984" width="14" style="104"/>
    <col min="9985" max="9985" width="10.21875" style="104" customWidth="1"/>
    <col min="9986" max="9986" width="8.33203125" style="104" customWidth="1"/>
    <col min="9987" max="9990" width="10.21875" style="104" customWidth="1"/>
    <col min="9991" max="9991" width="12" style="104" customWidth="1"/>
    <col min="9992" max="9992" width="14.77734375" style="104" customWidth="1"/>
    <col min="9993" max="9993" width="16" style="104" customWidth="1"/>
    <col min="9994" max="9994" width="3.77734375" style="104" customWidth="1"/>
    <col min="9995" max="10002" width="0" style="104" hidden="1" customWidth="1"/>
    <col min="10003" max="10006" width="14" style="104"/>
    <col min="10007" max="10007" width="62.21875" style="104" customWidth="1"/>
    <col min="10008" max="10240" width="14" style="104"/>
    <col min="10241" max="10241" width="10.21875" style="104" customWidth="1"/>
    <col min="10242" max="10242" width="8.33203125" style="104" customWidth="1"/>
    <col min="10243" max="10246" width="10.21875" style="104" customWidth="1"/>
    <col min="10247" max="10247" width="12" style="104" customWidth="1"/>
    <col min="10248" max="10248" width="14.77734375" style="104" customWidth="1"/>
    <col min="10249" max="10249" width="16" style="104" customWidth="1"/>
    <col min="10250" max="10250" width="3.77734375" style="104" customWidth="1"/>
    <col min="10251" max="10258" width="0" style="104" hidden="1" customWidth="1"/>
    <col min="10259" max="10262" width="14" style="104"/>
    <col min="10263" max="10263" width="62.21875" style="104" customWidth="1"/>
    <col min="10264" max="10496" width="14" style="104"/>
    <col min="10497" max="10497" width="10.21875" style="104" customWidth="1"/>
    <col min="10498" max="10498" width="8.33203125" style="104" customWidth="1"/>
    <col min="10499" max="10502" width="10.21875" style="104" customWidth="1"/>
    <col min="10503" max="10503" width="12" style="104" customWidth="1"/>
    <col min="10504" max="10504" width="14.77734375" style="104" customWidth="1"/>
    <col min="10505" max="10505" width="16" style="104" customWidth="1"/>
    <col min="10506" max="10506" width="3.77734375" style="104" customWidth="1"/>
    <col min="10507" max="10514" width="0" style="104" hidden="1" customWidth="1"/>
    <col min="10515" max="10518" width="14" style="104"/>
    <col min="10519" max="10519" width="62.21875" style="104" customWidth="1"/>
    <col min="10520" max="10752" width="14" style="104"/>
    <col min="10753" max="10753" width="10.21875" style="104" customWidth="1"/>
    <col min="10754" max="10754" width="8.33203125" style="104" customWidth="1"/>
    <col min="10755" max="10758" width="10.21875" style="104" customWidth="1"/>
    <col min="10759" max="10759" width="12" style="104" customWidth="1"/>
    <col min="10760" max="10760" width="14.77734375" style="104" customWidth="1"/>
    <col min="10761" max="10761" width="16" style="104" customWidth="1"/>
    <col min="10762" max="10762" width="3.77734375" style="104" customWidth="1"/>
    <col min="10763" max="10770" width="0" style="104" hidden="1" customWidth="1"/>
    <col min="10771" max="10774" width="14" style="104"/>
    <col min="10775" max="10775" width="62.21875" style="104" customWidth="1"/>
    <col min="10776" max="11008" width="14" style="104"/>
    <col min="11009" max="11009" width="10.21875" style="104" customWidth="1"/>
    <col min="11010" max="11010" width="8.33203125" style="104" customWidth="1"/>
    <col min="11011" max="11014" width="10.21875" style="104" customWidth="1"/>
    <col min="11015" max="11015" width="12" style="104" customWidth="1"/>
    <col min="11016" max="11016" width="14.77734375" style="104" customWidth="1"/>
    <col min="11017" max="11017" width="16" style="104" customWidth="1"/>
    <col min="11018" max="11018" width="3.77734375" style="104" customWidth="1"/>
    <col min="11019" max="11026" width="0" style="104" hidden="1" customWidth="1"/>
    <col min="11027" max="11030" width="14" style="104"/>
    <col min="11031" max="11031" width="62.21875" style="104" customWidth="1"/>
    <col min="11032" max="11264" width="14" style="104"/>
    <col min="11265" max="11265" width="10.21875" style="104" customWidth="1"/>
    <col min="11266" max="11266" width="8.33203125" style="104" customWidth="1"/>
    <col min="11267" max="11270" width="10.21875" style="104" customWidth="1"/>
    <col min="11271" max="11271" width="12" style="104" customWidth="1"/>
    <col min="11272" max="11272" width="14.77734375" style="104" customWidth="1"/>
    <col min="11273" max="11273" width="16" style="104" customWidth="1"/>
    <col min="11274" max="11274" width="3.77734375" style="104" customWidth="1"/>
    <col min="11275" max="11282" width="0" style="104" hidden="1" customWidth="1"/>
    <col min="11283" max="11286" width="14" style="104"/>
    <col min="11287" max="11287" width="62.21875" style="104" customWidth="1"/>
    <col min="11288" max="11520" width="14" style="104"/>
    <col min="11521" max="11521" width="10.21875" style="104" customWidth="1"/>
    <col min="11522" max="11522" width="8.33203125" style="104" customWidth="1"/>
    <col min="11523" max="11526" width="10.21875" style="104" customWidth="1"/>
    <col min="11527" max="11527" width="12" style="104" customWidth="1"/>
    <col min="11528" max="11528" width="14.77734375" style="104" customWidth="1"/>
    <col min="11529" max="11529" width="16" style="104" customWidth="1"/>
    <col min="11530" max="11530" width="3.77734375" style="104" customWidth="1"/>
    <col min="11531" max="11538" width="0" style="104" hidden="1" customWidth="1"/>
    <col min="11539" max="11542" width="14" style="104"/>
    <col min="11543" max="11543" width="62.21875" style="104" customWidth="1"/>
    <col min="11544" max="11776" width="14" style="104"/>
    <col min="11777" max="11777" width="10.21875" style="104" customWidth="1"/>
    <col min="11778" max="11778" width="8.33203125" style="104" customWidth="1"/>
    <col min="11779" max="11782" width="10.21875" style="104" customWidth="1"/>
    <col min="11783" max="11783" width="12" style="104" customWidth="1"/>
    <col min="11784" max="11784" width="14.77734375" style="104" customWidth="1"/>
    <col min="11785" max="11785" width="16" style="104" customWidth="1"/>
    <col min="11786" max="11786" width="3.77734375" style="104" customWidth="1"/>
    <col min="11787" max="11794" width="0" style="104" hidden="1" customWidth="1"/>
    <col min="11795" max="11798" width="14" style="104"/>
    <col min="11799" max="11799" width="62.21875" style="104" customWidth="1"/>
    <col min="11800" max="12032" width="14" style="104"/>
    <col min="12033" max="12033" width="10.21875" style="104" customWidth="1"/>
    <col min="12034" max="12034" width="8.33203125" style="104" customWidth="1"/>
    <col min="12035" max="12038" width="10.21875" style="104" customWidth="1"/>
    <col min="12039" max="12039" width="12" style="104" customWidth="1"/>
    <col min="12040" max="12040" width="14.77734375" style="104" customWidth="1"/>
    <col min="12041" max="12041" width="16" style="104" customWidth="1"/>
    <col min="12042" max="12042" width="3.77734375" style="104" customWidth="1"/>
    <col min="12043" max="12050" width="0" style="104" hidden="1" customWidth="1"/>
    <col min="12051" max="12054" width="14" style="104"/>
    <col min="12055" max="12055" width="62.21875" style="104" customWidth="1"/>
    <col min="12056" max="12288" width="14" style="104"/>
    <col min="12289" max="12289" width="10.21875" style="104" customWidth="1"/>
    <col min="12290" max="12290" width="8.33203125" style="104" customWidth="1"/>
    <col min="12291" max="12294" width="10.21875" style="104" customWidth="1"/>
    <col min="12295" max="12295" width="12" style="104" customWidth="1"/>
    <col min="12296" max="12296" width="14.77734375" style="104" customWidth="1"/>
    <col min="12297" max="12297" width="16" style="104" customWidth="1"/>
    <col min="12298" max="12298" width="3.77734375" style="104" customWidth="1"/>
    <col min="12299" max="12306" width="0" style="104" hidden="1" customWidth="1"/>
    <col min="12307" max="12310" width="14" style="104"/>
    <col min="12311" max="12311" width="62.21875" style="104" customWidth="1"/>
    <col min="12312" max="12544" width="14" style="104"/>
    <col min="12545" max="12545" width="10.21875" style="104" customWidth="1"/>
    <col min="12546" max="12546" width="8.33203125" style="104" customWidth="1"/>
    <col min="12547" max="12550" width="10.21875" style="104" customWidth="1"/>
    <col min="12551" max="12551" width="12" style="104" customWidth="1"/>
    <col min="12552" max="12552" width="14.77734375" style="104" customWidth="1"/>
    <col min="12553" max="12553" width="16" style="104" customWidth="1"/>
    <col min="12554" max="12554" width="3.77734375" style="104" customWidth="1"/>
    <col min="12555" max="12562" width="0" style="104" hidden="1" customWidth="1"/>
    <col min="12563" max="12566" width="14" style="104"/>
    <col min="12567" max="12567" width="62.21875" style="104" customWidth="1"/>
    <col min="12568" max="12800" width="14" style="104"/>
    <col min="12801" max="12801" width="10.21875" style="104" customWidth="1"/>
    <col min="12802" max="12802" width="8.33203125" style="104" customWidth="1"/>
    <col min="12803" max="12806" width="10.21875" style="104" customWidth="1"/>
    <col min="12807" max="12807" width="12" style="104" customWidth="1"/>
    <col min="12808" max="12808" width="14.77734375" style="104" customWidth="1"/>
    <col min="12809" max="12809" width="16" style="104" customWidth="1"/>
    <col min="12810" max="12810" width="3.77734375" style="104" customWidth="1"/>
    <col min="12811" max="12818" width="0" style="104" hidden="1" customWidth="1"/>
    <col min="12819" max="12822" width="14" style="104"/>
    <col min="12823" max="12823" width="62.21875" style="104" customWidth="1"/>
    <col min="12824" max="13056" width="14" style="104"/>
    <col min="13057" max="13057" width="10.21875" style="104" customWidth="1"/>
    <col min="13058" max="13058" width="8.33203125" style="104" customWidth="1"/>
    <col min="13059" max="13062" width="10.21875" style="104" customWidth="1"/>
    <col min="13063" max="13063" width="12" style="104" customWidth="1"/>
    <col min="13064" max="13064" width="14.77734375" style="104" customWidth="1"/>
    <col min="13065" max="13065" width="16" style="104" customWidth="1"/>
    <col min="13066" max="13066" width="3.77734375" style="104" customWidth="1"/>
    <col min="13067" max="13074" width="0" style="104" hidden="1" customWidth="1"/>
    <col min="13075" max="13078" width="14" style="104"/>
    <col min="13079" max="13079" width="62.21875" style="104" customWidth="1"/>
    <col min="13080" max="13312" width="14" style="104"/>
    <col min="13313" max="13313" width="10.21875" style="104" customWidth="1"/>
    <col min="13314" max="13314" width="8.33203125" style="104" customWidth="1"/>
    <col min="13315" max="13318" width="10.21875" style="104" customWidth="1"/>
    <col min="13319" max="13319" width="12" style="104" customWidth="1"/>
    <col min="13320" max="13320" width="14.77734375" style="104" customWidth="1"/>
    <col min="13321" max="13321" width="16" style="104" customWidth="1"/>
    <col min="13322" max="13322" width="3.77734375" style="104" customWidth="1"/>
    <col min="13323" max="13330" width="0" style="104" hidden="1" customWidth="1"/>
    <col min="13331" max="13334" width="14" style="104"/>
    <col min="13335" max="13335" width="62.21875" style="104" customWidth="1"/>
    <col min="13336" max="13568" width="14" style="104"/>
    <col min="13569" max="13569" width="10.21875" style="104" customWidth="1"/>
    <col min="13570" max="13570" width="8.33203125" style="104" customWidth="1"/>
    <col min="13571" max="13574" width="10.21875" style="104" customWidth="1"/>
    <col min="13575" max="13575" width="12" style="104" customWidth="1"/>
    <col min="13576" max="13576" width="14.77734375" style="104" customWidth="1"/>
    <col min="13577" max="13577" width="16" style="104" customWidth="1"/>
    <col min="13578" max="13578" width="3.77734375" style="104" customWidth="1"/>
    <col min="13579" max="13586" width="0" style="104" hidden="1" customWidth="1"/>
    <col min="13587" max="13590" width="14" style="104"/>
    <col min="13591" max="13591" width="62.21875" style="104" customWidth="1"/>
    <col min="13592" max="13824" width="14" style="104"/>
    <col min="13825" max="13825" width="10.21875" style="104" customWidth="1"/>
    <col min="13826" max="13826" width="8.33203125" style="104" customWidth="1"/>
    <col min="13827" max="13830" width="10.21875" style="104" customWidth="1"/>
    <col min="13831" max="13831" width="12" style="104" customWidth="1"/>
    <col min="13832" max="13832" width="14.77734375" style="104" customWidth="1"/>
    <col min="13833" max="13833" width="16" style="104" customWidth="1"/>
    <col min="13834" max="13834" width="3.77734375" style="104" customWidth="1"/>
    <col min="13835" max="13842" width="0" style="104" hidden="1" customWidth="1"/>
    <col min="13843" max="13846" width="14" style="104"/>
    <col min="13847" max="13847" width="62.21875" style="104" customWidth="1"/>
    <col min="13848" max="14080" width="14" style="104"/>
    <col min="14081" max="14081" width="10.21875" style="104" customWidth="1"/>
    <col min="14082" max="14082" width="8.33203125" style="104" customWidth="1"/>
    <col min="14083" max="14086" width="10.21875" style="104" customWidth="1"/>
    <col min="14087" max="14087" width="12" style="104" customWidth="1"/>
    <col min="14088" max="14088" width="14.77734375" style="104" customWidth="1"/>
    <col min="14089" max="14089" width="16" style="104" customWidth="1"/>
    <col min="14090" max="14090" width="3.77734375" style="104" customWidth="1"/>
    <col min="14091" max="14098" width="0" style="104" hidden="1" customWidth="1"/>
    <col min="14099" max="14102" width="14" style="104"/>
    <col min="14103" max="14103" width="62.21875" style="104" customWidth="1"/>
    <col min="14104" max="14336" width="14" style="104"/>
    <col min="14337" max="14337" width="10.21875" style="104" customWidth="1"/>
    <col min="14338" max="14338" width="8.33203125" style="104" customWidth="1"/>
    <col min="14339" max="14342" width="10.21875" style="104" customWidth="1"/>
    <col min="14343" max="14343" width="12" style="104" customWidth="1"/>
    <col min="14344" max="14344" width="14.77734375" style="104" customWidth="1"/>
    <col min="14345" max="14345" width="16" style="104" customWidth="1"/>
    <col min="14346" max="14346" width="3.77734375" style="104" customWidth="1"/>
    <col min="14347" max="14354" width="0" style="104" hidden="1" customWidth="1"/>
    <col min="14355" max="14358" width="14" style="104"/>
    <col min="14359" max="14359" width="62.21875" style="104" customWidth="1"/>
    <col min="14360" max="14592" width="14" style="104"/>
    <col min="14593" max="14593" width="10.21875" style="104" customWidth="1"/>
    <col min="14594" max="14594" width="8.33203125" style="104" customWidth="1"/>
    <col min="14595" max="14598" width="10.21875" style="104" customWidth="1"/>
    <col min="14599" max="14599" width="12" style="104" customWidth="1"/>
    <col min="14600" max="14600" width="14.77734375" style="104" customWidth="1"/>
    <col min="14601" max="14601" width="16" style="104" customWidth="1"/>
    <col min="14602" max="14602" width="3.77734375" style="104" customWidth="1"/>
    <col min="14603" max="14610" width="0" style="104" hidden="1" customWidth="1"/>
    <col min="14611" max="14614" width="14" style="104"/>
    <col min="14615" max="14615" width="62.21875" style="104" customWidth="1"/>
    <col min="14616" max="14848" width="14" style="104"/>
    <col min="14849" max="14849" width="10.21875" style="104" customWidth="1"/>
    <col min="14850" max="14850" width="8.33203125" style="104" customWidth="1"/>
    <col min="14851" max="14854" width="10.21875" style="104" customWidth="1"/>
    <col min="14855" max="14855" width="12" style="104" customWidth="1"/>
    <col min="14856" max="14856" width="14.77734375" style="104" customWidth="1"/>
    <col min="14857" max="14857" width="16" style="104" customWidth="1"/>
    <col min="14858" max="14858" width="3.77734375" style="104" customWidth="1"/>
    <col min="14859" max="14866" width="0" style="104" hidden="1" customWidth="1"/>
    <col min="14867" max="14870" width="14" style="104"/>
    <col min="14871" max="14871" width="62.21875" style="104" customWidth="1"/>
    <col min="14872" max="15104" width="14" style="104"/>
    <col min="15105" max="15105" width="10.21875" style="104" customWidth="1"/>
    <col min="15106" max="15106" width="8.33203125" style="104" customWidth="1"/>
    <col min="15107" max="15110" width="10.21875" style="104" customWidth="1"/>
    <col min="15111" max="15111" width="12" style="104" customWidth="1"/>
    <col min="15112" max="15112" width="14.77734375" style="104" customWidth="1"/>
    <col min="15113" max="15113" width="16" style="104" customWidth="1"/>
    <col min="15114" max="15114" width="3.77734375" style="104" customWidth="1"/>
    <col min="15115" max="15122" width="0" style="104" hidden="1" customWidth="1"/>
    <col min="15123" max="15126" width="14" style="104"/>
    <col min="15127" max="15127" width="62.21875" style="104" customWidth="1"/>
    <col min="15128" max="15360" width="14" style="104"/>
    <col min="15361" max="15361" width="10.21875" style="104" customWidth="1"/>
    <col min="15362" max="15362" width="8.33203125" style="104" customWidth="1"/>
    <col min="15363" max="15366" width="10.21875" style="104" customWidth="1"/>
    <col min="15367" max="15367" width="12" style="104" customWidth="1"/>
    <col min="15368" max="15368" width="14.77734375" style="104" customWidth="1"/>
    <col min="15369" max="15369" width="16" style="104" customWidth="1"/>
    <col min="15370" max="15370" width="3.77734375" style="104" customWidth="1"/>
    <col min="15371" max="15378" width="0" style="104" hidden="1" customWidth="1"/>
    <col min="15379" max="15382" width="14" style="104"/>
    <col min="15383" max="15383" width="62.21875" style="104" customWidth="1"/>
    <col min="15384" max="15616" width="14" style="104"/>
    <col min="15617" max="15617" width="10.21875" style="104" customWidth="1"/>
    <col min="15618" max="15618" width="8.33203125" style="104" customWidth="1"/>
    <col min="15619" max="15622" width="10.21875" style="104" customWidth="1"/>
    <col min="15623" max="15623" width="12" style="104" customWidth="1"/>
    <col min="15624" max="15624" width="14.77734375" style="104" customWidth="1"/>
    <col min="15625" max="15625" width="16" style="104" customWidth="1"/>
    <col min="15626" max="15626" width="3.77734375" style="104" customWidth="1"/>
    <col min="15627" max="15634" width="0" style="104" hidden="1" customWidth="1"/>
    <col min="15635" max="15638" width="14" style="104"/>
    <col min="15639" max="15639" width="62.21875" style="104" customWidth="1"/>
    <col min="15640" max="15872" width="14" style="104"/>
    <col min="15873" max="15873" width="10.21875" style="104" customWidth="1"/>
    <col min="15874" max="15874" width="8.33203125" style="104" customWidth="1"/>
    <col min="15875" max="15878" width="10.21875" style="104" customWidth="1"/>
    <col min="15879" max="15879" width="12" style="104" customWidth="1"/>
    <col min="15880" max="15880" width="14.77734375" style="104" customWidth="1"/>
    <col min="15881" max="15881" width="16" style="104" customWidth="1"/>
    <col min="15882" max="15882" width="3.77734375" style="104" customWidth="1"/>
    <col min="15883" max="15890" width="0" style="104" hidden="1" customWidth="1"/>
    <col min="15891" max="15894" width="14" style="104"/>
    <col min="15895" max="15895" width="62.21875" style="104" customWidth="1"/>
    <col min="15896" max="16128" width="14" style="104"/>
    <col min="16129" max="16129" width="10.21875" style="104" customWidth="1"/>
    <col min="16130" max="16130" width="8.33203125" style="104" customWidth="1"/>
    <col min="16131" max="16134" width="10.21875" style="104" customWidth="1"/>
    <col min="16135" max="16135" width="12" style="104" customWidth="1"/>
    <col min="16136" max="16136" width="14.77734375" style="104" customWidth="1"/>
    <col min="16137" max="16137" width="16" style="104" customWidth="1"/>
    <col min="16138" max="16138" width="3.77734375" style="104" customWidth="1"/>
    <col min="16139" max="16146" width="0" style="104" hidden="1" customWidth="1"/>
    <col min="16147" max="16150" width="14" style="104"/>
    <col min="16151" max="16151" width="62.21875" style="104" customWidth="1"/>
    <col min="16152" max="16384" width="14" style="104"/>
  </cols>
  <sheetData>
    <row r="1" spans="1:22" ht="11.4" customHeight="1" x14ac:dyDescent="0.3">
      <c r="A1" s="98"/>
      <c r="B1" s="98"/>
      <c r="C1" s="99"/>
      <c r="D1" s="99"/>
      <c r="E1" s="99"/>
      <c r="F1" s="99"/>
      <c r="G1" s="100"/>
      <c r="H1" s="100"/>
      <c r="I1" s="101"/>
      <c r="J1" s="102"/>
    </row>
    <row r="2" spans="1:22" ht="15" customHeight="1" x14ac:dyDescent="0.3">
      <c r="A2" s="98"/>
      <c r="B2" s="98"/>
      <c r="C2" s="99"/>
      <c r="D2" s="99"/>
      <c r="E2" s="99"/>
      <c r="F2" s="99"/>
      <c r="G2" s="100"/>
      <c r="H2" s="100"/>
      <c r="I2" s="101"/>
      <c r="J2" s="102"/>
    </row>
    <row r="3" spans="1:22" ht="15" customHeight="1" x14ac:dyDescent="0.3">
      <c r="A3" s="98"/>
      <c r="B3" s="98"/>
      <c r="C3" s="99"/>
      <c r="D3" s="99"/>
      <c r="E3" s="99"/>
      <c r="F3" s="99"/>
      <c r="G3" s="100"/>
      <c r="H3" s="100"/>
      <c r="I3" s="101"/>
      <c r="J3" s="102"/>
    </row>
    <row r="4" spans="1:22" ht="15" customHeight="1" x14ac:dyDescent="0.3">
      <c r="A4" s="98"/>
      <c r="B4" s="98"/>
      <c r="C4" s="99"/>
      <c r="D4" s="105" t="s">
        <v>1916</v>
      </c>
      <c r="E4" s="99"/>
      <c r="F4" s="99"/>
      <c r="G4" s="100"/>
      <c r="H4" s="100"/>
      <c r="I4" s="101"/>
      <c r="J4" s="102"/>
    </row>
    <row r="5" spans="1:22" ht="15" customHeight="1" x14ac:dyDescent="0.3">
      <c r="A5" s="98"/>
      <c r="B5" s="98"/>
      <c r="C5" s="99"/>
      <c r="D5" s="105"/>
      <c r="E5" s="99"/>
      <c r="F5" s="99"/>
      <c r="G5" s="100"/>
      <c r="H5" s="100"/>
      <c r="I5" s="101"/>
      <c r="J5" s="102"/>
    </row>
    <row r="6" spans="1:22" ht="15" customHeight="1" x14ac:dyDescent="0.3">
      <c r="A6" s="98"/>
      <c r="B6" s="98"/>
      <c r="C6" s="99"/>
      <c r="D6" s="105"/>
      <c r="E6" s="99"/>
      <c r="F6" s="99"/>
      <c r="G6" s="100"/>
      <c r="H6" s="100"/>
      <c r="I6" s="101"/>
      <c r="J6" s="102"/>
    </row>
    <row r="7" spans="1:22" ht="15" customHeight="1" x14ac:dyDescent="0.3">
      <c r="A7" s="98"/>
      <c r="B7" s="98"/>
      <c r="C7" s="99"/>
      <c r="D7" s="105"/>
      <c r="E7" s="99"/>
      <c r="F7" s="99"/>
      <c r="G7" s="100"/>
      <c r="H7" s="100"/>
      <c r="I7" s="101"/>
      <c r="J7" s="102"/>
    </row>
    <row r="8" spans="1:22" ht="15" customHeight="1" x14ac:dyDescent="0.3">
      <c r="A8" s="98"/>
      <c r="B8" s="98"/>
      <c r="C8" s="99"/>
      <c r="D8" s="99"/>
      <c r="E8" s="99"/>
      <c r="F8" s="99"/>
      <c r="G8" s="100"/>
      <c r="H8" s="100"/>
      <c r="I8" s="101"/>
      <c r="J8" s="102"/>
    </row>
    <row r="9" spans="1:22" ht="15" customHeight="1" x14ac:dyDescent="0.3">
      <c r="A9" s="98" t="s">
        <v>1917</v>
      </c>
      <c r="C9" s="98"/>
      <c r="D9" s="98"/>
      <c r="E9" s="106"/>
      <c r="F9" s="106"/>
      <c r="G9" s="106"/>
      <c r="H9" s="107"/>
      <c r="I9" s="108"/>
    </row>
    <row r="10" spans="1:22" ht="15" customHeight="1" x14ac:dyDescent="0.3">
      <c r="A10" s="98"/>
      <c r="B10" s="98"/>
      <c r="C10" s="99"/>
      <c r="D10" s="99"/>
      <c r="E10" s="99"/>
      <c r="F10" s="99"/>
      <c r="G10" s="100"/>
      <c r="H10" s="100"/>
      <c r="I10" s="101"/>
      <c r="J10" s="102"/>
    </row>
    <row r="11" spans="1:22" ht="15" customHeight="1" x14ac:dyDescent="0.3">
      <c r="G11" s="101"/>
      <c r="H11" s="101"/>
    </row>
    <row r="12" spans="1:22" ht="18.899999999999999" customHeight="1" x14ac:dyDescent="0.3">
      <c r="A12" s="98"/>
      <c r="B12" s="98"/>
      <c r="C12" s="98"/>
      <c r="D12" s="106"/>
      <c r="E12" s="106"/>
      <c r="F12" s="107"/>
      <c r="G12" s="108"/>
      <c r="H12" s="108"/>
    </row>
    <row r="13" spans="1:22" ht="15" customHeight="1" x14ac:dyDescent="0.3">
      <c r="D13" s="98"/>
      <c r="G13" s="101"/>
      <c r="H13" s="101"/>
    </row>
    <row r="14" spans="1:22" ht="15" customHeight="1" thickBot="1" x14ac:dyDescent="0.35">
      <c r="G14" s="101"/>
      <c r="H14" s="101"/>
    </row>
    <row r="15" spans="1:22" s="118" customFormat="1" ht="42.6" customHeight="1" thickBot="1" x14ac:dyDescent="0.35">
      <c r="A15" s="109"/>
      <c r="B15" s="110"/>
      <c r="C15" s="111"/>
      <c r="D15" s="112" t="s">
        <v>1918</v>
      </c>
      <c r="E15" s="113"/>
      <c r="F15" s="114"/>
      <c r="G15" s="114"/>
      <c r="H15" s="115"/>
      <c r="I15" s="203" t="s">
        <v>1919</v>
      </c>
      <c r="J15" s="116"/>
      <c r="K15" s="117">
        <v>2026</v>
      </c>
      <c r="L15" s="117">
        <v>2025</v>
      </c>
      <c r="M15" s="117">
        <v>2024</v>
      </c>
      <c r="N15" s="117"/>
      <c r="O15" s="117">
        <v>2027</v>
      </c>
      <c r="P15" s="117">
        <v>2026</v>
      </c>
      <c r="Q15" s="117">
        <v>2025</v>
      </c>
      <c r="R15" s="117">
        <v>2024</v>
      </c>
      <c r="S15" s="117" t="s">
        <v>1788</v>
      </c>
      <c r="T15" s="117" t="s">
        <v>1789</v>
      </c>
      <c r="U15" s="117"/>
      <c r="V15" s="117"/>
    </row>
    <row r="16" spans="1:22" ht="15" customHeight="1" x14ac:dyDescent="0.3">
      <c r="A16" s="119"/>
      <c r="B16" s="120"/>
      <c r="C16" s="120"/>
      <c r="D16" s="120"/>
      <c r="E16" s="121"/>
      <c r="F16" s="121"/>
      <c r="G16" s="121"/>
      <c r="H16" s="120"/>
      <c r="I16" s="204"/>
      <c r="J16" s="103"/>
    </row>
    <row r="17" spans="1:23" ht="21.75" customHeight="1" x14ac:dyDescent="0.3">
      <c r="A17" s="122" t="s">
        <v>1920</v>
      </c>
      <c r="E17" s="103"/>
      <c r="F17" s="103"/>
      <c r="G17" s="103"/>
      <c r="H17" s="101"/>
      <c r="I17" s="205"/>
      <c r="J17" s="101"/>
    </row>
    <row r="18" spans="1:23" s="124" customFormat="1" ht="17.100000000000001" customHeight="1" x14ac:dyDescent="0.3">
      <c r="A18" s="123" t="s">
        <v>1921</v>
      </c>
      <c r="D18" s="125"/>
      <c r="E18" s="125"/>
      <c r="F18" s="125"/>
      <c r="G18" s="126"/>
      <c r="H18" s="126"/>
      <c r="I18" s="206"/>
      <c r="J18" s="126"/>
      <c r="K18" s="125"/>
      <c r="L18" s="125"/>
      <c r="M18" s="125"/>
      <c r="N18" s="125"/>
      <c r="O18" s="125" t="s">
        <v>1922</v>
      </c>
      <c r="P18" s="125" t="s">
        <v>1923</v>
      </c>
      <c r="Q18" s="125" t="s">
        <v>1924</v>
      </c>
      <c r="R18" s="125" t="s">
        <v>1925</v>
      </c>
      <c r="S18" s="125"/>
      <c r="T18" s="125"/>
      <c r="U18" s="125"/>
      <c r="V18" s="125"/>
    </row>
    <row r="19" spans="1:23" s="124" customFormat="1" ht="17.100000000000001" customHeight="1" x14ac:dyDescent="0.25">
      <c r="A19" s="123" t="s">
        <v>1926</v>
      </c>
      <c r="D19" s="125"/>
      <c r="E19" s="125"/>
      <c r="F19" s="125"/>
      <c r="G19" s="126"/>
      <c r="H19" s="126"/>
      <c r="I19" s="215">
        <f t="shared" ref="I19:I25" si="0">+K19</f>
        <v>236124</v>
      </c>
      <c r="J19" s="126"/>
      <c r="K19" s="127">
        <v>236124</v>
      </c>
      <c r="L19" s="127">
        <v>234501</v>
      </c>
      <c r="M19" s="127">
        <v>230614</v>
      </c>
      <c r="N19" s="128"/>
      <c r="O19" s="125">
        <v>109.3</v>
      </c>
      <c r="P19" s="125">
        <v>109.3</v>
      </c>
      <c r="Q19" s="125">
        <v>108.6</v>
      </c>
      <c r="R19" s="125">
        <v>106.8</v>
      </c>
      <c r="S19" s="46" t="s">
        <v>759</v>
      </c>
      <c r="T19" s="129" t="s">
        <v>1805</v>
      </c>
      <c r="U19" s="129">
        <v>4612</v>
      </c>
      <c r="V19" s="129" t="s">
        <v>1370</v>
      </c>
      <c r="W19" s="130" t="s">
        <v>1524</v>
      </c>
    </row>
    <row r="20" spans="1:23" s="124" customFormat="1" ht="17.100000000000001" customHeight="1" x14ac:dyDescent="0.25">
      <c r="A20" s="123" t="s">
        <v>1927</v>
      </c>
      <c r="E20" s="125"/>
      <c r="F20" s="125"/>
      <c r="G20" s="125"/>
      <c r="H20" s="126"/>
      <c r="I20" s="210">
        <f t="shared" si="0"/>
        <v>52447.199999999997</v>
      </c>
      <c r="J20" s="126"/>
      <c r="K20" s="127">
        <v>52447.199999999997</v>
      </c>
      <c r="L20" s="127">
        <v>52111</v>
      </c>
      <c r="M20" s="127">
        <v>51248</v>
      </c>
      <c r="N20" s="128"/>
      <c r="O20" s="125">
        <v>109.3</v>
      </c>
      <c r="P20" s="125">
        <v>109.3</v>
      </c>
      <c r="Q20" s="125">
        <v>108.6</v>
      </c>
      <c r="R20" s="125" t="s">
        <v>1928</v>
      </c>
      <c r="S20" s="46" t="s">
        <v>646</v>
      </c>
      <c r="T20" s="129" t="s">
        <v>1800</v>
      </c>
      <c r="U20" s="129">
        <v>4612</v>
      </c>
      <c r="V20" s="129" t="s">
        <v>1370</v>
      </c>
      <c r="W20" s="131" t="s">
        <v>2080</v>
      </c>
    </row>
    <row r="21" spans="1:23" s="124" customFormat="1" ht="39.6" x14ac:dyDescent="0.25">
      <c r="A21" s="123" t="s">
        <v>1914</v>
      </c>
      <c r="E21" s="125"/>
      <c r="F21" s="125"/>
      <c r="G21" s="125"/>
      <c r="H21" s="126"/>
      <c r="I21" s="214">
        <f t="shared" si="0"/>
        <v>8360</v>
      </c>
      <c r="J21" s="126"/>
      <c r="K21" s="127">
        <v>8360</v>
      </c>
      <c r="L21" s="127">
        <v>8360</v>
      </c>
      <c r="M21" s="127">
        <v>8360</v>
      </c>
      <c r="N21" s="125"/>
      <c r="O21" s="125"/>
      <c r="P21" s="125"/>
      <c r="Q21" s="125"/>
      <c r="R21" s="125"/>
      <c r="S21" s="46" t="s">
        <v>396</v>
      </c>
      <c r="T21" s="129" t="s">
        <v>1794</v>
      </c>
      <c r="U21" s="129" t="s">
        <v>1443</v>
      </c>
      <c r="V21" s="129" t="s">
        <v>1370</v>
      </c>
      <c r="W21" s="132" t="s">
        <v>1929</v>
      </c>
    </row>
    <row r="22" spans="1:23" s="124" customFormat="1" ht="17.100000000000001" customHeight="1" x14ac:dyDescent="0.25">
      <c r="A22" s="123" t="s">
        <v>1912</v>
      </c>
      <c r="E22" s="125"/>
      <c r="F22" s="125"/>
      <c r="G22" s="125"/>
      <c r="H22" s="126"/>
      <c r="I22" s="202">
        <f t="shared" si="0"/>
        <v>1200</v>
      </c>
      <c r="J22" s="126"/>
      <c r="K22" s="127">
        <v>1200</v>
      </c>
      <c r="L22" s="127">
        <v>1200</v>
      </c>
      <c r="M22" s="127">
        <v>1200</v>
      </c>
      <c r="N22" s="125"/>
      <c r="O22" s="125"/>
      <c r="P22" s="125"/>
      <c r="Q22" s="125"/>
      <c r="R22" s="125"/>
      <c r="S22" s="46" t="s">
        <v>396</v>
      </c>
      <c r="T22" s="129" t="s">
        <v>1491</v>
      </c>
      <c r="U22" s="129" t="s">
        <v>1443</v>
      </c>
      <c r="V22" s="129" t="s">
        <v>1370</v>
      </c>
      <c r="W22" s="131" t="s">
        <v>1948</v>
      </c>
    </row>
    <row r="23" spans="1:23" s="124" customFormat="1" ht="17.100000000000001" customHeight="1" x14ac:dyDescent="0.25">
      <c r="A23" s="123" t="s">
        <v>1930</v>
      </c>
      <c r="E23" s="125"/>
      <c r="F23" s="125"/>
      <c r="G23" s="125"/>
      <c r="H23" s="126"/>
      <c r="I23" s="202">
        <f t="shared" si="0"/>
        <v>4500</v>
      </c>
      <c r="J23" s="126"/>
      <c r="K23" s="127">
        <v>4500</v>
      </c>
      <c r="L23" s="127">
        <v>4500</v>
      </c>
      <c r="M23" s="127">
        <v>4500</v>
      </c>
      <c r="N23" s="125"/>
      <c r="O23" s="125"/>
      <c r="P23" s="125"/>
      <c r="Q23" s="125"/>
      <c r="R23" s="125"/>
      <c r="S23" s="46" t="s">
        <v>171</v>
      </c>
      <c r="T23" s="129" t="s">
        <v>1491</v>
      </c>
      <c r="U23" s="129" t="s">
        <v>1443</v>
      </c>
      <c r="V23" s="129" t="s">
        <v>1370</v>
      </c>
      <c r="W23" s="131" t="s">
        <v>1948</v>
      </c>
    </row>
    <row r="24" spans="1:23" s="124" customFormat="1" ht="17.100000000000001" customHeight="1" x14ac:dyDescent="0.25">
      <c r="A24" s="123" t="s">
        <v>1931</v>
      </c>
      <c r="E24" s="125"/>
      <c r="F24" s="125"/>
      <c r="G24" s="125"/>
      <c r="H24" s="126"/>
      <c r="I24" s="210">
        <f t="shared" si="0"/>
        <v>5000</v>
      </c>
      <c r="J24" s="126"/>
      <c r="K24" s="127">
        <v>5000</v>
      </c>
      <c r="L24" s="127">
        <v>5000</v>
      </c>
      <c r="M24" s="127">
        <v>5000</v>
      </c>
      <c r="N24" s="125"/>
      <c r="O24" s="125"/>
      <c r="P24" s="125"/>
      <c r="Q24" s="125"/>
      <c r="R24" s="125"/>
      <c r="S24" s="46" t="s">
        <v>646</v>
      </c>
      <c r="T24" s="129" t="s">
        <v>1800</v>
      </c>
      <c r="U24" s="129">
        <v>4612</v>
      </c>
      <c r="V24" s="129" t="s">
        <v>1370</v>
      </c>
      <c r="W24" s="131" t="s">
        <v>2080</v>
      </c>
    </row>
    <row r="25" spans="1:23" s="124" customFormat="1" ht="15" customHeight="1" x14ac:dyDescent="0.25">
      <c r="A25" s="133" t="s">
        <v>1932</v>
      </c>
      <c r="B25" s="134"/>
      <c r="C25" s="134"/>
      <c r="D25" s="134"/>
      <c r="E25" s="135"/>
      <c r="F25" s="135"/>
      <c r="G25" s="135"/>
      <c r="H25" s="136"/>
      <c r="I25" s="215">
        <f t="shared" si="0"/>
        <v>5000</v>
      </c>
      <c r="J25" s="126"/>
      <c r="K25" s="137">
        <v>5000</v>
      </c>
      <c r="L25" s="137">
        <v>5000</v>
      </c>
      <c r="M25" s="137">
        <v>5000</v>
      </c>
      <c r="N25" s="125"/>
      <c r="O25" s="125"/>
      <c r="P25" s="125"/>
      <c r="Q25" s="125"/>
      <c r="R25" s="125"/>
      <c r="S25" s="46" t="s">
        <v>759</v>
      </c>
      <c r="T25" s="179" t="s">
        <v>1844</v>
      </c>
      <c r="U25" s="129">
        <v>4612</v>
      </c>
      <c r="V25" s="129" t="s">
        <v>1370</v>
      </c>
      <c r="W25" s="57" t="s">
        <v>2085</v>
      </c>
    </row>
    <row r="26" spans="1:23" s="124" customFormat="1" ht="15" customHeight="1" thickBot="1" x14ac:dyDescent="0.35">
      <c r="A26" s="138"/>
      <c r="B26" s="139"/>
      <c r="C26" s="139"/>
      <c r="D26" s="139"/>
      <c r="E26" s="139"/>
      <c r="F26" s="139"/>
      <c r="G26" s="139"/>
      <c r="H26" s="140"/>
      <c r="I26" s="207"/>
      <c r="J26" s="127"/>
      <c r="K26" s="141"/>
      <c r="L26" s="141"/>
      <c r="M26" s="141"/>
      <c r="N26" s="125"/>
      <c r="O26" s="125"/>
      <c r="P26" s="125"/>
      <c r="Q26" s="125"/>
      <c r="R26" s="125"/>
      <c r="S26" s="125"/>
      <c r="T26" s="125"/>
      <c r="U26" s="125"/>
      <c r="V26" s="125"/>
    </row>
    <row r="27" spans="1:23" s="124" customFormat="1" ht="28.35" customHeight="1" thickBot="1" x14ac:dyDescent="0.35">
      <c r="A27" s="142" t="s">
        <v>1933</v>
      </c>
      <c r="B27" s="143"/>
      <c r="C27" s="143"/>
      <c r="D27" s="143"/>
      <c r="E27" s="144"/>
      <c r="F27" s="145"/>
      <c r="G27" s="145"/>
      <c r="H27" s="146"/>
      <c r="I27" s="208">
        <f>SUM(I17:I26)</f>
        <v>312631.2</v>
      </c>
      <c r="J27" s="126"/>
      <c r="K27" s="147">
        <f>SUM(K19:K26)</f>
        <v>312631.2</v>
      </c>
      <c r="L27" s="147">
        <f>SUM(L19:L26)</f>
        <v>310672</v>
      </c>
      <c r="M27" s="147">
        <f>SUM(M19:M26)</f>
        <v>305922</v>
      </c>
      <c r="N27" s="125"/>
      <c r="O27" s="125"/>
      <c r="P27" s="125"/>
      <c r="Q27" s="125"/>
      <c r="R27" s="125"/>
      <c r="S27" s="125"/>
      <c r="T27" s="125"/>
      <c r="U27" s="125"/>
      <c r="V27" s="125"/>
    </row>
    <row r="28" spans="1:23" ht="28.35" customHeight="1" thickTop="1" thickBot="1" x14ac:dyDescent="0.35">
      <c r="A28" s="138"/>
      <c r="B28" s="148"/>
      <c r="C28" s="148"/>
      <c r="D28" s="148"/>
      <c r="E28" s="149" t="s">
        <v>1878</v>
      </c>
      <c r="F28" s="149"/>
      <c r="G28" s="148"/>
      <c r="H28" s="148"/>
      <c r="I28" s="209"/>
      <c r="K28" s="102"/>
      <c r="L28" s="102"/>
      <c r="M28" s="102"/>
    </row>
    <row r="29" spans="1:23" ht="15" customHeight="1" x14ac:dyDescent="0.3">
      <c r="K29" s="102"/>
      <c r="L29" s="102"/>
      <c r="M29" s="102"/>
    </row>
    <row r="30" spans="1:23" ht="15" customHeight="1" x14ac:dyDescent="0.3">
      <c r="H30" s="103" t="s">
        <v>1934</v>
      </c>
      <c r="I30" s="103" t="s">
        <v>1919</v>
      </c>
      <c r="K30" s="102"/>
      <c r="L30" s="102"/>
      <c r="M30" s="102"/>
    </row>
    <row r="31" spans="1:23" ht="15" customHeight="1" thickBot="1" x14ac:dyDescent="0.35">
      <c r="A31" s="150" t="s">
        <v>1935</v>
      </c>
      <c r="B31" s="150"/>
      <c r="C31" s="150"/>
      <c r="D31" s="150"/>
      <c r="E31" s="150"/>
      <c r="F31" s="150"/>
      <c r="K31" s="102"/>
      <c r="L31" s="102"/>
      <c r="M31" s="102"/>
      <c r="O31" s="125" t="s">
        <v>1922</v>
      </c>
      <c r="P31" s="103" t="s">
        <v>1936</v>
      </c>
      <c r="Q31" s="103" t="s">
        <v>1937</v>
      </c>
      <c r="R31" s="103" t="s">
        <v>1937</v>
      </c>
    </row>
    <row r="32" spans="1:23" s="124" customFormat="1" ht="17.100000000000001" customHeight="1" x14ac:dyDescent="0.25">
      <c r="A32" s="151" t="s">
        <v>1938</v>
      </c>
      <c r="B32" s="152"/>
      <c r="C32" s="152"/>
      <c r="D32" s="152"/>
      <c r="E32" s="153"/>
      <c r="F32" s="153"/>
      <c r="G32" s="153"/>
      <c r="H32" s="154"/>
      <c r="I32" s="211">
        <v>22827.195844155845</v>
      </c>
      <c r="J32" s="126"/>
      <c r="K32" s="127">
        <v>22806</v>
      </c>
      <c r="L32" s="127">
        <v>21600</v>
      </c>
      <c r="M32" s="127">
        <v>22065</v>
      </c>
      <c r="N32" s="128"/>
      <c r="O32" s="128"/>
      <c r="P32" s="155">
        <v>107.8</v>
      </c>
      <c r="Q32" s="155">
        <v>104.3</v>
      </c>
      <c r="R32" s="125">
        <v>104.3</v>
      </c>
      <c r="S32" s="46" t="s">
        <v>646</v>
      </c>
      <c r="T32" s="129" t="s">
        <v>1800</v>
      </c>
      <c r="U32" s="129">
        <v>4612</v>
      </c>
      <c r="V32" s="129" t="s">
        <v>1370</v>
      </c>
      <c r="W32" s="131" t="s">
        <v>2080</v>
      </c>
    </row>
    <row r="33" spans="1:23" ht="15" customHeight="1" x14ac:dyDescent="0.25">
      <c r="A33" s="156" t="s">
        <v>1939</v>
      </c>
      <c r="B33" s="157"/>
      <c r="C33" s="157"/>
      <c r="D33" s="157"/>
      <c r="E33" s="158"/>
      <c r="F33" s="158"/>
      <c r="G33" s="158"/>
      <c r="H33" s="159"/>
      <c r="I33" s="213">
        <f>+K33</f>
        <v>5344.5</v>
      </c>
      <c r="K33" s="127">
        <v>5344.5</v>
      </c>
      <c r="L33" s="127">
        <v>5344.5</v>
      </c>
      <c r="M33" s="127">
        <v>5324.7</v>
      </c>
      <c r="O33" s="160"/>
      <c r="S33" s="46" t="s">
        <v>519</v>
      </c>
      <c r="T33" s="129" t="s">
        <v>1805</v>
      </c>
      <c r="U33" s="129" t="s">
        <v>1443</v>
      </c>
      <c r="V33" s="129" t="s">
        <v>1370</v>
      </c>
      <c r="W33" s="131" t="s">
        <v>1848</v>
      </c>
    </row>
    <row r="34" spans="1:23" ht="15" customHeight="1" thickBot="1" x14ac:dyDescent="0.3">
      <c r="A34" s="161" t="s">
        <v>1940</v>
      </c>
      <c r="B34" s="162"/>
      <c r="C34" s="162"/>
      <c r="D34" s="162"/>
      <c r="E34" s="163"/>
      <c r="F34" s="163"/>
      <c r="G34" s="163"/>
      <c r="H34" s="164"/>
      <c r="I34" s="207">
        <f>+K34</f>
        <v>2052</v>
      </c>
      <c r="K34" s="127">
        <v>2052</v>
      </c>
      <c r="L34" s="127">
        <v>2052</v>
      </c>
      <c r="M34" s="127">
        <v>2050</v>
      </c>
      <c r="S34" s="46">
        <v>810.43499999999995</v>
      </c>
      <c r="T34" s="129" t="s">
        <v>1568</v>
      </c>
      <c r="U34" s="166" t="s">
        <v>1487</v>
      </c>
      <c r="V34" s="129" t="s">
        <v>1405</v>
      </c>
      <c r="W34" s="131" t="s">
        <v>1577</v>
      </c>
    </row>
    <row r="35" spans="1:23" ht="15" customHeight="1" x14ac:dyDescent="0.3">
      <c r="I35" s="105"/>
    </row>
    <row r="36" spans="1:23" ht="15" customHeight="1" x14ac:dyDescent="0.3">
      <c r="D36" s="103"/>
      <c r="F36" s="103"/>
      <c r="G36" s="105"/>
      <c r="H36" s="105"/>
    </row>
    <row r="37" spans="1:23" ht="15" customHeight="1" x14ac:dyDescent="0.3"/>
    <row r="38" spans="1:23" ht="15" customHeight="1" x14ac:dyDescent="0.3"/>
    <row r="39" spans="1:23" ht="15" customHeight="1" x14ac:dyDescent="0.3">
      <c r="B39" s="103" t="s">
        <v>1941</v>
      </c>
      <c r="D39" s="103"/>
      <c r="E39" s="103" t="s">
        <v>1942</v>
      </c>
      <c r="G39" s="103"/>
      <c r="H39" s="103" t="s">
        <v>1943</v>
      </c>
      <c r="I39" s="103"/>
    </row>
    <row r="40" spans="1:23" ht="15" customHeight="1" x14ac:dyDescent="0.3">
      <c r="B40" s="103" t="s">
        <v>1944</v>
      </c>
      <c r="D40" s="103"/>
      <c r="E40" s="103" t="s">
        <v>1945</v>
      </c>
      <c r="G40" s="103"/>
      <c r="H40" s="103" t="s">
        <v>1946</v>
      </c>
      <c r="I40" s="103"/>
    </row>
    <row r="41" spans="1:23" ht="15" customHeight="1" x14ac:dyDescent="0.3">
      <c r="E41" s="103"/>
      <c r="F41" s="103"/>
      <c r="G41" s="103"/>
      <c r="I41" s="103"/>
      <c r="J41" s="165"/>
    </row>
    <row r="42" spans="1:23" ht="15" customHeight="1" x14ac:dyDescent="0.3">
      <c r="E42" s="103"/>
      <c r="F42" s="103"/>
      <c r="G42" s="103"/>
      <c r="J42" s="165"/>
    </row>
    <row r="43" spans="1:23" ht="15" customHeight="1" x14ac:dyDescent="0.3">
      <c r="A43" s="104" t="s">
        <v>1947</v>
      </c>
      <c r="E43" s="103"/>
      <c r="F43" s="103"/>
      <c r="G43" s="103"/>
      <c r="J43" s="165"/>
    </row>
    <row r="44" spans="1:23" ht="15" customHeight="1" x14ac:dyDescent="0.3">
      <c r="A44" s="98"/>
      <c r="B44" s="98"/>
      <c r="C44" s="99"/>
      <c r="D44" s="99"/>
      <c r="E44" s="99"/>
      <c r="F44" s="99"/>
      <c r="G44" s="100"/>
      <c r="H44" s="100"/>
      <c r="I44" s="101"/>
      <c r="J44" s="102"/>
    </row>
    <row r="45" spans="1:23" ht="15" customHeight="1" x14ac:dyDescent="0.3">
      <c r="A45" s="98"/>
      <c r="B45" s="98"/>
      <c r="C45" s="99"/>
      <c r="D45" s="99"/>
      <c r="E45" s="99"/>
      <c r="F45" s="99"/>
      <c r="G45" s="100"/>
      <c r="H45" s="100"/>
      <c r="I45" s="101"/>
      <c r="J45" s="102"/>
    </row>
    <row r="46" spans="1:23" ht="15" customHeight="1" x14ac:dyDescent="0.3">
      <c r="A46" s="98"/>
      <c r="B46" s="98"/>
      <c r="C46" s="99"/>
      <c r="D46" s="99"/>
      <c r="E46" s="99"/>
      <c r="F46" s="99"/>
      <c r="G46" s="100"/>
      <c r="H46" s="100"/>
      <c r="I46" s="101"/>
      <c r="J46" s="102"/>
    </row>
  </sheetData>
  <pageMargins left="0.39370078740157483" right="0" top="0.98425196850393704" bottom="0.98425196850393704" header="0.51181102362204722" footer="0.51181102362204722"/>
  <pageSetup paperSize="9" scale="56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9735-7762-4FC2-9AAD-22C5E512AD92}">
  <sheetPr codeName="Feuil8">
    <pageSetUpPr fitToPage="1"/>
  </sheetPr>
  <dimension ref="A1:O36"/>
  <sheetViews>
    <sheetView workbookViewId="0">
      <pane ySplit="1" topLeftCell="A2" activePane="bottomLeft" state="frozen"/>
      <selection pane="bottomLeft" activeCell="A12" sqref="A12"/>
    </sheetView>
  </sheetViews>
  <sheetFormatPr baseColWidth="10" defaultRowHeight="14.4" x14ac:dyDescent="0.3"/>
  <cols>
    <col min="2" max="2" width="19" bestFit="1" customWidth="1"/>
    <col min="3" max="3" width="25.88671875" bestFit="1" customWidth="1"/>
    <col min="4" max="4" width="22.88671875" bestFit="1" customWidth="1"/>
    <col min="5" max="5" width="14.6640625" customWidth="1"/>
    <col min="6" max="6" width="9.21875" customWidth="1"/>
    <col min="9" max="9" width="29.33203125" customWidth="1"/>
    <col min="13" max="13" width="61.77734375" customWidth="1"/>
    <col min="14" max="14" width="34.33203125" bestFit="1" customWidth="1"/>
  </cols>
  <sheetData>
    <row r="1" spans="1:15" ht="43.2" x14ac:dyDescent="0.3">
      <c r="A1" s="85" t="s">
        <v>1891</v>
      </c>
      <c r="B1" s="85"/>
      <c r="C1" s="220" t="s">
        <v>2099</v>
      </c>
      <c r="D1" s="86" t="s">
        <v>55</v>
      </c>
      <c r="E1" s="86" t="s">
        <v>2106</v>
      </c>
      <c r="F1" s="86" t="s">
        <v>2105</v>
      </c>
      <c r="G1" s="85" t="s">
        <v>1895</v>
      </c>
      <c r="H1" s="86" t="s">
        <v>1897</v>
      </c>
    </row>
    <row r="2" spans="1:15" x14ac:dyDescent="0.3">
      <c r="D2" t="s">
        <v>1896</v>
      </c>
      <c r="H2" t="s">
        <v>1978</v>
      </c>
      <c r="I2" s="1" t="s">
        <v>1979</v>
      </c>
    </row>
    <row r="4" spans="1:15" x14ac:dyDescent="0.3">
      <c r="A4" s="45" t="s">
        <v>1408</v>
      </c>
      <c r="B4" t="s">
        <v>1892</v>
      </c>
      <c r="C4" t="s">
        <v>2098</v>
      </c>
      <c r="D4" t="s">
        <v>2103</v>
      </c>
      <c r="E4">
        <f>80+55+20</f>
        <v>155</v>
      </c>
      <c r="F4" s="221">
        <f>+E4/($E$4+$E$6+$E$8+$E$10)</f>
        <v>0.42465753424657532</v>
      </c>
    </row>
    <row r="5" spans="1:15" x14ac:dyDescent="0.3">
      <c r="F5" s="221"/>
    </row>
    <row r="6" spans="1:15" x14ac:dyDescent="0.3">
      <c r="A6" s="45" t="s">
        <v>1693</v>
      </c>
      <c r="B6" t="s">
        <v>1893</v>
      </c>
      <c r="D6" t="s">
        <v>2104</v>
      </c>
      <c r="E6">
        <f>70+40</f>
        <v>110</v>
      </c>
      <c r="F6" s="221">
        <f>+E6/($E$4+$E$6+$E$8+$E$10)</f>
        <v>0.30136986301369861</v>
      </c>
    </row>
    <row r="7" spans="1:15" x14ac:dyDescent="0.3">
      <c r="F7" s="221"/>
    </row>
    <row r="8" spans="1:15" x14ac:dyDescent="0.3">
      <c r="A8" s="45" t="s">
        <v>1539</v>
      </c>
      <c r="B8" t="s">
        <v>1894</v>
      </c>
      <c r="D8" t="s">
        <v>2102</v>
      </c>
      <c r="E8">
        <v>50</v>
      </c>
      <c r="F8" s="221">
        <f>+E8/($E$4+$E$6+$E$8+$E$10)</f>
        <v>0.13698630136986301</v>
      </c>
    </row>
    <row r="9" spans="1:15" x14ac:dyDescent="0.3">
      <c r="A9" s="45"/>
      <c r="F9" s="221"/>
    </row>
    <row r="10" spans="1:15" x14ac:dyDescent="0.3">
      <c r="A10" s="45" t="s">
        <v>1581</v>
      </c>
      <c r="B10" t="s">
        <v>1983</v>
      </c>
      <c r="D10" t="s">
        <v>2097</v>
      </c>
      <c r="E10">
        <v>50</v>
      </c>
      <c r="F10" s="221">
        <f>+E10/($E$4+$E$6+$E$8+$E$10)</f>
        <v>0.13698630136986301</v>
      </c>
    </row>
    <row r="12" spans="1:15" x14ac:dyDescent="0.3">
      <c r="A12" s="45" t="s">
        <v>1409</v>
      </c>
      <c r="C12" t="s">
        <v>2096</v>
      </c>
      <c r="I12" t="s">
        <v>1898</v>
      </c>
    </row>
    <row r="13" spans="1:15" x14ac:dyDescent="0.3">
      <c r="A13" s="45"/>
      <c r="I13" t="s">
        <v>1977</v>
      </c>
    </row>
    <row r="14" spans="1:15" x14ac:dyDescent="0.3">
      <c r="A14" s="45"/>
    </row>
    <row r="15" spans="1:15" x14ac:dyDescent="0.3">
      <c r="H15" s="49" t="s">
        <v>85</v>
      </c>
      <c r="I15" s="47" t="s">
        <v>1406</v>
      </c>
      <c r="J15" s="52" t="s">
        <v>1409</v>
      </c>
      <c r="K15" s="52">
        <v>3130</v>
      </c>
      <c r="L15" s="52" t="s">
        <v>1371</v>
      </c>
      <c r="M15" s="47" t="s">
        <v>1406</v>
      </c>
      <c r="N15" t="s">
        <v>1974</v>
      </c>
    </row>
    <row r="16" spans="1:15" x14ac:dyDescent="0.3">
      <c r="H16" s="49" t="s">
        <v>87</v>
      </c>
      <c r="I16" s="50" t="s">
        <v>88</v>
      </c>
      <c r="J16" s="52" t="s">
        <v>1409</v>
      </c>
      <c r="K16" s="52" t="s">
        <v>1390</v>
      </c>
      <c r="L16" s="52" t="s">
        <v>1405</v>
      </c>
      <c r="M16" s="47" t="s">
        <v>1407</v>
      </c>
      <c r="N16" t="s">
        <v>1417</v>
      </c>
      <c r="O16" s="177" t="s">
        <v>1976</v>
      </c>
    </row>
    <row r="17" spans="1:14" x14ac:dyDescent="0.3">
      <c r="H17" s="49" t="s">
        <v>89</v>
      </c>
      <c r="I17" s="50" t="s">
        <v>90</v>
      </c>
      <c r="J17" s="52" t="s">
        <v>1409</v>
      </c>
      <c r="K17" s="52" t="s">
        <v>1418</v>
      </c>
      <c r="L17" s="52" t="s">
        <v>1370</v>
      </c>
      <c r="M17" s="47" t="s">
        <v>1890</v>
      </c>
    </row>
    <row r="18" spans="1:14" x14ac:dyDescent="0.3">
      <c r="H18" s="49" t="s">
        <v>91</v>
      </c>
      <c r="I18" s="50" t="s">
        <v>92</v>
      </c>
      <c r="J18" s="52" t="s">
        <v>1409</v>
      </c>
      <c r="K18" s="52">
        <v>3130</v>
      </c>
      <c r="L18" s="52" t="s">
        <v>1401</v>
      </c>
      <c r="M18" s="47" t="s">
        <v>1402</v>
      </c>
    </row>
    <row r="19" spans="1:14" x14ac:dyDescent="0.3">
      <c r="H19" s="49" t="s">
        <v>94</v>
      </c>
      <c r="I19" s="50" t="s">
        <v>95</v>
      </c>
      <c r="J19" s="52" t="s">
        <v>1409</v>
      </c>
      <c r="K19" s="52" t="s">
        <v>1508</v>
      </c>
      <c r="L19" s="52" t="s">
        <v>1510</v>
      </c>
      <c r="M19" s="47" t="s">
        <v>1509</v>
      </c>
    </row>
    <row r="20" spans="1:14" x14ac:dyDescent="0.3">
      <c r="H20" s="49" t="s">
        <v>109</v>
      </c>
      <c r="I20" s="50" t="s">
        <v>110</v>
      </c>
      <c r="J20" s="52" t="s">
        <v>1409</v>
      </c>
      <c r="K20" s="52" t="s">
        <v>1702</v>
      </c>
      <c r="L20" s="52" t="s">
        <v>1370</v>
      </c>
      <c r="M20" s="47" t="s">
        <v>1703</v>
      </c>
      <c r="N20" t="s">
        <v>1966</v>
      </c>
    </row>
    <row r="21" spans="1:14" x14ac:dyDescent="0.3">
      <c r="H21" s="49" t="s">
        <v>111</v>
      </c>
      <c r="I21" s="50" t="s">
        <v>112</v>
      </c>
      <c r="J21" s="52" t="s">
        <v>1409</v>
      </c>
      <c r="K21" s="52" t="s">
        <v>1410</v>
      </c>
      <c r="L21" s="52" t="s">
        <v>1412</v>
      </c>
      <c r="M21" s="47" t="s">
        <v>1424</v>
      </c>
      <c r="N21" t="s">
        <v>1967</v>
      </c>
    </row>
    <row r="22" spans="1:14" ht="39.6" x14ac:dyDescent="0.3">
      <c r="H22" s="49" t="s">
        <v>118</v>
      </c>
      <c r="I22" s="57" t="s">
        <v>1435</v>
      </c>
      <c r="J22" s="52" t="s">
        <v>1409</v>
      </c>
      <c r="K22" s="52" t="s">
        <v>1426</v>
      </c>
      <c r="L22" s="52" t="s">
        <v>1370</v>
      </c>
      <c r="M22" s="47" t="s">
        <v>1427</v>
      </c>
      <c r="N22" t="s">
        <v>1430</v>
      </c>
    </row>
    <row r="23" spans="1:14" x14ac:dyDescent="0.3">
      <c r="H23" s="49"/>
      <c r="I23" s="50"/>
      <c r="J23" s="52" t="s">
        <v>1409</v>
      </c>
      <c r="K23" s="52" t="s">
        <v>1390</v>
      </c>
      <c r="L23" s="52" t="s">
        <v>1404</v>
      </c>
      <c r="M23" s="47" t="s">
        <v>1432</v>
      </c>
      <c r="N23" t="s">
        <v>1431</v>
      </c>
    </row>
    <row r="24" spans="1:14" x14ac:dyDescent="0.3">
      <c r="H24" s="49"/>
      <c r="I24" s="50"/>
      <c r="J24" s="52" t="s">
        <v>1409</v>
      </c>
      <c r="K24" s="52" t="s">
        <v>1397</v>
      </c>
      <c r="L24" s="52" t="s">
        <v>1370</v>
      </c>
      <c r="M24" s="47" t="s">
        <v>1400</v>
      </c>
    </row>
    <row r="25" spans="1:14" ht="26.4" x14ac:dyDescent="0.3">
      <c r="H25" s="49" t="s">
        <v>119</v>
      </c>
      <c r="I25" s="50" t="s">
        <v>120</v>
      </c>
      <c r="J25" s="52" t="s">
        <v>1409</v>
      </c>
      <c r="K25" s="52" t="s">
        <v>1438</v>
      </c>
      <c r="L25" s="52" t="s">
        <v>1370</v>
      </c>
      <c r="M25" s="47" t="s">
        <v>1439</v>
      </c>
      <c r="N25" t="s">
        <v>1437</v>
      </c>
    </row>
    <row r="26" spans="1:14" ht="26.4" x14ac:dyDescent="0.3">
      <c r="H26" s="49" t="s">
        <v>121</v>
      </c>
      <c r="I26" s="50" t="s">
        <v>122</v>
      </c>
      <c r="J26" s="52" t="s">
        <v>1409</v>
      </c>
      <c r="K26" s="52" t="s">
        <v>1440</v>
      </c>
      <c r="L26" s="52" t="s">
        <v>1370</v>
      </c>
      <c r="M26" s="47" t="s">
        <v>1441</v>
      </c>
    </row>
    <row r="27" spans="1:14" x14ac:dyDescent="0.3">
      <c r="H27" s="49" t="s">
        <v>191</v>
      </c>
      <c r="I27" s="50" t="s">
        <v>192</v>
      </c>
      <c r="J27" s="52" t="s">
        <v>1409</v>
      </c>
      <c r="K27" s="52" t="s">
        <v>1751</v>
      </c>
      <c r="L27" s="52" t="s">
        <v>1370</v>
      </c>
      <c r="M27" s="47" t="s">
        <v>1975</v>
      </c>
    </row>
    <row r="28" spans="1:14" ht="43.2" x14ac:dyDescent="0.3">
      <c r="H28" s="49" t="s">
        <v>195</v>
      </c>
      <c r="I28" s="50" t="s">
        <v>196</v>
      </c>
      <c r="J28" s="52" t="s">
        <v>1409</v>
      </c>
      <c r="K28" s="52" t="s">
        <v>1751</v>
      </c>
      <c r="L28" s="52" t="s">
        <v>1370</v>
      </c>
      <c r="M28" s="47" t="s">
        <v>1975</v>
      </c>
      <c r="N28" s="176" t="s">
        <v>1474</v>
      </c>
    </row>
    <row r="29" spans="1:14" ht="26.4" x14ac:dyDescent="0.3">
      <c r="H29" s="49" t="s">
        <v>121</v>
      </c>
      <c r="I29" s="50" t="s">
        <v>122</v>
      </c>
      <c r="J29" s="52" t="s">
        <v>1409</v>
      </c>
      <c r="K29" s="52" t="s">
        <v>1968</v>
      </c>
      <c r="L29" s="52" t="s">
        <v>1370</v>
      </c>
      <c r="M29" s="47" t="s">
        <v>1969</v>
      </c>
    </row>
    <row r="32" spans="1:14" x14ac:dyDescent="0.3">
      <c r="A32" s="45" t="s">
        <v>1587</v>
      </c>
      <c r="C32" t="s">
        <v>2100</v>
      </c>
    </row>
    <row r="34" spans="1:3" x14ac:dyDescent="0.3">
      <c r="A34" s="45" t="s">
        <v>1619</v>
      </c>
      <c r="C34" t="s">
        <v>2037</v>
      </c>
    </row>
    <row r="36" spans="1:3" x14ac:dyDescent="0.3">
      <c r="A36" s="22">
        <v>35000</v>
      </c>
      <c r="C36" t="s">
        <v>2101</v>
      </c>
    </row>
  </sheetData>
  <pageMargins left="0.25" right="0.25" top="0.75" bottom="0.75" header="0.3" footer="0.3"/>
  <pageSetup paperSize="9" scale="42" orientation="landscape" r:id="rId1"/>
  <headerFooter>
    <oddHeader>&amp;C&amp;A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900A-811E-4BC7-A8BF-E782615D1526}">
  <sheetPr codeName="Feuil14"/>
  <dimension ref="A2:C15"/>
  <sheetViews>
    <sheetView workbookViewId="0">
      <selection activeCell="C4" sqref="C4"/>
    </sheetView>
  </sheetViews>
  <sheetFormatPr baseColWidth="10" defaultRowHeight="14.4" x14ac:dyDescent="0.3"/>
  <cols>
    <col min="1" max="2" width="11.5546875" style="7"/>
    <col min="3" max="3" width="39.88671875" bestFit="1" customWidth="1"/>
  </cols>
  <sheetData>
    <row r="2" spans="1:3" x14ac:dyDescent="0.3">
      <c r="A2" s="7" t="s">
        <v>2</v>
      </c>
      <c r="B2" s="7" t="s">
        <v>1369</v>
      </c>
      <c r="C2" t="s">
        <v>1372</v>
      </c>
    </row>
    <row r="4" spans="1:3" x14ac:dyDescent="0.3">
      <c r="A4" s="8" t="s">
        <v>1410</v>
      </c>
      <c r="B4" s="8" t="s">
        <v>1370</v>
      </c>
      <c r="C4" s="5" t="s">
        <v>1411</v>
      </c>
    </row>
    <row r="5" spans="1:3" x14ac:dyDescent="0.3">
      <c r="A5" s="8" t="s">
        <v>1367</v>
      </c>
      <c r="B5" s="8" t="s">
        <v>1370</v>
      </c>
      <c r="C5" s="5" t="s">
        <v>1378</v>
      </c>
    </row>
    <row r="6" spans="1:3" x14ac:dyDescent="0.3">
      <c r="A6" s="8" t="s">
        <v>1413</v>
      </c>
      <c r="B6" s="8" t="s">
        <v>1370</v>
      </c>
      <c r="C6" s="5" t="s">
        <v>1414</v>
      </c>
    </row>
    <row r="7" spans="1:3" x14ac:dyDescent="0.3">
      <c r="A7" s="8" t="s">
        <v>1386</v>
      </c>
      <c r="B7" s="8" t="s">
        <v>1370</v>
      </c>
      <c r="C7" s="5" t="s">
        <v>1387</v>
      </c>
    </row>
    <row r="8" spans="1:3" x14ac:dyDescent="0.3">
      <c r="A8" s="8" t="s">
        <v>1375</v>
      </c>
      <c r="B8" s="8" t="s">
        <v>1370</v>
      </c>
      <c r="C8" s="5" t="s">
        <v>1379</v>
      </c>
    </row>
    <row r="9" spans="1:3" x14ac:dyDescent="0.3">
      <c r="A9" s="8" t="s">
        <v>1382</v>
      </c>
      <c r="B9" s="8" t="s">
        <v>1370</v>
      </c>
      <c r="C9" s="5" t="s">
        <v>1383</v>
      </c>
    </row>
    <row r="10" spans="1:3" x14ac:dyDescent="0.3">
      <c r="A10" s="8" t="s">
        <v>1393</v>
      </c>
      <c r="B10" s="8" t="s">
        <v>1370</v>
      </c>
      <c r="C10" s="5" t="s">
        <v>1394</v>
      </c>
    </row>
    <row r="11" spans="1:3" x14ac:dyDescent="0.3">
      <c r="A11" s="8" t="s">
        <v>1368</v>
      </c>
      <c r="B11" s="8" t="s">
        <v>1370</v>
      </c>
      <c r="C11" s="5" t="s">
        <v>1542</v>
      </c>
    </row>
    <row r="12" spans="1:3" x14ac:dyDescent="0.3">
      <c r="A12" s="8" t="s">
        <v>1540</v>
      </c>
      <c r="B12" s="8" t="s">
        <v>1370</v>
      </c>
      <c r="C12" s="5" t="s">
        <v>1543</v>
      </c>
    </row>
    <row r="13" spans="1:3" x14ac:dyDescent="0.3">
      <c r="A13" s="8" t="s">
        <v>1380</v>
      </c>
      <c r="B13" s="8" t="s">
        <v>1370</v>
      </c>
      <c r="C13" s="5" t="s">
        <v>1381</v>
      </c>
    </row>
    <row r="15" spans="1:3" x14ac:dyDescent="0.3">
      <c r="A15" s="8" t="s">
        <v>1410</v>
      </c>
      <c r="B15" s="8" t="s">
        <v>1412</v>
      </c>
      <c r="C15" s="5" t="s">
        <v>1424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ED4A-F3AF-40DD-A088-97D243D88AB7}">
  <sheetPr codeName="Feuil10"/>
  <dimension ref="A4:A7"/>
  <sheetViews>
    <sheetView workbookViewId="0">
      <selection activeCell="A4" sqref="A4"/>
    </sheetView>
  </sheetViews>
  <sheetFormatPr baseColWidth="10" defaultRowHeight="14.4" x14ac:dyDescent="0.3"/>
  <cols>
    <col min="1" max="1" width="63.109375" bestFit="1" customWidth="1"/>
  </cols>
  <sheetData>
    <row r="4" spans="1:1" x14ac:dyDescent="0.3">
      <c r="A4" s="37" t="s">
        <v>1963</v>
      </c>
    </row>
    <row r="6" spans="1:1" x14ac:dyDescent="0.3">
      <c r="A6" s="1" t="s">
        <v>1871</v>
      </c>
    </row>
    <row r="7" spans="1:1" x14ac:dyDescent="0.3">
      <c r="A7" s="1" t="s">
        <v>1964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267D-90AC-4F82-9AD0-8CABAC07BD73}">
  <sheetPr codeName="Feuil11"/>
  <dimension ref="A1:D19"/>
  <sheetViews>
    <sheetView workbookViewId="0">
      <selection activeCell="D9" sqref="D9"/>
    </sheetView>
  </sheetViews>
  <sheetFormatPr baseColWidth="10" defaultRowHeight="14.4" x14ac:dyDescent="0.3"/>
  <cols>
    <col min="1" max="1" width="9.44140625" customWidth="1"/>
    <col min="2" max="2" width="19.44140625" customWidth="1"/>
    <col min="4" max="4" width="20.88671875" bestFit="1" customWidth="1"/>
  </cols>
  <sheetData>
    <row r="1" spans="1:4" x14ac:dyDescent="0.3">
      <c r="A1" s="7" t="s">
        <v>1523</v>
      </c>
      <c r="B1" s="7" t="s">
        <v>2</v>
      </c>
      <c r="C1" s="7" t="s">
        <v>1369</v>
      </c>
      <c r="D1" t="s">
        <v>1372</v>
      </c>
    </row>
    <row r="2" spans="1:4" x14ac:dyDescent="0.3">
      <c r="A2" s="7"/>
      <c r="B2" s="7"/>
      <c r="C2" s="7"/>
    </row>
    <row r="3" spans="1:4" x14ac:dyDescent="0.3">
      <c r="A3" s="90" t="s">
        <v>1511</v>
      </c>
      <c r="D3" t="s">
        <v>1513</v>
      </c>
    </row>
    <row r="4" spans="1:4" x14ac:dyDescent="0.3">
      <c r="A4" s="90" t="s">
        <v>1512</v>
      </c>
      <c r="D4" t="s">
        <v>1514</v>
      </c>
    </row>
    <row r="5" spans="1:4" x14ac:dyDescent="0.3">
      <c r="A5" s="90" t="s">
        <v>1515</v>
      </c>
      <c r="D5" t="s">
        <v>1516</v>
      </c>
    </row>
    <row r="6" spans="1:4" x14ac:dyDescent="0.3">
      <c r="A6" s="90" t="s">
        <v>1517</v>
      </c>
      <c r="D6" t="s">
        <v>1518</v>
      </c>
    </row>
    <row r="7" spans="1:4" x14ac:dyDescent="0.3">
      <c r="A7" s="90" t="s">
        <v>1519</v>
      </c>
      <c r="D7" t="s">
        <v>1527</v>
      </c>
    </row>
    <row r="8" spans="1:4" x14ac:dyDescent="0.3">
      <c r="A8" s="90" t="s">
        <v>1528</v>
      </c>
      <c r="D8" t="s">
        <v>1521</v>
      </c>
    </row>
    <row r="9" spans="1:4" x14ac:dyDescent="0.3">
      <c r="A9" s="90" t="s">
        <v>1520</v>
      </c>
      <c r="D9" t="s">
        <v>1522</v>
      </c>
    </row>
    <row r="11" spans="1:4" x14ac:dyDescent="0.3">
      <c r="A11" s="5" t="s">
        <v>1910</v>
      </c>
    </row>
    <row r="12" spans="1:4" x14ac:dyDescent="0.3">
      <c r="A12">
        <v>21200</v>
      </c>
      <c r="B12" t="s">
        <v>1909</v>
      </c>
    </row>
    <row r="15" spans="1:4" x14ac:dyDescent="0.3">
      <c r="B15" s="90" t="s">
        <v>1398</v>
      </c>
      <c r="C15" s="90" t="s">
        <v>1370</v>
      </c>
      <c r="D15" s="5" t="s">
        <v>1524</v>
      </c>
    </row>
    <row r="16" spans="1:4" x14ac:dyDescent="0.3">
      <c r="B16" s="90" t="s">
        <v>1398</v>
      </c>
      <c r="C16" s="90" t="s">
        <v>1371</v>
      </c>
      <c r="D16" t="s">
        <v>1525</v>
      </c>
    </row>
    <row r="17" spans="2:4" x14ac:dyDescent="0.3">
      <c r="B17" s="90" t="s">
        <v>1398</v>
      </c>
      <c r="C17" s="90" t="s">
        <v>1405</v>
      </c>
      <c r="D17" t="s">
        <v>1526</v>
      </c>
    </row>
    <row r="19" spans="2:4" x14ac:dyDescent="0.3">
      <c r="B19">
        <v>4612</v>
      </c>
      <c r="C19" s="90" t="s">
        <v>1370</v>
      </c>
      <c r="D19" s="5" t="s">
        <v>1524</v>
      </c>
    </row>
  </sheetData>
  <phoneticPr fontId="1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4678-2BAD-4AD2-9499-0E2B487703CE}">
  <sheetPr codeName="Feuil15">
    <pageSetUpPr fitToPage="1"/>
  </sheetPr>
  <dimension ref="A1:I39"/>
  <sheetViews>
    <sheetView workbookViewId="0">
      <selection activeCell="I15" sqref="I15"/>
    </sheetView>
  </sheetViews>
  <sheetFormatPr baseColWidth="10" defaultColWidth="13.21875" defaultRowHeight="14.4" x14ac:dyDescent="0.3"/>
  <cols>
    <col min="3" max="3" width="90.21875" customWidth="1"/>
    <col min="4" max="4" width="54.21875" bestFit="1" customWidth="1"/>
  </cols>
  <sheetData>
    <row r="1" spans="1:9" x14ac:dyDescent="0.3">
      <c r="A1" s="7" t="s">
        <v>2</v>
      </c>
      <c r="B1" s="7" t="s">
        <v>1369</v>
      </c>
      <c r="C1" t="s">
        <v>1372</v>
      </c>
    </row>
    <row r="3" spans="1:9" x14ac:dyDescent="0.3">
      <c r="A3" s="5">
        <v>3130</v>
      </c>
      <c r="B3" s="5" t="s">
        <v>1370</v>
      </c>
      <c r="C3" s="4" t="s">
        <v>1391</v>
      </c>
      <c r="D3" t="s">
        <v>1899</v>
      </c>
    </row>
    <row r="4" spans="1:9" x14ac:dyDescent="0.3">
      <c r="A4" s="5">
        <v>3130</v>
      </c>
      <c r="B4" s="5" t="s">
        <v>1371</v>
      </c>
      <c r="C4" s="4" t="s">
        <v>1406</v>
      </c>
    </row>
    <row r="5" spans="1:9" x14ac:dyDescent="0.3">
      <c r="A5" s="5">
        <v>3130</v>
      </c>
      <c r="B5" s="5" t="s">
        <v>1405</v>
      </c>
      <c r="C5" s="4" t="s">
        <v>1407</v>
      </c>
    </row>
    <row r="6" spans="1:9" x14ac:dyDescent="0.3">
      <c r="A6" s="5">
        <v>3130</v>
      </c>
      <c r="B6" s="5" t="s">
        <v>1401</v>
      </c>
      <c r="C6" s="4" t="s">
        <v>1402</v>
      </c>
    </row>
    <row r="7" spans="1:9" x14ac:dyDescent="0.3">
      <c r="A7" s="5">
        <v>3130</v>
      </c>
      <c r="B7" s="5" t="s">
        <v>1404</v>
      </c>
      <c r="C7" s="4" t="s">
        <v>1433</v>
      </c>
    </row>
    <row r="9" spans="1:9" x14ac:dyDescent="0.3">
      <c r="A9" s="5">
        <v>3130</v>
      </c>
      <c r="B9" s="5" t="s">
        <v>1620</v>
      </c>
      <c r="C9" s="38" t="s">
        <v>1621</v>
      </c>
      <c r="D9" t="s">
        <v>1902</v>
      </c>
    </row>
    <row r="10" spans="1:9" x14ac:dyDescent="0.3">
      <c r="A10" s="5">
        <v>3130</v>
      </c>
      <c r="B10" s="5" t="s">
        <v>1622</v>
      </c>
      <c r="C10" s="38" t="s">
        <v>1623</v>
      </c>
      <c r="D10" t="s">
        <v>1657</v>
      </c>
    </row>
    <row r="11" spans="1:9" x14ac:dyDescent="0.3">
      <c r="A11" s="5"/>
      <c r="B11" s="5"/>
      <c r="C11" s="38"/>
      <c r="H11" t="s">
        <v>2108</v>
      </c>
      <c r="I11" s="1" t="s">
        <v>2109</v>
      </c>
    </row>
    <row r="12" spans="1:9" x14ac:dyDescent="0.3">
      <c r="A12" s="91">
        <v>3130</v>
      </c>
      <c r="B12" s="91" t="s">
        <v>1620</v>
      </c>
      <c r="C12" s="88" t="s">
        <v>1624</v>
      </c>
      <c r="D12" s="89" t="s">
        <v>1668</v>
      </c>
      <c r="E12" t="s">
        <v>1621</v>
      </c>
      <c r="H12" t="s">
        <v>1670</v>
      </c>
      <c r="I12" t="s">
        <v>2110</v>
      </c>
    </row>
    <row r="13" spans="1:9" x14ac:dyDescent="0.3">
      <c r="A13" s="91">
        <v>3130</v>
      </c>
      <c r="B13" s="91" t="s">
        <v>1634</v>
      </c>
      <c r="C13" s="88" t="s">
        <v>1625</v>
      </c>
      <c r="D13" s="89" t="s">
        <v>1649</v>
      </c>
      <c r="E13" t="s">
        <v>1621</v>
      </c>
      <c r="H13" t="s">
        <v>2111</v>
      </c>
      <c r="I13" t="s">
        <v>2112</v>
      </c>
    </row>
    <row r="14" spans="1:9" x14ac:dyDescent="0.3">
      <c r="A14" s="91">
        <v>3130</v>
      </c>
      <c r="B14" s="91" t="s">
        <v>1635</v>
      </c>
      <c r="C14" s="88" t="s">
        <v>1626</v>
      </c>
      <c r="D14" s="89" t="s">
        <v>1649</v>
      </c>
      <c r="E14" t="s">
        <v>1621</v>
      </c>
      <c r="H14" t="s">
        <v>2113</v>
      </c>
      <c r="I14" t="s">
        <v>1621</v>
      </c>
    </row>
    <row r="15" spans="1:9" x14ac:dyDescent="0.3">
      <c r="A15" s="91">
        <v>3130</v>
      </c>
      <c r="B15" s="91" t="s">
        <v>1636</v>
      </c>
      <c r="C15" s="88" t="s">
        <v>1627</v>
      </c>
      <c r="D15" s="89" t="s">
        <v>1649</v>
      </c>
      <c r="E15" t="s">
        <v>1621</v>
      </c>
    </row>
    <row r="16" spans="1:9" x14ac:dyDescent="0.3">
      <c r="A16" s="91">
        <v>3130</v>
      </c>
      <c r="B16" s="91" t="s">
        <v>1637</v>
      </c>
      <c r="C16" s="88" t="s">
        <v>1650</v>
      </c>
      <c r="D16" s="89" t="s">
        <v>1674</v>
      </c>
      <c r="E16" t="s">
        <v>1621</v>
      </c>
      <c r="H16" t="s">
        <v>1657</v>
      </c>
      <c r="I16" t="s">
        <v>2114</v>
      </c>
    </row>
    <row r="17" spans="1:5" x14ac:dyDescent="0.3">
      <c r="A17" s="91">
        <v>3130</v>
      </c>
      <c r="B17" s="91" t="s">
        <v>1638</v>
      </c>
      <c r="C17" s="88" t="s">
        <v>1628</v>
      </c>
      <c r="D17" s="89" t="s">
        <v>1649</v>
      </c>
      <c r="E17" t="s">
        <v>1621</v>
      </c>
    </row>
    <row r="18" spans="1:5" x14ac:dyDescent="0.3">
      <c r="A18" s="91">
        <v>3130</v>
      </c>
      <c r="B18" s="91" t="s">
        <v>1639</v>
      </c>
      <c r="C18" s="88" t="s">
        <v>1629</v>
      </c>
      <c r="D18" s="89" t="s">
        <v>1649</v>
      </c>
      <c r="E18" t="s">
        <v>1621</v>
      </c>
    </row>
    <row r="19" spans="1:5" x14ac:dyDescent="0.3">
      <c r="A19" s="91">
        <v>3130</v>
      </c>
      <c r="B19" s="91" t="s">
        <v>1640</v>
      </c>
      <c r="C19" s="88" t="s">
        <v>1630</v>
      </c>
      <c r="D19" s="89" t="s">
        <v>1649</v>
      </c>
      <c r="E19" t="s">
        <v>1621</v>
      </c>
    </row>
    <row r="20" spans="1:5" x14ac:dyDescent="0.3">
      <c r="A20" s="91">
        <v>3130</v>
      </c>
      <c r="B20" s="91" t="s">
        <v>1641</v>
      </c>
      <c r="C20" s="88" t="s">
        <v>1631</v>
      </c>
      <c r="D20" s="89" t="s">
        <v>1649</v>
      </c>
      <c r="E20" t="s">
        <v>1621</v>
      </c>
    </row>
    <row r="21" spans="1:5" x14ac:dyDescent="0.3">
      <c r="A21" s="91">
        <v>3130</v>
      </c>
      <c r="B21" s="91" t="s">
        <v>1642</v>
      </c>
      <c r="C21" s="88" t="s">
        <v>1632</v>
      </c>
      <c r="D21" s="89" t="s">
        <v>1649</v>
      </c>
      <c r="E21" t="s">
        <v>1621</v>
      </c>
    </row>
    <row r="22" spans="1:5" x14ac:dyDescent="0.3">
      <c r="A22" s="91">
        <v>3130</v>
      </c>
      <c r="B22" s="91" t="s">
        <v>1622</v>
      </c>
      <c r="C22" s="88" t="s">
        <v>1633</v>
      </c>
      <c r="D22" s="89" t="s">
        <v>1649</v>
      </c>
      <c r="E22" t="s">
        <v>1621</v>
      </c>
    </row>
    <row r="23" spans="1:5" x14ac:dyDescent="0.3">
      <c r="A23" s="91">
        <v>3130</v>
      </c>
      <c r="B23" s="91" t="s">
        <v>1643</v>
      </c>
      <c r="C23" s="88" t="s">
        <v>1644</v>
      </c>
      <c r="D23" s="89" t="s">
        <v>1649</v>
      </c>
      <c r="E23" t="s">
        <v>1621</v>
      </c>
    </row>
    <row r="24" spans="1:5" x14ac:dyDescent="0.3">
      <c r="A24" s="91">
        <v>3130</v>
      </c>
      <c r="B24" s="91" t="s">
        <v>1646</v>
      </c>
      <c r="C24" s="88" t="s">
        <v>1647</v>
      </c>
      <c r="D24" s="89" t="s">
        <v>1649</v>
      </c>
      <c r="E24" t="s">
        <v>1621</v>
      </c>
    </row>
    <row r="25" spans="1:5" x14ac:dyDescent="0.3">
      <c r="A25" s="92"/>
      <c r="B25" s="92"/>
    </row>
    <row r="26" spans="1:5" x14ac:dyDescent="0.3">
      <c r="A26" s="91">
        <v>3130</v>
      </c>
      <c r="B26" s="91" t="s">
        <v>1645</v>
      </c>
      <c r="C26" s="88" t="s">
        <v>1648</v>
      </c>
      <c r="D26" s="89" t="s">
        <v>1657</v>
      </c>
      <c r="E26" t="s">
        <v>1623</v>
      </c>
    </row>
    <row r="27" spans="1:5" x14ac:dyDescent="0.3">
      <c r="A27" s="91">
        <v>3130</v>
      </c>
      <c r="B27" s="91" t="s">
        <v>1654</v>
      </c>
      <c r="C27" s="88" t="s">
        <v>1651</v>
      </c>
      <c r="D27" s="89" t="s">
        <v>1657</v>
      </c>
      <c r="E27" t="s">
        <v>1623</v>
      </c>
    </row>
    <row r="28" spans="1:5" x14ac:dyDescent="0.3">
      <c r="A28" s="91">
        <v>3130</v>
      </c>
      <c r="B28" s="91" t="s">
        <v>1655</v>
      </c>
      <c r="C28" s="88" t="s">
        <v>1652</v>
      </c>
      <c r="D28" s="89" t="s">
        <v>1657</v>
      </c>
      <c r="E28" t="s">
        <v>1623</v>
      </c>
    </row>
    <row r="29" spans="1:5" x14ac:dyDescent="0.3">
      <c r="A29" s="91">
        <v>3130</v>
      </c>
      <c r="B29" s="91" t="s">
        <v>1656</v>
      </c>
      <c r="C29" s="88" t="s">
        <v>1653</v>
      </c>
      <c r="D29" s="89" t="s">
        <v>1657</v>
      </c>
      <c r="E29" t="s">
        <v>1623</v>
      </c>
    </row>
    <row r="30" spans="1:5" x14ac:dyDescent="0.3">
      <c r="A30" s="93"/>
      <c r="B30" s="93"/>
      <c r="C30" s="4"/>
    </row>
    <row r="31" spans="1:5" x14ac:dyDescent="0.3">
      <c r="A31" s="91" t="s">
        <v>1390</v>
      </c>
      <c r="B31" s="91" t="s">
        <v>1660</v>
      </c>
      <c r="C31" s="88" t="s">
        <v>1661</v>
      </c>
      <c r="D31" s="89" t="s">
        <v>1662</v>
      </c>
      <c r="E31" t="s">
        <v>1621</v>
      </c>
    </row>
    <row r="32" spans="1:5" x14ac:dyDescent="0.3">
      <c r="A32" s="91" t="s">
        <v>1390</v>
      </c>
      <c r="B32" s="91" t="s">
        <v>1663</v>
      </c>
      <c r="C32" s="88" t="s">
        <v>1664</v>
      </c>
      <c r="D32" s="89" t="s">
        <v>1664</v>
      </c>
      <c r="E32" t="s">
        <v>1621</v>
      </c>
    </row>
    <row r="33" spans="1:5" x14ac:dyDescent="0.3">
      <c r="A33" s="91" t="s">
        <v>1390</v>
      </c>
      <c r="B33" s="91" t="s">
        <v>1671</v>
      </c>
      <c r="C33" s="87" t="s">
        <v>1673</v>
      </c>
      <c r="D33" s="89" t="s">
        <v>1670</v>
      </c>
      <c r="E33" t="s">
        <v>1621</v>
      </c>
    </row>
    <row r="34" spans="1:5" x14ac:dyDescent="0.3">
      <c r="A34" s="5"/>
      <c r="B34" s="5"/>
      <c r="C34" s="5"/>
    </row>
    <row r="35" spans="1:5" x14ac:dyDescent="0.3">
      <c r="A35" s="5"/>
      <c r="B35" s="5"/>
      <c r="C35" s="5"/>
    </row>
    <row r="36" spans="1:5" x14ac:dyDescent="0.3">
      <c r="A36" s="5" t="s">
        <v>1398</v>
      </c>
      <c r="B36" s="5" t="s">
        <v>1370</v>
      </c>
      <c r="C36" s="5" t="s">
        <v>1669</v>
      </c>
      <c r="D36" t="s">
        <v>1672</v>
      </c>
    </row>
    <row r="38" spans="1:5" x14ac:dyDescent="0.3">
      <c r="A38" s="5" t="s">
        <v>1580</v>
      </c>
      <c r="B38" s="5" t="s">
        <v>1370</v>
      </c>
      <c r="C38" s="4" t="s">
        <v>1666</v>
      </c>
      <c r="D38" t="s">
        <v>1658</v>
      </c>
    </row>
    <row r="39" spans="1:5" x14ac:dyDescent="0.3">
      <c r="A39" s="5" t="s">
        <v>1580</v>
      </c>
      <c r="B39" s="5" t="s">
        <v>1371</v>
      </c>
      <c r="C39" s="4" t="s">
        <v>1665</v>
      </c>
      <c r="D39" t="s">
        <v>1667</v>
      </c>
    </row>
  </sheetData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Header>&amp;C&amp;A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2B8C-6E52-4E5A-9C95-C4B797439D9D}">
  <sheetPr codeName="Feuil16"/>
  <dimension ref="A3:B4"/>
  <sheetViews>
    <sheetView workbookViewId="0">
      <selection activeCell="D6" sqref="D6"/>
    </sheetView>
  </sheetViews>
  <sheetFormatPr baseColWidth="10" defaultRowHeight="14.4" x14ac:dyDescent="0.3"/>
  <cols>
    <col min="1" max="2" width="11.5546875" style="7"/>
  </cols>
  <sheetData>
    <row r="3" spans="1:2" x14ac:dyDescent="0.3">
      <c r="A3" s="7" t="s">
        <v>1903</v>
      </c>
      <c r="B3" s="7" t="s">
        <v>1904</v>
      </c>
    </row>
    <row r="4" spans="1:2" x14ac:dyDescent="0.3">
      <c r="A4" s="7">
        <v>3510</v>
      </c>
      <c r="B4" s="7">
        <v>4510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2</vt:i4>
      </vt:variant>
    </vt:vector>
  </HeadingPairs>
  <TitlesOfParts>
    <vt:vector size="17" baseType="lpstr">
      <vt:lpstr>Feuil5</vt:lpstr>
      <vt:lpstr>soumission</vt:lpstr>
      <vt:lpstr>BASE</vt:lpstr>
      <vt:lpstr>Bâtiments</vt:lpstr>
      <vt:lpstr>3120 et 3439 patrimoine</vt:lpstr>
      <vt:lpstr>Reeval debiteurs douteux</vt:lpstr>
      <vt:lpstr>Resume perequation</vt:lpstr>
      <vt:lpstr>Arbre de décision</vt:lpstr>
      <vt:lpstr>AISGE</vt:lpstr>
      <vt:lpstr>Répartitions</vt:lpstr>
      <vt:lpstr>Salaires</vt:lpstr>
      <vt:lpstr>Valaur</vt:lpstr>
      <vt:lpstr>3612 Ecoles</vt:lpstr>
      <vt:lpstr>3130 Prest tiers</vt:lpstr>
      <vt:lpstr>Fonds affectés</vt:lpstr>
      <vt:lpstr>'3130 Prest tiers'!Zone_d_impression</vt:lpstr>
      <vt:lpstr>AISGE!Zone_d_impression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Lambiel</dc:creator>
  <cp:lastModifiedBy>Florence Lambiel</cp:lastModifiedBy>
  <cp:lastPrinted>2026-08-05T09:26:42Z</cp:lastPrinted>
  <dcterms:created xsi:type="dcterms:W3CDTF">2026-06-17T09:08:12Z</dcterms:created>
  <dcterms:modified xsi:type="dcterms:W3CDTF">2026-08-19T09:13:30Z</dcterms:modified>
</cp:coreProperties>
</file>